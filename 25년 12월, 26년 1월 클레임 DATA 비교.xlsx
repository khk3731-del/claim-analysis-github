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788BD730-47C8-4EEA-9A57-3CF4369603DE}" xr6:coauthVersionLast="47" xr6:coauthVersionMax="47" xr10:uidLastSave="{00000000-0000-0000-0000-000000000000}"/>
  <bookViews>
    <workbookView xWindow="-28920" yWindow="-120" windowWidth="29040" windowHeight="15720" activeTab="1" xr2:uid="{00000000-000D-0000-FFFF-FFFF00000000}"/>
  </bookViews>
  <sheets>
    <sheet name="Sheet2" sheetId="48" r:id="rId1"/>
    <sheet name="Sheet1" sheetId="49" r:id="rId2"/>
    <sheet name="현대기아HMB(REV1)" sheetId="39" r:id="rId3"/>
  </sheets>
  <definedNames>
    <definedName name="_xlnm._FilterDatabase" localSheetId="0" hidden="1">Sheet2!$B$23:$F$51</definedName>
    <definedName name="_xlnm._FilterDatabase" localSheetId="2" hidden="1">'현대기아HMB(REV1)'!$A$1:$AW$84</definedName>
  </definedNames>
  <calcPr calcId="191029"/>
  <pivotCaches>
    <pivotCache cacheId="2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4" i="48" l="1"/>
  <c r="F30" i="48"/>
  <c r="F39" i="48"/>
  <c r="F38" i="48"/>
  <c r="F51" i="48"/>
  <c r="F33" i="48"/>
  <c r="F34" i="48"/>
  <c r="F47" i="48"/>
  <c r="F37" i="48"/>
  <c r="F31" i="48"/>
  <c r="F49" i="48"/>
  <c r="F43" i="48"/>
  <c r="F26" i="48"/>
  <c r="F29" i="48"/>
  <c r="F50" i="48"/>
  <c r="F32" i="48"/>
  <c r="F40" i="48"/>
  <c r="F28" i="48"/>
  <c r="F35" i="48"/>
  <c r="F41" i="48"/>
  <c r="F42" i="48"/>
  <c r="F27" i="48"/>
  <c r="F46" i="48"/>
  <c r="F48" i="48"/>
  <c r="F36" i="48"/>
  <c r="F24" i="48"/>
  <c r="F25" i="48"/>
  <c r="F45" i="48"/>
  <c r="F5" i="48"/>
  <c r="F6" i="48"/>
  <c r="F7" i="48"/>
  <c r="F8" i="48"/>
  <c r="F9" i="48"/>
  <c r="F10" i="48"/>
  <c r="F11" i="48"/>
  <c r="F12" i="48"/>
  <c r="F13" i="48"/>
  <c r="F14" i="48"/>
  <c r="F15" i="48"/>
  <c r="F16" i="48"/>
  <c r="F17" i="48"/>
  <c r="F18" i="48"/>
  <c r="F4" i="48"/>
</calcChain>
</file>

<file path=xl/sharedStrings.xml><?xml version="1.0" encoding="utf-8"?>
<sst xmlns="http://schemas.openxmlformats.org/spreadsheetml/2006/main" count="6435" uniqueCount="1489">
  <si>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</si>
  <si>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</si>
  <si>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</si>
  <si>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</si>
  <si>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</si>
  <si>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</si>
  <si>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</si>
  <si>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</si>
  <si>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</si>
  <si>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</si>
  <si>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</si>
  <si>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</si>
  <si>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</si>
  <si>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</si>
  <si>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</si>
  <si>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</si>
  <si>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</si>
  <si>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</si>
  <si>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</si>
  <si>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</si>
  <si>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</si>
  <si>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</si>
  <si>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</si>
  <si>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</si>
  <si>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</si>
  <si>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</si>
  <si>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</si>
  <si>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</si>
  <si>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</si>
  <si>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</si>
  <si>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</si>
  <si>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</si>
  <si>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</si>
  <si>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</si>
  <si>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</si>
  <si>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</si>
  <si>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</si>
  <si>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</si>
  <si>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</si>
  <si>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</si>
  <si>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</si>
  <si>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</si>
  <si>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</si>
  <si>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</si>
  <si>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</si>
  <si>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</si>
  <si>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</si>
  <si>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</si>
  <si>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</si>
  <si>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</si>
  <si>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</si>
  <si>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</si>
  <si>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</si>
  <si>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</si>
  <si>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</si>
  <si>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</si>
  <si>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</si>
  <si>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</si>
  <si>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</si>
  <si>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</si>
  <si>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</si>
  <si>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</si>
  <si>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</si>
  <si>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</si>
  <si>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</si>
  <si>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</si>
  <si>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</si>
  <si>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</si>
  <si>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</si>
  <si>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</si>
  <si>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</si>
  <si>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</si>
  <si>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</si>
  <si>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</si>
  <si>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</si>
  <si>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</si>
  <si>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</si>
  <si>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</si>
  <si>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</si>
  <si>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</si>
  <si>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</si>
  <si>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</si>
  <si>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</si>
  <si>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IK 17</t>
  </si>
  <si>
    <t>28530RQ0</t>
  </si>
  <si>
    <t>CONVERTER ASSY-W/UP CAT,RH</t>
  </si>
  <si>
    <t>엔진 출력부족</t>
  </si>
  <si>
    <t>한국</t>
  </si>
  <si>
    <t>배기가스 문제</t>
  </si>
  <si>
    <t>MUFFLER COMPLETE-CHMBR &amp; CONV</t>
  </si>
  <si>
    <t>SDPF</t>
  </si>
  <si>
    <t>285303LVB0</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</si>
  <si>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</si>
  <si>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</si>
  <si>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</si>
  <si>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</si>
  <si>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</si>
  <si>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</si>
  <si>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</si>
  <si>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</si>
  <si>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</si>
  <si>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</si>
  <si>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</si>
  <si>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</si>
  <si>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</si>
  <si>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</si>
  <si>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</si>
  <si>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</si>
  <si>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</si>
  <si>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</si>
  <si>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</si>
  <si>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</si>
  <si>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</si>
  <si>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</si>
  <si>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</si>
  <si>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</si>
  <si>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</si>
  <si>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</si>
  <si>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</si>
  <si>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</si>
  <si>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</si>
  <si>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</si>
  <si>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</si>
  <si>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</si>
  <si>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</si>
  <si>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</si>
  <si>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</si>
  <si>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</si>
  <si>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</si>
  <si>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</si>
  <si>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</si>
  <si>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</si>
  <si>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</si>
  <si>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I73</t>
  </si>
  <si>
    <t>MQ4 20</t>
  </si>
  <si>
    <t>0T</t>
  </si>
  <si>
    <t>SG2 (니로 후속) 21</t>
  </si>
  <si>
    <t>C06</t>
  </si>
  <si>
    <t>FRANCE</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</si>
  <si>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</si>
  <si>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</si>
  <si>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</si>
  <si>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</si>
  <si>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</si>
  <si>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</si>
  <si>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</si>
  <si>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</si>
  <si>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</si>
  <si>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</si>
  <si>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</si>
  <si>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</si>
  <si>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</si>
  <si>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</si>
  <si>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</si>
  <si>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</si>
  <si>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</si>
  <si>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</si>
  <si>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</si>
  <si>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</si>
  <si>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</si>
  <si>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</si>
  <si>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</si>
  <si>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2023-11</t>
  </si>
  <si>
    <t>285303LVR0</t>
  </si>
  <si>
    <t>2023-10</t>
  </si>
  <si>
    <t>쎄타</t>
    <phoneticPr fontId="6" type="noConversion"/>
  </si>
  <si>
    <t>머플러</t>
    <phoneticPr fontId="6" type="noConversion"/>
  </si>
  <si>
    <t>EHRS</t>
    <phoneticPr fontId="6" type="noConversion"/>
  </si>
  <si>
    <t>람다</t>
    <phoneticPr fontId="2" type="noConversion"/>
  </si>
  <si>
    <t>KA4 DPF</t>
    <phoneticPr fontId="6" type="noConversion"/>
  </si>
  <si>
    <t>287504E960</t>
  </si>
  <si>
    <t>MUFFLER ASSY-TAIL</t>
  </si>
  <si>
    <t>40700R00</t>
  </si>
  <si>
    <t>28607R0550</t>
  </si>
  <si>
    <t>D26</t>
  </si>
  <si>
    <t>TURKEY</t>
  </si>
  <si>
    <t>MODULE ASSY-WCC</t>
  </si>
  <si>
    <t>28511R1A</t>
  </si>
  <si>
    <t>2024-01</t>
  </si>
  <si>
    <t>285302GLB0</t>
  </si>
  <si>
    <t>2022-02</t>
  </si>
  <si>
    <t>2024-03</t>
  </si>
  <si>
    <t>28950R00</t>
  </si>
  <si>
    <t>2023-02</t>
  </si>
  <si>
    <t>2023-08</t>
  </si>
  <si>
    <t>카파(KIA)</t>
    <phoneticPr fontId="2" type="noConversion"/>
  </si>
  <si>
    <t>외관 불량</t>
  </si>
  <si>
    <t>GK2</t>
  </si>
  <si>
    <t>2021-10</t>
  </si>
  <si>
    <t>28950A00</t>
  </si>
  <si>
    <t>2022-01</t>
  </si>
  <si>
    <t>2023-03</t>
  </si>
  <si>
    <t>2022-12</t>
  </si>
  <si>
    <t>C5</t>
  </si>
  <si>
    <t>285302GPB0</t>
  </si>
  <si>
    <t>올 뉴 쏘렌토</t>
  </si>
  <si>
    <t>2020-09</t>
  </si>
  <si>
    <t>MQ4 DPF</t>
    <phoneticPr fontId="6" type="noConversion"/>
  </si>
  <si>
    <t>2024-09</t>
  </si>
  <si>
    <t>2025년</t>
    <phoneticPr fontId="2" type="noConversion"/>
  </si>
  <si>
    <t>28530RZZ</t>
  </si>
  <si>
    <t>ZZ7</t>
  </si>
  <si>
    <t>조립불량,연결불량</t>
  </si>
  <si>
    <t>L33</t>
  </si>
  <si>
    <t>HC</t>
  </si>
  <si>
    <t>MQ4 20 HEV</t>
  </si>
  <si>
    <t>A32</t>
  </si>
  <si>
    <t>2024-06</t>
  </si>
  <si>
    <t>AX9</t>
  </si>
  <si>
    <t>2022-03</t>
  </si>
  <si>
    <t>W13</t>
  </si>
  <si>
    <t>2021-04</t>
  </si>
  <si>
    <t>2024-02</t>
  </si>
  <si>
    <t>MUFFLER ASSY-MAIN</t>
  </si>
  <si>
    <t>B31</t>
  </si>
  <si>
    <t>2022-08</t>
  </si>
  <si>
    <t>I3</t>
  </si>
  <si>
    <t>코나(상품성개선) 고성능차 21</t>
  </si>
  <si>
    <t>2020-10</t>
  </si>
  <si>
    <t>2020-06</t>
  </si>
  <si>
    <t>CONVERTER ASSY-W/UP CAT,LH</t>
  </si>
  <si>
    <t>2853007031</t>
  </si>
  <si>
    <t>C16</t>
  </si>
  <si>
    <t>PORTUGAL</t>
  </si>
  <si>
    <t>28950R1K</t>
  </si>
  <si>
    <t>D19</t>
  </si>
  <si>
    <t>TUNISIA</t>
  </si>
  <si>
    <t>2853008220</t>
  </si>
  <si>
    <t>28950R4K</t>
  </si>
  <si>
    <t>2853008250</t>
  </si>
  <si>
    <t>2020-11</t>
  </si>
  <si>
    <t>2021-09</t>
  </si>
  <si>
    <t>2021-01</t>
  </si>
  <si>
    <t>2019-02</t>
  </si>
  <si>
    <t>2024-08</t>
  </si>
  <si>
    <t>2024-07</t>
  </si>
  <si>
    <t>285102G520</t>
  </si>
  <si>
    <t>C07</t>
  </si>
  <si>
    <t>GERMANY</t>
  </si>
  <si>
    <t>떨림</t>
  </si>
  <si>
    <t>2018-12</t>
  </si>
  <si>
    <t>BU</t>
  </si>
  <si>
    <t>JS N 18(고성능차)</t>
  </si>
  <si>
    <t>285302GXC0</t>
  </si>
  <si>
    <t>28530R3L</t>
  </si>
  <si>
    <t>28530R7R</t>
  </si>
  <si>
    <t>2024-05</t>
  </si>
  <si>
    <t>2853008450</t>
  </si>
  <si>
    <t>2025-03</t>
  </si>
  <si>
    <t>203</t>
  </si>
  <si>
    <t>28600R00</t>
  </si>
  <si>
    <t>NX0</t>
  </si>
  <si>
    <t>2022/01/18</t>
  </si>
  <si>
    <t>2018-05</t>
  </si>
  <si>
    <t>조립 불량</t>
  </si>
  <si>
    <t>B15</t>
  </si>
  <si>
    <t>GUATEMALA</t>
  </si>
  <si>
    <t>287004E740</t>
  </si>
  <si>
    <t>E37</t>
  </si>
  <si>
    <t>SOUTH AFRICA</t>
  </si>
  <si>
    <t>HMB</t>
  </si>
  <si>
    <t>GH</t>
  </si>
  <si>
    <t>2851004510</t>
  </si>
  <si>
    <t>MANIFOLD CATALYTIC ASSY-EXHAUST</t>
  </si>
  <si>
    <t>BR2 19</t>
  </si>
  <si>
    <t>카파(HMB)</t>
    <phoneticPr fontId="6" type="noConversion"/>
  </si>
  <si>
    <t>카파(HMB)</t>
  </si>
  <si>
    <t>28511R5T</t>
  </si>
  <si>
    <t>B27</t>
  </si>
  <si>
    <t>URUGUAY</t>
  </si>
  <si>
    <t>2851003GB1</t>
  </si>
  <si>
    <t>B08</t>
  </si>
  <si>
    <t>COLOMBIA</t>
  </si>
  <si>
    <t>2025/09</t>
  </si>
  <si>
    <t>2019-09</t>
  </si>
  <si>
    <t>2025/09/11</t>
  </si>
  <si>
    <t>2025/09/05</t>
  </si>
  <si>
    <t>2025/09/09</t>
  </si>
  <si>
    <t>MK0</t>
  </si>
  <si>
    <t>2853008460</t>
  </si>
  <si>
    <t>C02</t>
  </si>
  <si>
    <t>BELGIUM</t>
  </si>
  <si>
    <t>285302GSH0</t>
  </si>
  <si>
    <t>2024/03/29</t>
  </si>
  <si>
    <t>B33</t>
  </si>
  <si>
    <t>28600R0120</t>
  </si>
  <si>
    <t>Q71</t>
  </si>
  <si>
    <t>2025/08/26</t>
  </si>
  <si>
    <t>2024/04/30</t>
  </si>
  <si>
    <t>B18</t>
  </si>
  <si>
    <t>HONDURAS</t>
  </si>
  <si>
    <t>8S</t>
  </si>
  <si>
    <t>285302GLA0</t>
  </si>
  <si>
    <t>28511RQ0</t>
  </si>
  <si>
    <t>2025/09/15</t>
  </si>
  <si>
    <t>2023-09</t>
  </si>
  <si>
    <t>2022/04/04</t>
  </si>
  <si>
    <t>2023-06</t>
  </si>
  <si>
    <t>C23</t>
  </si>
  <si>
    <t>BULGARIA</t>
  </si>
  <si>
    <t>2025/10</t>
  </si>
  <si>
    <t>4분기</t>
    <phoneticPr fontId="2" type="noConversion"/>
  </si>
  <si>
    <t>2025/10/23</t>
  </si>
  <si>
    <t>2025/10/24</t>
  </si>
  <si>
    <t>2025/09/29</t>
  </si>
  <si>
    <t>2025/10/13</t>
  </si>
  <si>
    <t>2021/12/27</t>
  </si>
  <si>
    <t>2025/10/01</t>
  </si>
  <si>
    <t>GK1</t>
  </si>
  <si>
    <t>Q72</t>
  </si>
  <si>
    <t>HX0</t>
  </si>
  <si>
    <t>28650P2960</t>
  </si>
  <si>
    <t>99NSTZ0T</t>
  </si>
  <si>
    <t>2025-04</t>
  </si>
  <si>
    <t>PU SDPF</t>
    <phoneticPr fontId="6" type="noConversion"/>
  </si>
  <si>
    <t>2025/09/19</t>
  </si>
  <si>
    <t>2022-07</t>
  </si>
  <si>
    <t>D29</t>
  </si>
  <si>
    <t>PALESTINE</t>
  </si>
  <si>
    <t>2023-12</t>
  </si>
  <si>
    <t>2024/05/31</t>
  </si>
  <si>
    <t>2025/07/19</t>
  </si>
  <si>
    <t>2018-11</t>
  </si>
  <si>
    <t>2025/04/03</t>
  </si>
  <si>
    <t>2023/06/27</t>
  </si>
  <si>
    <t>I41</t>
  </si>
  <si>
    <t>과열</t>
  </si>
  <si>
    <t>285302GTB0</t>
  </si>
  <si>
    <t>KMHT36AH0NU014178</t>
  </si>
  <si>
    <t>2022/03/15</t>
  </si>
  <si>
    <t>2022/05/12</t>
  </si>
  <si>
    <t>2021-06</t>
  </si>
  <si>
    <t>285303LVP0</t>
  </si>
  <si>
    <t>B23</t>
  </si>
  <si>
    <t>PARAGUAY</t>
  </si>
  <si>
    <t>2022/09/28</t>
  </si>
  <si>
    <t>카파(WIA)</t>
    <phoneticPr fontId="6" type="noConversion"/>
  </si>
  <si>
    <t>2024-12</t>
  </si>
  <si>
    <t>냄새과다</t>
  </si>
  <si>
    <t>2024-11</t>
  </si>
  <si>
    <t>KX0</t>
  </si>
  <si>
    <t>20250909</t>
  </si>
  <si>
    <t>2024-04</t>
  </si>
  <si>
    <t>20210105</t>
  </si>
  <si>
    <t>20250623</t>
  </si>
  <si>
    <t>20210412</t>
  </si>
  <si>
    <t>20250527</t>
  </si>
  <si>
    <t>20250408</t>
  </si>
  <si>
    <t>총합계</t>
  </si>
  <si>
    <t>차종명2</t>
  </si>
  <si>
    <t>쎄타</t>
  </si>
  <si>
    <t>카파(WIA)</t>
  </si>
  <si>
    <t>2025/11</t>
  </si>
  <si>
    <t>2025/11/04</t>
  </si>
  <si>
    <t>2025/11/26</t>
  </si>
  <si>
    <t>2025/11/10</t>
  </si>
  <si>
    <t>2019-10</t>
  </si>
  <si>
    <t>GX0</t>
  </si>
  <si>
    <t>2019/11/20</t>
  </si>
  <si>
    <t>2025/11/14</t>
  </si>
  <si>
    <t>2019-12</t>
  </si>
  <si>
    <t>28600P4630</t>
  </si>
  <si>
    <t>2025/11/19</t>
  </si>
  <si>
    <t>2025-05</t>
  </si>
  <si>
    <t>2025/11/17</t>
  </si>
  <si>
    <t>GX1</t>
  </si>
  <si>
    <t>2023/02/28</t>
  </si>
  <si>
    <t>2025/11/12</t>
  </si>
  <si>
    <t>DX9</t>
  </si>
  <si>
    <t>H23</t>
  </si>
  <si>
    <t>2025/11/07</t>
  </si>
  <si>
    <t>28600ES100</t>
  </si>
  <si>
    <t>99NGOZ0T</t>
  </si>
  <si>
    <t>B21</t>
  </si>
  <si>
    <t>2025/10/30</t>
  </si>
  <si>
    <t>2022/12/22</t>
  </si>
  <si>
    <t>2022/06/23</t>
  </si>
  <si>
    <t>2024/07/12</t>
  </si>
  <si>
    <t>2018/03/21</t>
  </si>
  <si>
    <t>2025/10/16</t>
  </si>
  <si>
    <t>2022/10/25</t>
  </si>
  <si>
    <t>2023/06/02</t>
  </si>
  <si>
    <t>2024/03/12</t>
  </si>
  <si>
    <t>2024/07/31</t>
  </si>
  <si>
    <t>25467RZZ</t>
  </si>
  <si>
    <t>25467R1H</t>
  </si>
  <si>
    <t>28672RZZ</t>
  </si>
  <si>
    <t>28672R1H</t>
  </si>
  <si>
    <t>2025/09/08</t>
  </si>
  <si>
    <t>A12</t>
  </si>
  <si>
    <t>2023/08/17</t>
  </si>
  <si>
    <t>녹, 부식</t>
  </si>
  <si>
    <t>2023/05/12</t>
  </si>
  <si>
    <t>2024/07/18</t>
  </si>
  <si>
    <t>KMTG34TA3PU124687</t>
  </si>
  <si>
    <t>[C]CUSTOMER STATES CHECK ENGINE LIGHT IS ON CHECK AND ADVISE [R]TECH CONFIRMED CHECK ENGINE LIGHT ON WITH ENGINE CODE P259F TURBO BOOST CONTROL POSITION AT HIGH LIMIT PERFORMED ROAD TEST AND FOUND VEHICLE TO LACK POWER AND NOT ENTER BOOST MONITORED BOOST PRESSUREWHICH REMAINED AT ATMOSPHERIC PRESSURE CONFIRMING BOOST NOT BEING GENERATED BY TURBO ENGINE COULD BE [T]VERIFIED CONCERN CLOGGED CATALYST CONVERTER</t>
  </si>
  <si>
    <t>2023/03/27</t>
  </si>
  <si>
    <t>2023/05/22</t>
  </si>
  <si>
    <t>2025/07/30</t>
  </si>
  <si>
    <t>I3N</t>
  </si>
  <si>
    <t>KMTG54TE5NU095347</t>
  </si>
  <si>
    <t>[C]CUSTOMER STATES CHECK EXHAUST SYSTEM. [R]ATTEMPTED TO REPAIR THREADS, BUT THE BORE WAS DAMAGED BEYOND REPAIR FROM WHEN THE BOLT WAS REMOVED.FOR PROPER REPAIR THE CONVERTER NEEDS TO BE REPLACED.FOLLOWING SHOP MANUAL REMOVED ALL NECESSARY COMPONENTS TO REMOVE THE ENGINE AND TRANSMISSION ASSEMBLY FROM VEHICLE. PROCEEDED TO FOLLOW THE SERVICE [T]DURING REPLACEMENT OF THE REAR DIFFERENTIAL, WHEN THE CENTER MUFFLER EXHAUST SYSTEM WAS BEING REMOVED THE FASTENERS THAT MATE THE CENTER MUFFLER TO THE DRIVER SIDE CATALYTIC CONVERTER CAME OUT AND PUL</t>
  </si>
  <si>
    <t>2021/11/09</t>
  </si>
  <si>
    <t>2021-11</t>
  </si>
  <si>
    <t>2022/04/09</t>
  </si>
  <si>
    <t>20230503</t>
  </si>
  <si>
    <t>20251119</t>
  </si>
  <si>
    <t>HK0</t>
  </si>
  <si>
    <t>2021-02</t>
  </si>
  <si>
    <t>B12</t>
  </si>
  <si>
    <t>ECUADOR</t>
  </si>
  <si>
    <t>20251016</t>
  </si>
  <si>
    <t>20241223</t>
  </si>
  <si>
    <t>20250530</t>
  </si>
  <si>
    <t>2025-02</t>
  </si>
  <si>
    <t>20201013</t>
  </si>
  <si>
    <t>20251010</t>
  </si>
  <si>
    <t>20250617</t>
  </si>
  <si>
    <t>20201123</t>
  </si>
  <si>
    <t>20220221</t>
  </si>
  <si>
    <t>20221014</t>
  </si>
  <si>
    <t>20251021</t>
  </si>
  <si>
    <t>20251028</t>
  </si>
  <si>
    <t>2018-09</t>
  </si>
  <si>
    <t>2019-07</t>
  </si>
  <si>
    <t>2025121WW</t>
  </si>
  <si>
    <t>2025/12</t>
  </si>
  <si>
    <t>G1Z0022025200159200</t>
  </si>
  <si>
    <t>KMHLW41KGNU003629</t>
  </si>
  <si>
    <t>[C]1.현상 : 엔진경고등 점등,출력부족 및 매연과다 2.점검내용 및 원인 : 외부손상여부 없음 경고등 점등 확인 촉매 탈거 시 딤채가 없음 확인,청주하이테크센터 김대중차장님과 상의 우신공업 측 품질보증팀 문진 시 딤채문제 확인 후 교환 촉매 내부 불량으로 인한 경고등 및 출력부족 매연과다 3.조치내용 : 촉매 교환 4.요망사항 : 품질개선요망</t>
  </si>
  <si>
    <t>2022/02/08</t>
  </si>
  <si>
    <t>2022/02/21</t>
  </si>
  <si>
    <t>G1Z</t>
  </si>
  <si>
    <t>C21AA45566251131017</t>
  </si>
  <si>
    <t>KMHHE8117SU112182</t>
  </si>
  <si>
    <t>1Y</t>
  </si>
  <si>
    <t>2853008501</t>
  </si>
  <si>
    <t>CONVERTER ASSY W/UP CATALYTIC</t>
  </si>
  <si>
    <t>28530R7E</t>
  </si>
  <si>
    <t>2024/11/25</t>
  </si>
  <si>
    <t>2025/02/26</t>
  </si>
  <si>
    <t>SX2(코나 후속) 하이브리드 23</t>
  </si>
  <si>
    <t>WCC</t>
    <phoneticPr fontId="6" type="noConversion"/>
  </si>
  <si>
    <t>B28AACT70701917Z000</t>
  </si>
  <si>
    <t>B06AA41050251201002</t>
  </si>
  <si>
    <t>KMHLW4AK9NU001498</t>
  </si>
  <si>
    <t>[C]Engine light on, vehicle sounds like it's choking [R]Replaced cat converter [T]Found cat converter severely clogged (previously replaced ignition coil #2 due to misfiring). Core is melted, causing exhaust restriction [L]JE</t>
  </si>
  <si>
    <t>2021/11/03</t>
  </si>
  <si>
    <t>2025/12/01</t>
  </si>
  <si>
    <t>B06AA51023250827001</t>
  </si>
  <si>
    <t>KMHLW4AK6PU013174</t>
  </si>
  <si>
    <t>[C]CUSTOMER STATES THAT CHECK ENGINE LIGHT IS ON SOLID [R]REPLACED CONVERTER, RESET ADAPTIVE VALES AND CLEARED DTCs [T]CONFIRMED ENGINE LIGHT ON, SCANNED FOR DTCs - P0420 CATALYTIC CONVERTER EFFICIENCY BELOW THRESHOLD. CHECKED FOR RELATED UPDATES - NONE. CHECKED WIRING TO BOTH O2 SENSORS - GOOD. REPLACEMENT OF CONVERTER REQUIRED. [L]Aug 27- please note, this is a dealer-owned vehicle. Bill of sale from Adesa attached</t>
  </si>
  <si>
    <t>B28AACA40042330A000</t>
  </si>
  <si>
    <t>KMHLW4AK1PU014457</t>
  </si>
  <si>
    <t>[C]CS CUSTOMER STATES WHILE ACCELERATING THE VEHICLE JOLTS AS IT WANTS TO CATCH GEARIT FEELS LIKE THE TRANSMISSION IS SLIPPING CHECK K AND ADVICE [R]remove and replace front catalytic converter [T]traced concern to plugged cat, front catalytic converter is plugged</t>
  </si>
  <si>
    <t>2023/02/16</t>
  </si>
  <si>
    <t>2023/04/13</t>
  </si>
  <si>
    <t>B28AACA40042330L000</t>
  </si>
  <si>
    <t>B28AANC04339895S000</t>
  </si>
  <si>
    <t>KMHLW4DK5SU026969</t>
  </si>
  <si>
    <t>[C]Customer states check engine light is on [R]REPAIR THE THREADS ON MULTIPLE STUDS PRIOR TO REINSTALLING CONVERTER. REINSTALLED CONVERTER, REINSTALLED SUBFRAME AND TEST DROVE VEHICLE. FAULT DID NOT RETURN. REQUESTING TT TIME FOR REMOVAL AND REPAIR OF STRIPPED MOUNTING FLANGE NUTS AND STUDS [T]verified P04200 SCANNED VEHICLE FOR FAULTS, FOUND FAULT CODE P04200 TO BE PRESENT FOR CATALYST EFFICIENCY, BANK 1. REMOVED OXYGEN SENSOR DOWNSTREAM AND VIEWED INSIDE CONVERTER USING BORESCOPE. FOUND C</t>
  </si>
  <si>
    <t>2024/11/19</t>
  </si>
  <si>
    <t>B28AANV03057686L000</t>
  </si>
  <si>
    <t>[C]CS GUEST STATES THAT THE CHECK ENGINE LIGHT WAS ON FOR A FEW DAYS BUT TURNED ON AND THROUGHOUT THATLAST FEW DAYS GUEST DOES NOT DRIVABILITY ISSUES [R]VERIFIED GUEST CONCERN UPON DIAGNOSIS FOUND FAULT CODE P0420 P0036 CATALYTIC CONVERTER SYSTEM BELOW THRESHOLD DOWNSTREAM HEATER O2 CONTROL CIRCUIT B1S2 FAULTY PERFORMED CATALYTIC CONVERTER DOWNSTREAM OXYGEN SENSOR REPLACEMENT TEST DROVE VEHICLE AND RESCANNED NO CODES STORED COMPLETED [T]VERIFIED GUEST CONCERN UPON DIAGNOSIS FOUND FAULT CODE P0420 P0036 CATALYTIC CONVERTER SYSTEM BELOW THRESHOLD DOWNSTREAM HEATER O2 CONT</t>
  </si>
  <si>
    <t>2025/10/07</t>
  </si>
  <si>
    <t>B28AACT03960521A000</t>
  </si>
  <si>
    <t>KM8KH3AC0NU004556</t>
  </si>
  <si>
    <t>[C]CUSTOMER STATES CHECK ENGINE LIGHT IS ON [R]TECH REPLACED MANIFOLD CAT WITH NEW ASSEMBLY WHILE REPLACING CAT TECH FOUND THE OIL SEEPAGE FROM INTERNAL GASKET AND EXCESSIVE SHAFT PLAY ON TURBO STUI PHOTOS UPLOADED [T]TECH CONFIRED CUSTOMER CONCERN FOR DTC P0420 AND CAR RUNNING POORLY WAS NOT ABLE TO ACCELERATE COMPLETELT VEHICLE SLUGGISH TO RESPOND TECHNICIAN INSPECTED CAT AND FOUND IT TO BE NOTABLY CLOGGED</t>
  </si>
  <si>
    <t>2022/04/13</t>
  </si>
  <si>
    <t>B28VAIA0112519949-A</t>
  </si>
  <si>
    <t>KNAE35LC2L6086894</t>
  </si>
  <si>
    <t>[D]CUSTOMER STATES CHECK ENGINE LIGHT IS ON.. CHECK AND ADVISE VERIFIED CUSTOMERS CONCERN AND FOUND CODE FOR P0420. FOUND CONVERTER BAD AND FRONT MUFFLER. Abby Volkert on 2025-10-14 1:43 PM with following comments WE CONTACTED DPSM FOR THIS ONE. WE DID A VISUAL INSPECTION OF THE CONVERTER AND FOUND THE INSIDE OF THE CONVERTER COMING APART AS WELL, AND SINCE THE TECH HAD DPSM APPROVAL A TECH LINE WAS NOT OPENED</t>
  </si>
  <si>
    <t>2020/06/16</t>
  </si>
  <si>
    <t>2020/11/18</t>
  </si>
  <si>
    <t>B28AAFL71856589R000</t>
  </si>
  <si>
    <t>B28AATN70504500A000</t>
  </si>
  <si>
    <t>KMTG54TE1NU098682</t>
  </si>
  <si>
    <t>[C]CUSTOMER STATES CHECK ENGINE LIGHT IS ON AND VEHICLE IS GOING BACK INTO LIMP MODE WHEN CUSTOMER IS DRIVING ON THE INTERSTATE. CHECK AND ADVISE [R]TECH REPLACED RH CATALYTIC CONVERTER,OP 28530R7R 5.4 .TECH CLEARED DTCS AND RESET ADAPTIVE VALUES.TWO DRIVE CYCLES WERE PERFORMED,TECH CONFIRMED CEL DID NOT RETURN AND VEHICLE IS OPERATING AS INTENDED. E [T]TECH CONFIRMED CEL IS ON BUT VEHICLE IS NOT IN LIMPMODE. TECH FOUND P0300000, AND P042000.MISFIRE CODES FOUND WERE FOR THE RH, BANK 1 SIDE OF THE ENGINE.TECH CONFIRMED PLUGS AND COILS ARE GOOD,TECH OR</t>
  </si>
  <si>
    <t>2022/03/21</t>
  </si>
  <si>
    <t>B28AATX70417262A000</t>
  </si>
  <si>
    <t>KMTG54SE4SU155566</t>
  </si>
  <si>
    <t>285303LXB0</t>
  </si>
  <si>
    <t>CONVERTER ASSY-W/UP CAT, RH</t>
  </si>
  <si>
    <t>[C]CS CUSTOMER STATES CHECK ENGINE LIGHT P042000 CODE [R]TECH VERIFIED CUSTOMER CONCERN AND FOUND MIL ILLUMINATED TECH USED GDS SOFTWARE AND FOUND DTC P042000 PRESENT IN ENGINE CONTROL MODULE TECH COMPLETED UNDERHOOD VISUAL INSPECTION AND FOUND SOOT BUILDUP BETWEEN CATALYST AND UPSTEAM O2 SENSOR MATING SURFACE CREATING AND EXHAUST LEAK UPON FURTHER INVEST [T]DAMAGED CATALYST CASE AND UPSTREAM O2 SENSOR THREADS FROM IMPROPER ASSEMBLY AT FACTORY</t>
  </si>
  <si>
    <t>2024/12/02</t>
  </si>
  <si>
    <t>2025/11/18</t>
  </si>
  <si>
    <t>2025/04/02</t>
  </si>
  <si>
    <t>CX90402025W00059300</t>
    <phoneticPr fontId="6" type="noConversion"/>
  </si>
  <si>
    <t>KNAPH811BLA644766</t>
  </si>
  <si>
    <t xml:space="preserve">1.현상 : 배출가스 검사 불합격으로 입고
2.점검내용 및 원인 : HC,CO 농도 배출허용기준 초과로 검사 불합격
3.조치내용 : 배기매니폴드 및 가스켓 교환 </t>
    <phoneticPr fontId="6" type="noConversion"/>
  </si>
  <si>
    <t>2019/12/26</t>
  </si>
  <si>
    <t>2025/12/17</t>
  </si>
  <si>
    <t>2019/12/27</t>
  </si>
  <si>
    <t>CX9</t>
  </si>
  <si>
    <t>2540002025W02298600</t>
  </si>
  <si>
    <t>KNANE813BRS416810</t>
  </si>
  <si>
    <t>28600R0300</t>
  </si>
  <si>
    <t>[C]1.현상 : 정차시 주행하며 가감속시 떨림/진동으로 의뢰 2.점검내용 및 원인 : 정차시 주행하며 가감속시 떨림/진동으로 시운전및 점검 3.조치내용 : 점검,시운전(고객님과동승),교환,설명</t>
  </si>
  <si>
    <t>99VGOZ0T</t>
  </si>
  <si>
    <t>H21</t>
  </si>
  <si>
    <t>2023/12/22</t>
  </si>
  <si>
    <t>2025/12/10</t>
  </si>
  <si>
    <t>2024/01/23</t>
  </si>
  <si>
    <t>254</t>
  </si>
  <si>
    <t>HX00802025W00111500</t>
  </si>
  <si>
    <t>KNACT81EGNA002466</t>
    <phoneticPr fontId="6" type="noConversion"/>
  </si>
  <si>
    <t>[C]1.현상 : 부동액 부족발생으로 입고 2.점검내용 및 원인 : 점검시 센터 컨버터 냉각수 누수 발생 3.조치내용 : 첸버 컨버터 머플러 교환 및 부동액 보충</t>
  </si>
  <si>
    <t>2022/01/26</t>
  </si>
  <si>
    <t>2025/11/24</t>
  </si>
  <si>
    <t>2022/02/04</t>
  </si>
  <si>
    <t>GK25202025W00155400</t>
  </si>
  <si>
    <t>KNACR81EGRA111802</t>
  </si>
  <si>
    <t>[C]1.현상 : 냉각수(부동액) 소모로 점검 의뢰 2.점검내용 및 원인 : 배기열회수장치쪽으로 냉각수 누수(기밀 불량) 3.조치내용 : 배기열회수장치(챔버&amp;컴버터 머플러) 교환, 양호</t>
  </si>
  <si>
    <t>2023/06/05</t>
  </si>
  <si>
    <t>EX01602025W00204200</t>
  </si>
  <si>
    <t>KNACT81EGRA172912</t>
  </si>
  <si>
    <t>[C]1.현상 : 냉간 시동시 물흐르는 소리 점검 입고 2.점검내용 및 원인 : 냉각수 보조탱크 육안 점검시 냉각수 양 저하됨 점검결과 엔진및 냉각수 계통 누수흔적 없으며 배기열 회수 장치 내부 불량에의한 냉각수 소모 판단 3.조치내용 : 업체 통화후 배기열 회수장치 불량으로 인한 냉각수 양 줄어듬 가능성 제기됨 배기열 회수 장치 어셈블리 교환후 출고조치함</t>
  </si>
  <si>
    <t>2024/02/06</t>
  </si>
  <si>
    <t>2025/12/29</t>
  </si>
  <si>
    <t>2024/02/13</t>
  </si>
  <si>
    <t>EX0</t>
  </si>
  <si>
    <t>GX95002025W00109900</t>
  </si>
  <si>
    <t>KNACT81EGRA175245</t>
  </si>
  <si>
    <t>[C]1.현상 : 냉각수 부족으로 입고 2.점검내용 및 원인 : 고객 문진시 일반 카센터에서 1달에 2회 보충했다고함. 3.조치내용 : CC머플러 교환후 출고함.</t>
  </si>
  <si>
    <t>2024/02/20</t>
  </si>
  <si>
    <t>2025/12/09</t>
  </si>
  <si>
    <t>2024/02/22</t>
  </si>
  <si>
    <t>GX9</t>
  </si>
  <si>
    <t>GK22002025W00124000</t>
  </si>
  <si>
    <t>KNACP81EGRA215196</t>
  </si>
  <si>
    <t>[C]1.현상 : 냉각수 소모로 인해 입고 2.점검내용 및 원인 : 머플러 탈거 점검 열교환기에서 냉각수 소모 확인 3.조치내용 : 열교환기 교환 진행하였음</t>
  </si>
  <si>
    <t>2024/07/09</t>
  </si>
  <si>
    <t>2025/12/12</t>
  </si>
  <si>
    <t>2024/07/10</t>
  </si>
  <si>
    <t>HX90602025W00033600</t>
  </si>
  <si>
    <t>KNARL81BHNA170100</t>
  </si>
  <si>
    <t>[C]1.현상 : 차량 주행중 경고등 점등으로 입고. 2.점검내용 및 원인 : 스캐너 확인결과 DPF효율 저하 표출됨.관련 센서 점검하였으나, 모두 정상. 3.조치내용 : 컨버터 교환.</t>
  </si>
  <si>
    <t>28950RQ0</t>
  </si>
  <si>
    <t>2022/07/01</t>
  </si>
  <si>
    <t>2025/12/24</t>
  </si>
  <si>
    <t>2022/07/05</t>
  </si>
  <si>
    <t>HX9</t>
  </si>
  <si>
    <t>GK22302025W00051500</t>
  </si>
  <si>
    <t>KNARL81BGPA182033</t>
  </si>
  <si>
    <t>[C]1.현상 : 경고등 점등으로 입고 2.점검내용 및 원인 : KDS진단점검시 P20EE00/NOX정화효율낮음표출 KDS센서데이터 확인시 NOX센서 값 정상표출 배터리 상태 특이사항 없음 SCR촉매 내부불량으로 인한 경고등 점등으로 판단 3.조치내용 : SCR교환후 정상출고</t>
  </si>
  <si>
    <t>2022/09/23</t>
  </si>
  <si>
    <t>GX91802025W00059400</t>
  </si>
  <si>
    <t>KNARH81BGRA245716</t>
  </si>
  <si>
    <t>[C]1.현상 : 경고등 및 시동불능 경고문 표출됨 2.점검내용 및 원인 : kds진단 점검시 P20EE00(SCR NOX 정화 효츌낮음) P2C7A00(암모니아 흡장량 진단 이상) P2BA600(NOX 배출과다 SCR NOX 촉매성능이상) 의 고장코드 표출됨 시운전시 후단 녹스 센서 활성화 안됨을 확인 후 SCR 탈착시 전단 부분 흡착이 많이되어 막힘(사진) 확인되고 도징의 분사량 이상으로(도징불량) 요소수 흐름을 확인 3.조치내용 : 요소수 도징 교환 및 SCR 교체 후 후단 녹스센서 활성화 정상작동 확인이 되나 재시동 경고문은 계속 표출되어 DCU의 학습값 이상으로 학습이 초기화 안되어 DCU 교환 후 학습값 정상작동됨을 확인 후 정상출고 (하이테크와주재원상담확인)</t>
  </si>
  <si>
    <t>29610RQ0</t>
  </si>
  <si>
    <t>2023/08/30</t>
  </si>
  <si>
    <t>2025/11/25</t>
  </si>
  <si>
    <t>2023/10/10</t>
  </si>
  <si>
    <t>2030002025W01437700</t>
  </si>
  <si>
    <t>KNANC81BBMS071564</t>
  </si>
  <si>
    <t>[C]1.현상 : 엔진 경고등 재점등(SCR NOX정화효율낮음) 2.점검내용 및 원인 : KDS진단시 P20EE00 NOX정화효율낮음 경고등 점등,이전 동일 고장으로 5회차 입고,초기화후 요소수 인젝터탈거 분사상태 확인후(정상_동영상유첨) 시운전시 데이터에 전단 NOX보다 후NOX PPM값이 높아 점등된것으로 판단함,DPF재생후(STOOT 21g) 시운전시 동일,챔버컨버터와 도징컨트롤교체 초기화후 시운전 학습하여 정상 상태 확인함(사진유첨) 3.조치내용 : 요소수 경고등점등 관련 점검/교환(유첨사진.동영상참조)</t>
  </si>
  <si>
    <t>DRV2030D</t>
  </si>
  <si>
    <t>2021/02/25</t>
  </si>
  <si>
    <t>GX81602025W00090000</t>
  </si>
  <si>
    <t>KNANC81BBMS126662</t>
  </si>
  <si>
    <t>[C]1.현상 : 엔진경고등 점등으로 입고 2.점검내용 및 원인 : 엔진경고등 점등 P2OEE00 SCR NOx 정화효율 낮음 센터머플러 내부에 탄자국 확인 3.조치내용 : 센터머플러 교체 및 재생작업 후 경고등 재점등안됨</t>
  </si>
  <si>
    <t>2021/07/06</t>
  </si>
  <si>
    <t>2025/12/02</t>
  </si>
  <si>
    <t>2021/07/08</t>
  </si>
  <si>
    <t>2021-07</t>
  </si>
  <si>
    <t>GX8</t>
  </si>
  <si>
    <t>GX91802025W00062900</t>
  </si>
  <si>
    <t>KNANC81BBNS143056</t>
  </si>
  <si>
    <t>[C]1.현상 : 경고등점등으로 차량입고 2.점검내용 및 원인 : KDS진단시 고장코드 P225F00 NOX센서2 신호 고정/성능이상 점등확인/센서데이터 값에서 NOX초기화안되어 리프트 상승 후 도싱 과분사로 인한 SCR전단 막힘확인 / 후단 확인시 과열로 인한 변형 확인됨 3.조치내용 : 신품 교체 작업 중 SCR 교환 시 온도센서 고착으로 인하여 풀리지않아 같이 교환진행함 신품 교체 후 고장코드 소거 후 초기화 후 시운전 후 센서데이터 NOX초기화,라인압력 정상 확인 후 정상 차량 출고함</t>
  </si>
  <si>
    <t>2021/09/01</t>
  </si>
  <si>
    <t>2025/12/15</t>
  </si>
  <si>
    <t>BK04202025W00275400</t>
  </si>
  <si>
    <t>KNANC81BBPS244666</t>
  </si>
  <si>
    <t>[C]1.현상 : 가. 엔진 경고등 점등 및 DPF 경고등 점등 점검 요청 나. 하동점 기아 오토큐 12월 12일 고장코드 소거 후 재점등 2.점검내용 및 원인 : 가. 진단기 점검시 P20EE00 SCR NOx 정화 효율 낮음 표출 나. 경고등 소거 후 재점등, SCR 촉매 점검시 하단부 이상 확인 다. SCR 촉매 이상으로 경고등 점등 3.조치내용 : 가. 센터머플러 교환 후 경고등 소거 출고</t>
  </si>
  <si>
    <t>2022/10/21</t>
  </si>
  <si>
    <t>2025/12/22</t>
  </si>
  <si>
    <t>BK0</t>
  </si>
  <si>
    <t>GK16202025W00108800</t>
    <phoneticPr fontId="6" type="noConversion"/>
  </si>
  <si>
    <t>KNCWJZ78BSK872514</t>
  </si>
  <si>
    <t>286104ECA0</t>
  </si>
  <si>
    <t xml:space="preserve">1.현상 : 주행중 엔진이상소음 점검요청 
2.점검내용 및 원인 : 시운전시 가속시 엔진배기구 부분에서 에어배출 소음발생확인  배기 소음기 1차 파이프부 기밀불량으로 가속시 소음발생확인 
3.조치내용 : 1차 프론트 머플러  교환 후 재발생시 재입고 </t>
    <phoneticPr fontId="6" type="noConversion"/>
  </si>
  <si>
    <t>Q76</t>
  </si>
  <si>
    <t>2025/06/27</t>
  </si>
  <si>
    <t>2025/12/06</t>
  </si>
  <si>
    <t>2025/07/02</t>
  </si>
  <si>
    <t>2025-06</t>
  </si>
  <si>
    <t>GX11102025W00086600</t>
  </si>
  <si>
    <t>KNARL81FHSA363562</t>
  </si>
  <si>
    <t>[C]1.현상 : 엔진구동시(가속시) 머플러 소음 (휘슬음.떨림)발생함 2.점검내용 및 원인 : 머플러(센터)내부 불량으로 가속시(떨림.휘슬) 소음발생함 사진상 표시부근에서 내부수증기 새어나옴 센터머플러 내부불량으로 판단되어 교환조치함 3.조치내용 : 센터머플러교환</t>
  </si>
  <si>
    <t>2025/04/08</t>
  </si>
  <si>
    <t>2025/12/08</t>
  </si>
  <si>
    <t>2025/04/09</t>
  </si>
  <si>
    <t>NX00802025W00050900</t>
  </si>
  <si>
    <t>KNANE81BBPS304158</t>
  </si>
  <si>
    <t>28650R0500</t>
  </si>
  <si>
    <t>[C]1.현상 : 냉간시동시 백연 과다 발생 및 냄새 심함 2.점검내용 및 원인 : P24C200 배기가스 온도시스템 고장으로 DPF 강제 재생 후 출고 3.조치내용 : DPF 강제 재생</t>
  </si>
  <si>
    <t>2023/03/09</t>
  </si>
  <si>
    <t>2025/11/20</t>
  </si>
  <si>
    <t>2023/03/13</t>
  </si>
  <si>
    <t>NX00302025W00110300</t>
  </si>
  <si>
    <t>KNANC81BBSS583621</t>
  </si>
  <si>
    <t>[C]1.현상 : 제품 생산시 이물질 유입으로 인한 소음 2.점검내용 및 원인 : 제품 생산시 중앙 머플러 동전크기 이물질로 인하여 소음 발생 3.조치내용 : 중앙머플러 동전크기 이물질 제거 탈부착 작업</t>
  </si>
  <si>
    <t>Q75</t>
  </si>
  <si>
    <t>2025-07</t>
  </si>
  <si>
    <t>2520002025W01073200</t>
    <phoneticPr fontId="6" type="noConversion"/>
  </si>
  <si>
    <t>KNACH811BST418803</t>
  </si>
  <si>
    <t>28710A3550</t>
  </si>
  <si>
    <t xml:space="preserve">1.현상 : 가속시 엔진쪽, 머플러 쪽에서 우웅웅 소음 
2.점검내용 및 원인 : 주행중 소음점검 시 소음기 에서 웅웅웅 거림 
3.조치내용 : 소음기 교환 </t>
    <phoneticPr fontId="6" type="noConversion"/>
  </si>
  <si>
    <t>2024/12/05</t>
  </si>
  <si>
    <t>2025/12/16</t>
  </si>
  <si>
    <t>2024/12/06</t>
  </si>
  <si>
    <t>252</t>
  </si>
  <si>
    <t>2025121WA</t>
  </si>
  <si>
    <t>GK21402025W00119100</t>
  </si>
  <si>
    <t>KNANE81ABSS055734</t>
  </si>
  <si>
    <t>[C]1.현상 : 배기음 소음 심함으로 입고 2.점검내용 및 원인 : 소음 과다 발생 확인 센터 머플러 내구성 불량 판단 3.조치내용 : 센터머플러 교환</t>
  </si>
  <si>
    <t>2024/11/21</t>
  </si>
  <si>
    <t>2025/10/21</t>
  </si>
  <si>
    <t>2024/12/20</t>
  </si>
  <si>
    <t xml:space="preserve">B06VA110472519030A </t>
  </si>
  <si>
    <t>KNDPRCA64K7524707</t>
  </si>
  <si>
    <t>2018/06/04</t>
  </si>
  <si>
    <t>2025/12/05</t>
  </si>
  <si>
    <t>2019/04/22</t>
  </si>
  <si>
    <t>2018-06</t>
  </si>
  <si>
    <t>B28VAMD0612538332-A</t>
  </si>
  <si>
    <t>KNDCR3LE8P5101392</t>
  </si>
  <si>
    <t>[D]CONDITION: CUSTOMER STATES THE ENGINE LIGHT IS ON CAUSE: CEL ON CORRECTION: 29466 TECH INSPECTED FOR CONCERN. SCAN TEST FOUND DTC P017100 .PERFORMED DIAG FOR LEAN CODES. VERIFIED OPERATION OF O2 SENSORS. DIAG FAILED CATALYTIC CONVERTER. TECH REPLACED CATALYTIC CONVERTER AND CLEARED DTC. WORKING AS DESIGNED NOW</t>
  </si>
  <si>
    <t>2023/04/14</t>
  </si>
  <si>
    <t>2023/07/13</t>
  </si>
  <si>
    <t>2023-04</t>
  </si>
  <si>
    <t>D29AA0000053175 000</t>
  </si>
  <si>
    <t>KMHHE8113RU034056</t>
  </si>
  <si>
    <t>2853008500</t>
  </si>
  <si>
    <t>2023/10/28</t>
  </si>
  <si>
    <t>2024/08/20</t>
  </si>
  <si>
    <t>C23VC00000SKOL68000</t>
  </si>
  <si>
    <t>KNACT81E6T5308355</t>
  </si>
  <si>
    <t>2853008750</t>
  </si>
  <si>
    <t>[C]During driving warning lamp come on. [R]Catalytic Converter ASSY and other small parts Replacement according service procedure. [T]DTC: P042033 CATALUST SYSTEM EFFICIENCY BELOW THRESHOLD</t>
  </si>
  <si>
    <t>2025/06/11</t>
  </si>
  <si>
    <t>B28VAAZ058256096002</t>
  </si>
  <si>
    <t>KNAE25LAXJ6012945</t>
  </si>
  <si>
    <t>[D]CONCERN: Check engine light is on and active check and advise CAUSE: ustomer states the Check Engine Light is on. Verified concern and performed system scan found DTC P0420 (Catalyst System Efficiency Below Threshold - Bank 1) stored in ECM. Cleared code and test drove code returned after drive cycle. Performed visual inspection of exhaust system no exhaust leaks or damage found. Monitored upstream and downstream O2 sensor data downstream O2 sensor voltage closely mirrored upstream sensor, confirming catalytic converter inefficiency. Verified sensors are functioning properly. Removed and replaced the Bank 1 catalytic converter assembly with OEM replacement part. Inspected and reinstalled all exhaust connections and gaskets, torqued to spec. Cleared DTCs and completed drive cycle. Result: No codes returned, O2 sensor readings normal, and system operating as designed. Repair complete.CORRECTION: 28530R3L Catalyst Case Assy (Lambda Engine), RH, R&amp;R 5.00</t>
  </si>
  <si>
    <t>2017/10/30</t>
  </si>
  <si>
    <t>2017-10</t>
  </si>
  <si>
    <t xml:space="preserve">B06VA521452523776A </t>
  </si>
  <si>
    <t>KNDPRCA61L7729886</t>
  </si>
  <si>
    <t>2019/07/05</t>
  </si>
  <si>
    <t>D26VBTR126KM2500101</t>
  </si>
  <si>
    <t>KNCSJX767R7764431</t>
  </si>
  <si>
    <t>[C]ARACIMIN EGZOZ VE ARIZA LAMBASI YANIYOR [R]DPF DEĞİŞİMİ GEREKMEKTEDİR.DPF DEĞİŞİMİ YAPILDI [T]YAPILAN KONTROLLERDE ARACIN ARIZA LAMBASININ YANDIĞI GÖRÜLDÜ.KDS İLE YAPILAN KONTROLLERDE P200300 ARIZA KODU GÖRÜLDÜ.ARACA REJENERASYON UYGULANDI ARAÇ TEST EDİLDİ FAKAT ARIZANIN DEVAM ETTİĞİ GÖRÜLDÜ.NOX VE PM SENSÖR TEMİZLİĞİ VE KONTROLLER YAPILDI SORUN GÖRÜLMEDİ.ARIZANIN DPF TEN KAYNAKLANDIĞI TESPİ [L]Araç teslim edildi.Parça geldiğinde yazılım bilgisi alınarak eklenecektir. Parça lot numaralar eklenecektir. Claime DPF''in iç ve dış kısmının + lot numarasının fotoğrafı eklendi. Yazılım ekran görüntüsü eklendi. [D]Claime DPF''in iç ve dış kısmının + lot numarasının fotoğrafı eklenmelidir Yazılım bilgisi ekren görüntüsü de eklenmelidir.</t>
  </si>
  <si>
    <t>2024/01/08</t>
  </si>
  <si>
    <t>2024/03/30</t>
  </si>
  <si>
    <t>D26VBTR162KM2001093</t>
  </si>
  <si>
    <t>KNCSJX763R7774034</t>
  </si>
  <si>
    <t>[C]PARTEKÜL İKAZI VERMİŞ DAHASONRA MOTOR ARIZA LAMBASI YANMIŞ KONTROL [R]DPF ve contaların değişimi yapıldı. Sorun giderildi. [T]kds ile yapılan kontrollerde P200300 arızası tespit edildi. Arıza silindi. PM sensörü, üre enjektörü temizlendi. dpf doluluk oranına bakıldı 14,37 gr olduğu görüldü . KDS ile rejerenasyon yapıldı 0,78 gr düştüğü görüldü. Aynı arızayı tekrar verdiği. Arıza tekrarı olduğu tespit edildi. DPF iç arızas [D]claime DPF''in iç ve dış kısmının + lot numarasının fotoğrafı eklenmelidir.</t>
  </si>
  <si>
    <t>2024/02/14</t>
  </si>
  <si>
    <t>2024/07/26</t>
  </si>
  <si>
    <t>D26VBTR164KM2000573</t>
  </si>
  <si>
    <t>KNCSJX76XR7779280</t>
  </si>
  <si>
    <t>[C]ARAÇ PARTİKÜL UYARISI VERİYOR MOTOR ARIZA LAMBASI YANIYOR [R]Araçta DPF değişimi yapılarak arıza giderilmiştir. [T]Araç servisimize bir önceki gelişinde arıza lambası ve bakım şikayetiyle gelmiştir. Araca cihaz bağlanıp arıza taraması yapıldığında P200300 Kodlu arızayı geçmiş olarak vermekte idi. Arıza silinip araca kurum kontrolü yapıldığında 21 gram olarak görünmüştür. Jenerasyon yapılıp araç ile uzun yol tes [D]Claime DPF''in iç,dış ve lot numarası fotoğraflarını ekleyiniz.</t>
  </si>
  <si>
    <t>2024/03/08</t>
  </si>
  <si>
    <t>2024/06/21</t>
  </si>
  <si>
    <t>D26VBTR148KM2000262</t>
  </si>
  <si>
    <t>KNCSJX764R7779842</t>
  </si>
  <si>
    <t>[C]ARACIMIN ARIZA LAMBASI YANIYOR [R]Aracın (DPF) partikül parçası sökülmüş, yeni dpf partikül parçası ile değişimi yapılmıştır. Araç kontrol edilmiş, arıza giderilmiştir. [T]Yapılan kontroller sonucunda P200300 Partikül Filtresi Verimliliği Eşiğin altında sıra2 arıza kodu görülmüştür. Araç ile yol testine çıkılmıştır. PM sensör değerleri alınmıştır. Yapılan kontroller esnasında PM sensor değerlerinin yükseldiği görülmüştür. PM sensör değerleri ektedir. Araç ile yaklaşık [D]CLAIME DPF''in iç ve dış kısmının + lot numarasının fotoğrafı eklenmelidir.</t>
  </si>
  <si>
    <t>2025/09/16</t>
  </si>
  <si>
    <t>2024/05/28</t>
  </si>
  <si>
    <t>D26VBTR169KM2001907</t>
  </si>
  <si>
    <t>KNCSJX761R7785601</t>
  </si>
  <si>
    <t>[C]MOTOR ARIZA IŞIĞI YANIYOR [R]Aracın arızalı olan DPF değişimi yapıldı sorunsuz teslim edildi.. [T]Müşteri şikayetine istinaden araca KDS taramasında P200300 DTC nin geçmiş konumda olduğu görüldü. DTC hotline incelenmesinde arıza kaydının partiküldeki çatlaktan olduğu anlaşıldı. Aracın kurum miktarı 5,82 gr ölçüldü. Sonra yol testleri yapıldı PM sensör değerleri ölçüldü ve değer verdiği görüldü. [L]CLAIME DPF''in iç ve dış kısmıının + lot numarasının fotoğrafı eklendi [D]CLAIME DPF''in iç ve dış kısmıının + lot numarasının fotoğrafı eklenmelidir.</t>
  </si>
  <si>
    <t>2024/04/03</t>
  </si>
  <si>
    <t>B28VACA2452527594-1</t>
  </si>
  <si>
    <t>KNDJP3A56K7642616</t>
  </si>
  <si>
    <t>B2</t>
  </si>
  <si>
    <t>28600B2600</t>
  </si>
  <si>
    <t>[D]client states welds broke off of center muffler at the flange check and advise. CONFIRMED CLIENT CONCERN. FOUND THAT THE FLANGE WELDS ON THE CENTER MUFFLER ASSEMBLY HAD SEPARATED FROM THE JOINT. THE WELD SEPARATION APPEARS TO HAVE RESULTED FROM INSUFFICIENT WELD PENETRATION AND NORMALVIBRATION/THERMAL CYCLING OVER TIME, WHICH LED TO LOSS OF STRUCTURAL INTEGRITY. CONTACTED DPSM AND RECEIVED APPROVAL FOR REPAIRS.REMOVED AND REPLACE CENTER MUFFLER TO CORRECT</t>
  </si>
  <si>
    <t>B1C</t>
  </si>
  <si>
    <t>2018/05/18</t>
  </si>
  <si>
    <t>2018/08/18</t>
  </si>
  <si>
    <t>올 뉴 쏘울</t>
  </si>
  <si>
    <t>B28VANC033257778000</t>
  </si>
  <si>
    <t>KNDNC5H37N6097470</t>
  </si>
  <si>
    <t>[D]CONCERN: CUSTOMER STATES MUFFLER ASSEMBLY IS LEAKING CHECK AND ADVISE CAUSE: vehicle s muffler was leaking needed to be replaced CORRECTION: removed old muffler assembly and installed new muffler assembly, everything is good at this time 28675R00 0.5 CONCERN: CUSTOMERSTATES MUFFLER ASSEMBLY IS LEAKING CHECK AND ADVISE CAUSE: vehicle s muffler was leaking needed to be replaced CORRECTION: removed old muffler assembly and installed new muffler assembly, everything is good at this time 28675R00 0.5</t>
  </si>
  <si>
    <t>28675R00</t>
  </si>
  <si>
    <t>B25</t>
  </si>
  <si>
    <t>2021/04/26</t>
  </si>
  <si>
    <t>2021/07/03</t>
  </si>
  <si>
    <t>B28VACT0222589516-B</t>
  </si>
  <si>
    <t>KNDCR3LE1P5116980</t>
  </si>
  <si>
    <t>[D]CUST STATES, ENGINE OVERHEAT WARNING COMING ON, ALL FLUIDS FULL. TEMP GAUGE INCREASED CHECK AND ADVISE. VERIFY CONCERN REPLACED MULTIPLE COMPONENTS AND WORKED WITH TECHLINE DURING DIAGNOSIS LED TO FTS COMING OUT TO ASSIST IN DIAG. SEE LINE 6</t>
  </si>
  <si>
    <t>2023/08/25</t>
  </si>
  <si>
    <t>B23VB88888202400334</t>
  </si>
  <si>
    <t>KNAB2514BST291929</t>
  </si>
  <si>
    <t>28610G6160</t>
  </si>
  <si>
    <t>[C]"VEHICULO NO TIENE POTENCIA" [R]REPARACIÓN DE CATALIZADOR [T]CATALIZADOR TRANCADO NO TIENE POTENCIA AL ACELERAR</t>
  </si>
  <si>
    <t>28610RZZ</t>
  </si>
  <si>
    <t>DD1</t>
  </si>
  <si>
    <t>2024/08/12</t>
  </si>
  <si>
    <t>2025/11/28</t>
  </si>
  <si>
    <t>2025/03/19</t>
  </si>
  <si>
    <t>A02VE86016251000091</t>
  </si>
  <si>
    <t>KNAF4417VR5206455</t>
  </si>
  <si>
    <t>DJ</t>
  </si>
  <si>
    <t>28610M6910</t>
  </si>
  <si>
    <t>[C]C/R rust on exhaust, loud and noisey when slowing down [R]Replaced exhaust system, road tested all ok noise issue rectified. [T]Verified concern found rust on exhaust pipes, middle pip &amp; tailpipe &amp; muffler due to inadequate corrosion protection at factory causing premature corrosion of exhaust system, this would be contributing to the loud exhaust sound on deceleration.</t>
  </si>
  <si>
    <t>BD 18</t>
  </si>
  <si>
    <t>C07VA2790AKM2000362</t>
  </si>
  <si>
    <t>KNARH81GDP5154888</t>
  </si>
  <si>
    <t>28650P4670</t>
  </si>
  <si>
    <t>28650R1H</t>
  </si>
  <si>
    <t>2022/11/17</t>
  </si>
  <si>
    <t>2023/02/27</t>
  </si>
  <si>
    <t>E37VASA183KM2000288</t>
  </si>
  <si>
    <t>KNCSHX76LS7818351</t>
  </si>
  <si>
    <t>[C]Michaela - Customer complains of noise coming from underneath the vehicle. [R]Replaced exhaust all good VDN no: 250919001I [T]Exhaust cracked open due to welding causing a weak spot on the seam. VDN no: 250919001I [L]10= 10706km - 27.08.2025 [D]check and update RO no-simz02/12</t>
  </si>
  <si>
    <t>2024/09/04</t>
  </si>
  <si>
    <t>2025/06/26</t>
  </si>
  <si>
    <t>E37VASA218KM2000565</t>
  </si>
  <si>
    <t>KNCSHX76LS7821191</t>
  </si>
  <si>
    <t>[C]Investigate exhaust blowing. Patricia Naidoo [R]Replace exhaust box and two gaskets. [T]Assessed and confirmed exhaust has a blowing noise found exhaust box at seam front has a leak. Cause due to premature wear in exhaust box. 251117003I [L]N.a [D]Attach picture of VIN.....18/12 attach ereport-simz18/12</t>
  </si>
  <si>
    <t>2024/09/26</t>
  </si>
  <si>
    <t>C21VA02378KM2002365</t>
  </si>
  <si>
    <t>KNAB3518YPT004746</t>
  </si>
  <si>
    <t>28710G6250</t>
  </si>
  <si>
    <t>[C]Customer concern , MOT fail on exhaust emissions [R]Replace rear exhaust box [T]Check to find 02 emission on Mot -photo taken , no dtc , check data list - lamda ok at engine , found small hole in rear exhaust box drawing on air &amp; affecting emissions</t>
  </si>
  <si>
    <t>2022/07/29</t>
  </si>
  <si>
    <t>2022/11/14</t>
  </si>
  <si>
    <t>E37VASA221KM2000443</t>
  </si>
  <si>
    <t>KNAB3512MRT244613</t>
  </si>
  <si>
    <t>28710G6BA0</t>
  </si>
  <si>
    <t>[C]Noku-Buzzing noise while driving [R]Replace rear exhaust silencer and gasket [T]Checked and found noise from exhaust, baffles defective causing noise vdn251105013I [L]321/05365 : 15 000KM SERVICE V1.0 KNAB3512MRT244613 15011 2025-12-11</t>
  </si>
  <si>
    <t>2024/03/28</t>
  </si>
  <si>
    <t>2025/11/05</t>
  </si>
  <si>
    <t>2024/08/31</t>
  </si>
  <si>
    <t xml:space="preserve">B18VA00001SP-3267  </t>
  </si>
  <si>
    <t>KNCWJX72AR7683270</t>
  </si>
  <si>
    <t>[C]The customer reported an abnormal noise coming from underneath the vehicle. [R]Replace damage parts. [T]During the inspection, the technician observed that both the left (LH) and right (RH) auxiliary brake cylinder drums were leaking brake fluid. An oil leak was also observed in the steering hydraulic fluid reservoir through its cap. The abnormal noise was found to be coming from a fractured exhaust s</t>
  </si>
  <si>
    <t>2023/02/06</t>
  </si>
  <si>
    <t>2023/05/31</t>
  </si>
  <si>
    <t xml:space="preserve">B15VA000052512031  </t>
  </si>
  <si>
    <t>KNCWJX72AS7798213</t>
  </si>
  <si>
    <t>[C]Cliente reporta ruido en escape al encender el motor [R]Se cambio de tubo de escape. [T]Se realizo la revision de vehiculo y se encontro escape en mal estado</t>
  </si>
  <si>
    <t>2024/05/27</t>
  </si>
  <si>
    <t>A02VE84285251000133</t>
  </si>
  <si>
    <t>KNAF4417VR5200444</t>
  </si>
  <si>
    <t>28710M6930</t>
  </si>
  <si>
    <t>[C]Rattling noise coming from exhaust back of car [R]Removed and replaced muffler tested all ok [T]premature failure of baffles internally from material fatigue</t>
  </si>
  <si>
    <t>2024/06/01</t>
  </si>
  <si>
    <t>2025/07/10</t>
  </si>
  <si>
    <t>2024/10/25</t>
  </si>
  <si>
    <t>B28VAVA0662509575-N</t>
  </si>
  <si>
    <t>KNDNB4H32R6380085</t>
  </si>
  <si>
    <t>28751A9100</t>
  </si>
  <si>
    <t>GASKET</t>
  </si>
  <si>
    <t>21102RZZ</t>
  </si>
  <si>
    <t>2023/08/28</t>
  </si>
  <si>
    <t>2025/05/01</t>
  </si>
  <si>
    <t>2023/12/21</t>
  </si>
  <si>
    <t>B28VAVA0662509575-Z</t>
  </si>
  <si>
    <t>21102R3G</t>
  </si>
  <si>
    <t>202512CWW</t>
  </si>
  <si>
    <t>B27AB80014250910005</t>
  </si>
  <si>
    <t>9BHCP51AAPP318194</t>
  </si>
  <si>
    <t>2022/05/31</t>
  </si>
  <si>
    <t>KX00302025W00097900</t>
  </si>
  <si>
    <t>KNACF811BPT353126</t>
  </si>
  <si>
    <t>39210RQ0</t>
  </si>
  <si>
    <t>20251201</t>
  </si>
  <si>
    <t>20230509</t>
  </si>
  <si>
    <t>KX00302025W00098000</t>
  </si>
  <si>
    <t>20251212</t>
  </si>
  <si>
    <t>MK06202025W00304800</t>
  </si>
  <si>
    <t>KNACH811BPT366640</t>
  </si>
  <si>
    <t>20230808</t>
  </si>
  <si>
    <t>20251211</t>
  </si>
  <si>
    <t>20230809</t>
  </si>
  <si>
    <t>GK16502025W00123500</t>
  </si>
  <si>
    <t>KNACG811BPT376097</t>
  </si>
  <si>
    <t>28320RQ0</t>
  </si>
  <si>
    <t>20231024</t>
  </si>
  <si>
    <t>20251203</t>
  </si>
  <si>
    <t>20231031</t>
  </si>
  <si>
    <t>A02VE84214251000256</t>
  </si>
  <si>
    <t>KNAB2512MST380101</t>
  </si>
  <si>
    <t>20251223</t>
  </si>
  <si>
    <t>B08VACL0183878  000</t>
  </si>
  <si>
    <t>KNAB2512ATT372399</t>
  </si>
  <si>
    <t>20250320</t>
  </si>
  <si>
    <t>B12VBKMOTS000038345</t>
  </si>
  <si>
    <t>KNAB2512AMT778074</t>
  </si>
  <si>
    <t>2851003GC1</t>
  </si>
  <si>
    <t>20251024</t>
  </si>
  <si>
    <t>20210911</t>
  </si>
  <si>
    <t>C21VA2095 KM2001951</t>
  </si>
  <si>
    <t>KNAB3511LKT419420</t>
  </si>
  <si>
    <t>20181117</t>
  </si>
  <si>
    <t>20251208</t>
  </si>
  <si>
    <t>20190430</t>
  </si>
  <si>
    <t>C17VC00622KM2000826</t>
  </si>
  <si>
    <t>KNAB2518AMT740431</t>
  </si>
  <si>
    <t>20251105</t>
  </si>
  <si>
    <t>20210415</t>
  </si>
  <si>
    <t>C04VA26203734   000</t>
  </si>
  <si>
    <t>KNAB2511AKT441009</t>
  </si>
  <si>
    <t>20181221</t>
  </si>
  <si>
    <t>20251006</t>
  </si>
  <si>
    <t>20190805</t>
  </si>
  <si>
    <t>C04</t>
  </si>
  <si>
    <t>DENMARK</t>
  </si>
  <si>
    <t>C11VC09213KM2000851</t>
  </si>
  <si>
    <t>KNAB2518JPT210604</t>
  </si>
  <si>
    <t>20231219</t>
  </si>
  <si>
    <t>20250314</t>
  </si>
  <si>
    <t>20240213</t>
  </si>
  <si>
    <t>C16VCPG011KM2000461</t>
  </si>
  <si>
    <t>KNAB3511AKT475753</t>
  </si>
  <si>
    <t>20190221</t>
  </si>
  <si>
    <t>20250919</t>
  </si>
  <si>
    <t>20190916</t>
  </si>
  <si>
    <t>C11VC08370KM2000906</t>
  </si>
  <si>
    <t>KNAB2518AST399156</t>
  </si>
  <si>
    <t>20251020</t>
  </si>
  <si>
    <t>20250924</t>
  </si>
  <si>
    <t>C21VA2031 KM2001476</t>
  </si>
  <si>
    <t>KNADB518LN6744434</t>
  </si>
  <si>
    <t>20220831</t>
  </si>
  <si>
    <t>20230131</t>
  </si>
  <si>
    <t>D22VA00000CA286 000</t>
  </si>
  <si>
    <t>KNADA818LRT949290</t>
  </si>
  <si>
    <t>20240110</t>
  </si>
  <si>
    <t>20240605</t>
  </si>
  <si>
    <t>D22</t>
  </si>
  <si>
    <t>CYPRUS</t>
  </si>
  <si>
    <t>C16VCP0884KM2001276</t>
  </si>
  <si>
    <t>KNADA818ART957452</t>
  </si>
  <si>
    <t>20240217</t>
  </si>
  <si>
    <t>20250915</t>
  </si>
  <si>
    <t>20240418</t>
  </si>
  <si>
    <t>C16VCP0884KM2001274</t>
  </si>
  <si>
    <t>KNADA818ART958345</t>
  </si>
  <si>
    <t>20240221</t>
  </si>
  <si>
    <t>D19VA00003D365853</t>
  </si>
  <si>
    <t>KNADC518AM6548626</t>
  </si>
  <si>
    <t>20210304</t>
  </si>
  <si>
    <t>20251101</t>
  </si>
  <si>
    <t>20210604</t>
  </si>
  <si>
    <t>D19VA00020D203399</t>
  </si>
  <si>
    <t>KNADC518AN6631672</t>
  </si>
  <si>
    <t>20211109</t>
  </si>
  <si>
    <t>20250619</t>
  </si>
  <si>
    <t>20220110</t>
  </si>
  <si>
    <t>D19VA00008D865298</t>
  </si>
  <si>
    <t>KNADC518AN6749866</t>
  </si>
  <si>
    <t>20220919</t>
  </si>
  <si>
    <t>20251029</t>
  </si>
  <si>
    <t>20221109</t>
  </si>
  <si>
    <t>C21VA2067 KM2003294</t>
  </si>
  <si>
    <t>KNAB3519LNT881582</t>
  </si>
  <si>
    <t>2853007301</t>
  </si>
  <si>
    <t>28230R1K</t>
  </si>
  <si>
    <t>20211004</t>
  </si>
  <si>
    <t>20251128</t>
  </si>
  <si>
    <t>20211204</t>
  </si>
  <si>
    <t>A02VE83933251100005</t>
  </si>
  <si>
    <t>KNAB3519LPT049331</t>
  </si>
  <si>
    <t>20221121</t>
  </si>
  <si>
    <t>20251111</t>
  </si>
  <si>
    <t>20221223</t>
  </si>
  <si>
    <t>2026011WW</t>
  </si>
  <si>
    <t>2026/01</t>
  </si>
  <si>
    <t>B28AANY71401324C000</t>
  </si>
  <si>
    <t>KMTG64LA7MU073214</t>
  </si>
  <si>
    <t>[C]CUSTOMER STATES CUSTOMER STATES 2 CS ENGINE LIGHT IS ON CHECK AND ADVISE [R]TECHNCIICN OPENED CASE WITH TECHLINE AND WAS SET TO REPLACE CATALTIIC CONVERTER PER CASE 2025112001622 [T]INTERNAL FAILURE TO CATALITIC CONVERTER. FOUND CODE FOR P042000 BANK 1 BELOW THRESHOLD. FOUND ENGINE SENDING EXCESSIVE FUEL TO ENGINE.</t>
  </si>
  <si>
    <t>2020/09/07</t>
  </si>
  <si>
    <t>2020/11/27</t>
  </si>
  <si>
    <t>2026년</t>
    <phoneticPr fontId="2" type="noConversion"/>
  </si>
  <si>
    <t>1분기</t>
    <phoneticPr fontId="2" type="noConversion"/>
  </si>
  <si>
    <t>B28AACA38713222A000</t>
  </si>
  <si>
    <t>KMHT36AH0NU011345</t>
  </si>
  <si>
    <t>[C]CUSTOMER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t>
  </si>
  <si>
    <t>2021/04/22</t>
  </si>
  <si>
    <t>2021/07/17</t>
  </si>
  <si>
    <t>B28VAPA0502549574-1</t>
  </si>
  <si>
    <t>KNAE55LC6M6088580</t>
  </si>
  <si>
    <t>[D]CUSTOMER STATES CHECK ENGINE LIGHT IS ON STEADY ALL THE TIME--INSTALL SOP- VERIFIED CONCERN-FOUND CODE PO420 STORED IN SYSTEM-CATALYTIC CONVERTER BANK 1 ERROR-REMOVED AND REPLACED CATALYTIC CONVERTER AND ALL NECESSARY 1 TIME USE GASKETS AND BOLTS-FILLED ALL FLUIDS AND ROAD TESTEDNUMEROUS MILES-OK AT THIS TIME</t>
  </si>
  <si>
    <t>2020/07/22</t>
  </si>
  <si>
    <t>2021/03/26</t>
  </si>
  <si>
    <t>2020-07</t>
  </si>
  <si>
    <t>B28AALA713003951000</t>
  </si>
  <si>
    <t>KMTG54TE4NU093833</t>
  </si>
  <si>
    <t>[C]WARNING LIGHTS ON. CUSTOMER STATES THAT THE CHECK ENGINE LIGHT IS ON. PLEASE CHECK AND ADVISE [R]Technician removed and replaced catalyst converter and bled coolant system [T]Per tech line catalyst converter failed component due to internal material defect P042000</t>
  </si>
  <si>
    <t>2021/10/14</t>
  </si>
  <si>
    <t>2021/12/13</t>
  </si>
  <si>
    <t>FX91202026W00013300</t>
    <phoneticPr fontId="6" type="noConversion"/>
  </si>
  <si>
    <t>KNAPH811BLA645356</t>
  </si>
  <si>
    <t>1.현상 : 검사 불합격으로 입
2.점검내용 및 원인 : 검사 불합격으로 입고되어 확인결과 DPF이상 확인되어 
3.조치내용 : 교환후 정상출고</t>
    <phoneticPr fontId="6" type="noConversion"/>
  </si>
  <si>
    <t>2026/01/22</t>
  </si>
  <si>
    <t>2019/12/30</t>
  </si>
  <si>
    <t>FX9</t>
  </si>
  <si>
    <t>PX01302026W00004400</t>
  </si>
  <si>
    <t>KNAB1518BST348048</t>
  </si>
  <si>
    <t>28600G6700</t>
  </si>
  <si>
    <t>[C]1.현상 : 주행중 가속시 드드득 이음발생되어입고됨 2.점검내용 및 원인 : 점검결과 센타머플러 내부 변형되어 가속시 드드득 이음발생됨 센타머플러 내부 창떨어짐으로 판단됨 3.조치내용 : 센타머플러 교환후 동일이음발생되지않고 정상작동됨</t>
  </si>
  <si>
    <t>2025/01/09</t>
  </si>
  <si>
    <t>2026/01/19</t>
  </si>
  <si>
    <t>2025/01/21</t>
  </si>
  <si>
    <t>2025-01</t>
  </si>
  <si>
    <t>PX0</t>
  </si>
  <si>
    <t>JX09502026W00006900</t>
  </si>
  <si>
    <t>KNARH81GBSA365135</t>
  </si>
  <si>
    <t>[C]1.현상 : 주행중 타는 냄새 및 머플러 물흐름 발생으로 점검 의뢰함 2.점검내용 및 원인 : 점검결과 냄새는 특이 현상 없고 머플러 물흐름 발생으로 확인 점검됨 3.조치내용 : 머플러 볼트 조입 교정후 정상 출고함</t>
  </si>
  <si>
    <t>28500A00</t>
  </si>
  <si>
    <t>H22</t>
  </si>
  <si>
    <t>2026/01/26</t>
  </si>
  <si>
    <t>JX0</t>
  </si>
  <si>
    <t>PK04002025W00292500</t>
  </si>
  <si>
    <t>KNACT81EGRA211275</t>
  </si>
  <si>
    <t>[C]1.현상 : 냉각수 과다소모 발생으로 정비의뢰. 2.점검내용 및 원인 : 점검결과 센터머플러 불량으로 인한 냉각수 소모발생. 3.조치내용 : 센터머플러 교환 설명출고</t>
  </si>
  <si>
    <t>2024/06/26</t>
  </si>
  <si>
    <t>2025/12/30</t>
  </si>
  <si>
    <t>2024/06/28</t>
  </si>
  <si>
    <t>PK0</t>
  </si>
  <si>
    <t>GX16302026W00005900</t>
  </si>
  <si>
    <t>KNARH81BGMA041042</t>
  </si>
  <si>
    <t>28607P2570</t>
  </si>
  <si>
    <t>[C]1.현상 : 요소수 경고등 점등으로 입고됨 2.점검내용 및 원인 : P20EE SCR 정화 효율 낮음 확인됨 SCR 이상으로 정화 이상 3.조치내용 : SCR 교환 후 정상 작동됨</t>
  </si>
  <si>
    <t>2020/08/10</t>
  </si>
  <si>
    <t>2026/01/15</t>
  </si>
  <si>
    <t>2020/08/11</t>
  </si>
  <si>
    <t>2020-08</t>
  </si>
  <si>
    <t>DX90302026W00005800</t>
  </si>
  <si>
    <t>KNARM81BGNA159396</t>
  </si>
  <si>
    <t>[C]1.현상 : 고속 주행 및 시내 주행 후 주차시 차랑 아래 소음 발생 점검 입고 2.점검내용 및 원인 : 외부 충격 없음 주행 후 주차시 센터 머플러에서 갈라지는 소음 발생 센터 머플러 소음으로 보여짐 3.조치내용 : 머플러 교환 후 고객 상담 후 출고</t>
  </si>
  <si>
    <t>2022/04/15</t>
  </si>
  <si>
    <t>2026/01/21</t>
  </si>
  <si>
    <t>2022/04/19</t>
  </si>
  <si>
    <t>AX90502026W00002700</t>
  </si>
  <si>
    <t>KNANC81BBMS056207</t>
  </si>
  <si>
    <t>[C]1.현상 : 차량 경고등점등으로 입고 2.점검내용 및 원인 : 단거리 운행으로 요소수 경고등 DPF LNT 재생 고속주행권고후 정상출고</t>
  </si>
  <si>
    <t>2021/01/14</t>
  </si>
  <si>
    <t>2021/01/20</t>
  </si>
  <si>
    <t>KX00102026W00000700</t>
  </si>
  <si>
    <t>KNANB81BBPS201115</t>
  </si>
  <si>
    <t>[C]1.현상 : 엔진 경고등점등발생으로 차량입고 2.점검내용 및 원인 : P2C7A00 암모니아 흡장량 진단 이상 경고등 점등발생</t>
  </si>
  <si>
    <t>2022/05/02</t>
  </si>
  <si>
    <t>2026/01/06</t>
  </si>
  <si>
    <t>2022/05/03</t>
  </si>
  <si>
    <t>FX91202026W00019700</t>
  </si>
  <si>
    <t>KNANC81BBPS333410</t>
  </si>
  <si>
    <t>[C]1.현상 : 엔진경고등 점등되어 입고 2.점검내용 및 원인 : P20EE00 고장코드 확이되어 3.조치내용 : 프론트 머플러 교환후 정상출고</t>
  </si>
  <si>
    <t>2026/01/29</t>
  </si>
  <si>
    <t>2023/05/18</t>
  </si>
  <si>
    <t>AX99202025W00055800</t>
  </si>
  <si>
    <t>KNANC81BBSS513564</t>
  </si>
  <si>
    <t>[C]1.현상 : 경고등 점등으로 입고 2.점검내용 및 원인 : 점검결과 EX9030 W 300 리어녹스센서 교체하였음에도 동일 현상 발생 및 P2C7A00 암모니아 흡장량 진단 이상 표출 중간부분 확인시 SCR부분 이상 발생 3.조치내용 : 머플러 교환후 출고함</t>
  </si>
  <si>
    <t>00999A0F</t>
  </si>
  <si>
    <t>2026/01/09</t>
  </si>
  <si>
    <t>2024/11/28</t>
  </si>
  <si>
    <t xml:space="preserve">2211A0399   </t>
  </si>
  <si>
    <t>HK05702025W00254800</t>
  </si>
  <si>
    <t>KNANC81BBSS535032</t>
  </si>
  <si>
    <t>[C]1.현상 : 배기가스 경고등 점등으로 인한 입고 2.점검내용 및 원인 : 진단기기 점검시 soot량 20g이상 soot 재생 원활하지 않으며 쌓여서 경고등 점등 사료됨 3.조치내용 : CPF재생 후 출고</t>
  </si>
  <si>
    <t>2025/02/05</t>
  </si>
  <si>
    <t>2025/12/31</t>
  </si>
  <si>
    <t>2025/02/06</t>
  </si>
  <si>
    <t>DK02802026W00043200</t>
    <phoneticPr fontId="6" type="noConversion"/>
  </si>
  <si>
    <t>KNACG911BPT368496</t>
  </si>
  <si>
    <t>28650A3550</t>
  </si>
  <si>
    <t>1.현상 : *엔진경고등 점등현상으로 입고 
2.점검내용 및 원인 : 진단점검시 P042000 촉매정화능력저하 점등
센터머플러재질불량으로 내부 비정상소착되어 주행중 엔진경고등점등 판단
3.조치내용 : 센터머플러 교환후 로드테스트시 정상으로 출고</t>
    <phoneticPr fontId="6" type="noConversion"/>
  </si>
  <si>
    <t>2023/08/21</t>
  </si>
  <si>
    <t>2023/08/29</t>
  </si>
  <si>
    <t>DK0</t>
  </si>
  <si>
    <t>JK03002026W00006100</t>
  </si>
  <si>
    <t>KNANE81BBSS544808</t>
  </si>
  <si>
    <t>[C]1.현상 : 주행중 경고등 점등으로 입고되어 2.점검내용 및 원인 : 점검 확인시 경고등 점등 확인되어 3.조치내용 : DPF 강제 재생후 정상출고</t>
  </si>
  <si>
    <t>2025/03/08</t>
  </si>
  <si>
    <t>2025/03/17</t>
  </si>
  <si>
    <t>JK0</t>
  </si>
  <si>
    <t>2030002026W00079800</t>
  </si>
  <si>
    <t>KNACR81EGTA310517</t>
  </si>
  <si>
    <t>28710AT100</t>
  </si>
  <si>
    <t>[C]1.현상 : 주행중 진동 및 주행후 머플러 뒤쪽에서 배기가스 냄새 2.점검내용 및 원인 : 육안 점검시 뒤쪽 머플러 미세한 구멍에서 배기가스 누출 및 그을음 확인 3.조치내용 : 뒤쪽 머플러 교체 완료</t>
  </si>
  <si>
    <t>2025/06/19</t>
  </si>
  <si>
    <t>2026/01/20</t>
  </si>
  <si>
    <t>2025/08/22</t>
  </si>
  <si>
    <t>GX00302026W00006700</t>
    <phoneticPr fontId="6" type="noConversion"/>
  </si>
  <si>
    <t>KNARJ81FHTA396876</t>
  </si>
  <si>
    <t>28710P2470</t>
  </si>
  <si>
    <t>1.현상 : 머플러 소음으로 입고
2.점검내용 및 원인 : 리어 머플러 재질 불량으로 공회전시 소음 발생
3.조치내용 : 리어 머플러 교환 조치함</t>
    <phoneticPr fontId="6" type="noConversion"/>
  </si>
  <si>
    <t>2025/11/27</t>
  </si>
  <si>
    <t>2025-11</t>
  </si>
  <si>
    <t>2026011WA</t>
  </si>
  <si>
    <t>2070002025W01541200</t>
  </si>
  <si>
    <t>KNANE81BBSS514509</t>
  </si>
  <si>
    <t>28780L6000</t>
  </si>
  <si>
    <t>HANGER</t>
  </si>
  <si>
    <t>[C]1.현상 : 정차중 진동과다로 입고함 2.점검내용 및 원인 : D레인지 정차시 엔진진동이 차체에 과다하게 올라옴, 머플러 행거 확인시 많이눌려있어 차체로 진동이 올라오는것으로보임 3.조치내용 : 하이테크그룹에 행거 업체직교품 개선품이있어 교환실시, 정위치확인함</t>
  </si>
  <si>
    <t>99HSTZ0T</t>
  </si>
  <si>
    <t>V72</t>
  </si>
  <si>
    <t>2024/11/22</t>
  </si>
  <si>
    <t>2025/11/13</t>
  </si>
  <si>
    <t>2024/11/26</t>
  </si>
  <si>
    <t>207</t>
  </si>
  <si>
    <t>B28VAWV0162574084-D</t>
  </si>
  <si>
    <t>KNDPRCA64J7376296</t>
  </si>
  <si>
    <t>I3A</t>
  </si>
  <si>
    <t>2017/08/16</t>
  </si>
  <si>
    <t>2025/12/03</t>
  </si>
  <si>
    <t>2018/04/16</t>
  </si>
  <si>
    <t>2017-08</t>
  </si>
  <si>
    <t>C21VA2282 KM2000025</t>
  </si>
  <si>
    <t>KNACR81EVP5036311</t>
  </si>
  <si>
    <t>[C]PLEASE DIAGNOSE EML ON DASH [R]carried out instillation of ne catalystic convverter including all gaskets. erased all dtc codes. all ok [T]carried out investigation in eml light on. tpms light also on. have inflated tyres to where needs to be 2.5 bar. scanned fault codes one active code: P042000 Catalyst system efficeiency below threshold (bank 1) carried out inspection of cat. no damage visible. potntial internal break up of catalyst</t>
  </si>
  <si>
    <t>2022/07/20</t>
  </si>
  <si>
    <t>2023/01/31</t>
  </si>
  <si>
    <t>C02VB6371AKM2600001</t>
  </si>
  <si>
    <t>KNACP81EGR5134860</t>
  </si>
  <si>
    <t>[C]LE CLIENT SE PLAINT D UN TEMOIN MOTEUR ALLUMEE [R]REGENERATION FAP + EFFACEMENT CODE DEFAUT + ESSAI OK [T]CONFIRMATION PLAINTE CLIENT MISE SOUS KDS - CODE P226D00 FILTRE A PARTICULE CONTROLE SONDE TEMP DPS OK TEMP 1 1.6V 385C° TEMP 2 1.5V 355C°</t>
  </si>
  <si>
    <t>39210R00</t>
  </si>
  <si>
    <t>2023/09/14</t>
  </si>
  <si>
    <t>2026/01/05</t>
  </si>
  <si>
    <t>2023/11/13</t>
  </si>
  <si>
    <t>C21VA2169 KM2000096</t>
  </si>
  <si>
    <t>KNACU81FVR5164146</t>
  </si>
  <si>
    <t>[C]Engine management light coming on. [R]Replaced CAT/GPF. Reset adaptive values and carried out road test. Checked DTC, no DTC present, all ok. [T]Carried out investigation into EML. Found fault code P042000. Hotline case made 299557. Carried out fault finding and removed exhaust flexi pipe, found damage to the CAT. Requires new CAT to rectify.</t>
  </si>
  <si>
    <t>2024/01/04</t>
  </si>
  <si>
    <t>2024/04/29</t>
  </si>
  <si>
    <t>C11AB04694250619000</t>
  </si>
  <si>
    <t>KMHHA8111RU011600</t>
  </si>
  <si>
    <t>2023/06/01</t>
  </si>
  <si>
    <t>2025/10/02</t>
  </si>
  <si>
    <t>2023/09/29</t>
  </si>
  <si>
    <t>C02VB06538KM2000002</t>
  </si>
  <si>
    <t>KNAE351ABL6085975</t>
  </si>
  <si>
    <t>285302C270</t>
  </si>
  <si>
    <t>[C]Motorlampje brandt wagen rijdt normaal [R]Vervangen katalysator [T]Motorlampje brandt wagen rijdt normaal. Code P226D00. Controle katalysator met camera = gruis te zien. Overgegaan tot demontage waarbij gruis is waargenomen in uitlaat. Aanmaken Hotline case 2995504. In samenspraak technische dienst overgegaan tot vervangen van katalysator</t>
  </si>
  <si>
    <t>2020/04/22</t>
  </si>
  <si>
    <t>2025/12/26</t>
  </si>
  <si>
    <t>2020/07/27</t>
  </si>
  <si>
    <t>2020-04</t>
  </si>
  <si>
    <t>B28VACA3222532386-C</t>
  </si>
  <si>
    <t>KNAE15LA8J6013210</t>
  </si>
  <si>
    <t>[D]CUSTOMER STATES CHECK ENGINE LIGHT IS ON CHECK AND ADVISE car sounded like it was struggling to hold an idle then later that day it stopped accelerating. kia of visalia attempted to fix it but the car is still struggling to stay idle inspect and report VEHICLE IN. VERIFIED CUSTOMER CONCERN THAT THE CHECK ENGINE LIGHT IS ON. PERFORMED FULL VEHICLE SYSTEM SCAN FOR DIAGNOSTIC TROUBLE CODES. P042000 CATALYST SYSTEM EFFICIENCY BELOW THRESHOLD (BANK 1). PERFORMED INSPECTION. OXYGEN SENSORS ARE GOOD AND CONNECTED. PERFORMED EXHAUST BACK PRESSURE TEST. FOUND THE THAT CATALYST CONVERTER HAS EXCESSIVE BACK PRESSURE. MEASURED 2.5 PSI AT IDLE. SPEC IS 1.2 PSI. RECOMMEND REPLACING CATALYST CONVERTER AND RETEST. REMOVED AND REPLACED CATALYST CONVERTER. CLEARED DIAGNOSTIC TROUBLE CODE. XT:XXT FOR SCAN TOOL-NO RQO ADD WITH THIS OPCODE</t>
  </si>
  <si>
    <t>2017/10/31</t>
  </si>
  <si>
    <t>2018/05/12</t>
  </si>
  <si>
    <t>B28VACA3352509105-B</t>
  </si>
  <si>
    <t>KNAE15LA6J6023203</t>
  </si>
  <si>
    <t>[D]c/s check engine light is on. tech verified concern, found multiple codes on p209700. tech inspected cat using borescope and found white residue in the cat showing signs of initial deterioration. dpsm approved cat replacement. tech replaced cat and test drove vehicle, verified now operating as designed.</t>
  </si>
  <si>
    <t>2017/12/21</t>
  </si>
  <si>
    <t>2018/03/25</t>
  </si>
  <si>
    <t>2017-12</t>
  </si>
  <si>
    <t>B28VANJ0662532687-7</t>
  </si>
  <si>
    <t>KNAE15LA1J6034559</t>
  </si>
  <si>
    <t>[D]CUSTOMER STATES CHECK ENGINE LIGHT IS ON. TECH SCANNED VEHICLE AND FOUND CODE P0420 CATALYST SYSTEMEFFICIENCY BELOW THRESHOLD BANK 1 TECH DROPPED CAT DOWN AND FOUND CAT BROKEN UP INSIDE. TECH REPLACED CATALYST CASE ASSY WITH NECESSARY GASKETS, NORMAL OPERATION</t>
  </si>
  <si>
    <t>2018/04/05</t>
  </si>
  <si>
    <t>2018/09/24</t>
  </si>
  <si>
    <t>2018-04</t>
  </si>
  <si>
    <t>B28VANJ0662532687-N</t>
  </si>
  <si>
    <t>B28VAFL0562573478-A</t>
  </si>
  <si>
    <t>KNAE25LA4J6040997</t>
  </si>
  <si>
    <t>[D]GUEST STATES CHECK ENGINE LIGHT IS ON WITH A CODE P2096 - DIAGNOSE DTCs P2096 Post Catalyst Fuel Trim System Too Lean, found catalytic converter causing DTC. catalytic converter efficiency deteriorated, 61058 check engine light on 28560R4A 3.00 DTCs P2096 Post Catalyst Fuel Trim System Too Lean, found catalytic converter causing DTC. catalytic converter efficiency deteriorated, removed and replace catalytic converter(labor op 28530R4A 3.0HRS). in attempt to replacing catalytic converter, mounting studs broken off inside turbo exhaust housing with no way to be removed. turbochager assembly needs to be replaced along with installing new studs for catalytic converterPWA# FL0562510760</t>
  </si>
  <si>
    <t>2018/05/29</t>
  </si>
  <si>
    <t>2025/12/11</t>
  </si>
  <si>
    <t>2018/12/22</t>
  </si>
  <si>
    <t>B28VANJ074253191000</t>
  </si>
  <si>
    <t>KNDPRCA64L7751302</t>
  </si>
  <si>
    <t>2019/09/03</t>
  </si>
  <si>
    <t>2020/01/09</t>
  </si>
  <si>
    <t>B28VAIL0162557485-2</t>
  </si>
  <si>
    <t>KNDPRCA69L7801000</t>
  </si>
  <si>
    <t>2020/01/03</t>
  </si>
  <si>
    <t>2020/06/22</t>
  </si>
  <si>
    <t>2020-01</t>
  </si>
  <si>
    <t>D26VBTR162KM2001301</t>
  </si>
  <si>
    <t>KNCSJX768R7764888</t>
  </si>
  <si>
    <t>[C]PARTİKÜL ARIZASI YANIYOR MOTOR ARIZA IŞIĞI YANIYOR [R]DPF ve contalarının değişimi yapıldı. Tanıtımları yapıldı. Sorun giderildi. [T]kds ile yapılan kontrollerde P200300 arızası tespit edildi. Arıza silindi. PM sensörü, üre enjektörü temizlendi. dpf doluluk oranına bakıldı 20,19 gr olduğu görüldü . KDS ile rejerenasyon yapıldı 4,27 gr düştüğü görüldü. Aynı arızayı tekrar verdiği. Arıza tekrarı olduğu tespit edildi. DPF iç arızas</t>
  </si>
  <si>
    <t>2024/01/10</t>
  </si>
  <si>
    <t>D26VBTR184KM2500012</t>
  </si>
  <si>
    <t>KNCSJX763R7771313</t>
  </si>
  <si>
    <t>[C]MOTOR ARIZA LAMBASI YANDI KONTROL [R]ARACIN DPF DEGİŞTİ ARIZA GİDERİLDİ ESKİ LOT:10155 YENİ LOT:10236 [T]ARAÇ EKRANDA MOTOR ARIZA LAMBASI YANDI ŞİKAYETİ İLE GELDİ ARACA YAPILAN İNCELEME VE KONTROLLERDE KDS TEST CİHAZINDA P200300 ARIZA KODU VERİYORDU ARACIN TESİSAT KONTROLÜ YAPILDI DPF KURUM MİKTARI KONTROLÜ YAPILDI RJENALASYON İŞLEMİ YAPILDI ARACIN RJENALASYON YAPMADIGI GÖMÖRÜLDÜ ARACIN ARACIN PM SENS [L]NOT: BU ARAÇ 11.25.2025 TARİHİNDE AYNI ŞİKAYETTEN GELMİŞTİ ARACA AYNI İŞLEMLER YAPILDI TEST AMAÇLI TESLİM EDİLMİŞTİ 26.12.2025 İTİBARİYLE TEKRAR AYNI ŞİKAYETLE GELDİ [D]Claime susturucunun iç, dış ve lot numarası fotoğraflarını ekleyiniz.</t>
  </si>
  <si>
    <t>2024/02/01</t>
  </si>
  <si>
    <t>D26VBTR021KM2004106</t>
  </si>
  <si>
    <t>KNCSJX767R7773078</t>
  </si>
  <si>
    <t>[C]ARIZA LAMBASI YANIYOR KONTROL [R]PARTİKÜL FİLTRESİNİN DEĞİŞİMİ SIRASINDA FİLTRE ÜZERİNDE BULUNAN ISI SENSÖRÜ SÖKÜLÜRKEN KAYNAMA YAPTIĞI GÖRÜLDÜ SENSÖR ZOR SÖKÜLDÜ İNCELEME SENSÖRÜN DİŞ KISIMLARININ SIYIRMA YAPTIĞI GÖRÜLDÜ TEKRAR TAKIMI MÜMKÜN DEĞİLDİR, SENSÖR VE PARTİKÜL FİLTRESİ DEĞİŞTİRİLDİ SORUN GİDERİLDİ [T]ARAÇ SERVİSİMİZE ARIZA LAMBASI YANIYOR ŞİKAYETİ İLE GELDİ KDS KONTROLLERİNDE ARACIN P200300 PARTİKÜL FİLTRESİ İÇ HASARI ARIZASI VERDİĞİ GÖRÜLDÜ ARACA REJENERASYON İŞLEMİ SAĞLANILDI VE TAKİBE ALINDI, ARAÇ 19.12.2025 TARİHİNDE TEKRAR ARIZA LAMBASI YANIYOR ŞİKAYETİ İLE GELDİ İNCELEMEDE P200300 PARTİKÜL [D]Claime DPF''in iç ve dış kısmının + lot numarasının fotoğrafı eklenmelidir</t>
  </si>
  <si>
    <t>2024/02/07</t>
  </si>
  <si>
    <t>D26VBTR162KM2001303</t>
  </si>
  <si>
    <t>KNCSJX760R7780194</t>
  </si>
  <si>
    <t>[C]motor arıza lambası yanıyor araç beyaz duman atıyor [R]DPF ve contalarının değişimi yapıldı. Tanıtımları yapıldı. Sorun giderildi. [T]kds ile yapılan kontrollerde P200300 arızası tespit edildi. Arıza silindi. PM sensörü, üre enjektörü temizlendi. dpf doluluk oranına bakıldı 7,77 gr olduğu görüldü . KDS ile rejerenasyon yapıldı 0,00 gr düştüğü görüldü. Aynı arızayı tekrar verdiği. Arıza tekrarı olduğu tespit edildi. DPF iç arızası [D]Claime DPF''in iç ve dış kısmının + lot numarasının fotoğrafı eklenmelidir.</t>
  </si>
  <si>
    <t>2024/03/13</t>
  </si>
  <si>
    <t>D26VBTR126KM2001081</t>
  </si>
  <si>
    <t>KNCSJX768R7781545</t>
  </si>
  <si>
    <t>[C]MÜŞTERİ BEYANINA GÖRE ARACIN EGZOZ UYARIS LAMBASI YANIYOR MÜŞTERİ BEYANINA GÖRE ARACIN MOTOR ARIZA LAMBASI YANIYOR [R]DPF DEĞİŞİMİ GEREKMEKTEDİR.DPF DEĞİŞİM YAPILDI [T]YAPILAN KONTROLLERDE ARACIN ARIZA LAMBASININ YANDIĞI GÖRÜLDÜ.KDS İLE YAPILAN KONTROLLERDE P200300 ARIZA KODU GÖRÜLDÜ.ARACA REJENERASYON UYGULANDI ARAÇ TEST EDİLDİ FAKAT ARIZANIN DEVAM ETTİĞİ GÖRÜLDÜ.NOX VE PM SENSÖR TEMİZLİĞİ VE KONTROLLER YAPILDI SORUN GÖRÜLMEDİ.ARIZANIN DPF TEN KAYNAKLANDIĞI TESPİ [L]Parça lot numaralar eklenecektir. Kurum mikterı düzeltilmiştir. [D]Claime DFP lot + iç dış eklemeyi unutmayınız. KURUM ekran görüntüsü hatalı alınmış. Düzeltiniz.</t>
  </si>
  <si>
    <t>2024/03/19</t>
  </si>
  <si>
    <t>2025/12/04</t>
  </si>
  <si>
    <t>2024/07/06</t>
  </si>
  <si>
    <t>C11VC02253KM2000007</t>
  </si>
  <si>
    <t>KNAB2518APT191364</t>
  </si>
  <si>
    <t>28600G6720</t>
  </si>
  <si>
    <t>[C]IL CLIENTE LAMENTA RUMORE METALLICO PROVENIENTE DALLA PARTE INFERIORE DELLA VETTURA DURANTE LA MARCIA E ACCENSIONE SPIA MOTORE [R]SI PROCEDE CON LO SMONTAGGIO E LA SOSTITUZIONE DEL CATALIZZATORE E DELLA MARMITTA TERMINALE E AQZZERAMENTO GUASTI. [T]DA CONTROLLO E RPOVA DELLA VETTURA SI RISCONTRA RUMORE METALLICO PROVIENTE DALLA PARTE INFERIORE DELLA VETTURA E SPIA MOTORE ACCESA. DOPO VERIFICA E CONTROLLO SI RISCONTRA CHE LA RUMOROSITA' PROVIENE DALL'INTERNO DEL CATALIZZATORE E DALLA PARTE TERMINALE DELLA MARMITTA. SI RISCONTRA IL DTC P042000 E [L]19/01/2026 ALLEGATO VIDEO DEL GUASTO E DTC</t>
  </si>
  <si>
    <t>2023/10/19</t>
  </si>
  <si>
    <t>2025/09/26</t>
  </si>
  <si>
    <t>2024/02/29</t>
  </si>
  <si>
    <t xml:space="preserve">B06VA620692583178A </t>
  </si>
  <si>
    <t>KNDNB5H34N6062842</t>
  </si>
  <si>
    <t>플랜지 누기</t>
    <phoneticPr fontId="6" type="noConversion"/>
  </si>
  <si>
    <t>[C]CLIENTE MENTIONNE UNE PERTE D ECHAPPEMENT ENTRE LE GENERATEUR ET LE SOUFFLEUR ( DIAG FAIT DANS UN AUTRE GARAGE) [R]doit changer silencieux arriere et partie central c: correction Sorti estimé retirer la ligne d'echappement, nettoyer et remplacer les 2 parties avec des nouveaux gasket. essayer, ok [T]c: cause Constater fuite d'echappement, verifier flange casser parti ou le resonateur et le silencieux arriere pas etanche.c: cause Constater fuite d'echappement, verifier flange casser parti ou le resonateur et le silencieux arriere pas etanche.</t>
  </si>
  <si>
    <t>2021/02/01</t>
  </si>
  <si>
    <t>2021/08/17</t>
  </si>
  <si>
    <t xml:space="preserve">B06VA531122632072A </t>
  </si>
  <si>
    <t>KNDNC5H32N6072816</t>
  </si>
  <si>
    <t>[C]DURING SAFETY INSPECTION FOUND EXHAUST FLANGE CRACKED ** SOP PARTS HERE AS PER TECH 113 INSP ON PREV RO ** [R]REMOVED THE OLD CENTER PIPE AND INSTALLED NEW PIPE WITH GASKETS AND TESTED OK [T]EXHAUST FLANGE CRACKED AND LEAKING</t>
  </si>
  <si>
    <t>2021/03/02</t>
  </si>
  <si>
    <t>2021/05/24</t>
  </si>
  <si>
    <t>B28VAIN0332690511-A</t>
  </si>
  <si>
    <t>KNDCR3LE6P5115856</t>
  </si>
  <si>
    <t>[D]CONDITION: REPLACE SOP PARTS FOR COOLANT LEAK CORRECTION: COOLANT LEAK 28673R1H TECH REPLACED COOLANT HEATER MUFFLER PER TECH 2354, TECH PRESSURE TESTED SYSTEM AND NO LEAK FOUND AFTER REPAIR CUSTOMERSTATES CHECK FOR COOLANT LEAK TECH FOUND COOLANT LEAKING FROM EXHUAST ASSY TECH REMOVED AND REPLACED EXHUAST ASSY DUE TO COOLANT LEAK, TECH PRESSURE TESTED AFTERWARD AND FOUND LEAK IS RESOLVED</t>
  </si>
  <si>
    <t>28673R1H</t>
  </si>
  <si>
    <t>2023/06/22</t>
  </si>
  <si>
    <t>2026/01/02</t>
  </si>
  <si>
    <t>2023/09/02</t>
  </si>
  <si>
    <t>B28VAKS019252156003</t>
  </si>
  <si>
    <t>KNDCT3LE6R5128028</t>
  </si>
  <si>
    <t>[D]CONDITION: customer states that about a month ago had to add coolant and for a few months has smelled a sweet smell like coolant burning check and adivse vehicle has not overheated CAUSE: Found cooling system to be leaking coolant internally in exhaust heater CORRECTION: Drain coolant remove midpipe and replace cat and heater assembly. Bleed cooling system and test drive. .25467R1H 1.9</t>
  </si>
  <si>
    <t>2023/11/30</t>
  </si>
  <si>
    <t xml:space="preserve">B06VA611352626515A </t>
  </si>
  <si>
    <t>KNDCR3LE6R5152022</t>
  </si>
  <si>
    <t>[C]verification CLIENTE MENTIONNE QUE LIQUIDE ROSE EST MOINS QUE LA MOITIÉ [R]retirer undercover vider systeme anti gel remplacer exgauste heater remonter le tout rempli et bleeder sytrem antigel [T]verification liquide rose ( antigel ) niveau bas inspection fuites aucune fuite trouve remplissage au niveau inspection remarque legere fumee rose proche du recuperateur de la chaleur des gaz d'echappement le recuperateur de chaleur des gaz d'echappement est a remplacer car il brule l'antigel a caus</t>
  </si>
  <si>
    <t>2023/11/21</t>
  </si>
  <si>
    <t>2024/01/31</t>
  </si>
  <si>
    <t>B28VACA3362524434-2</t>
  </si>
  <si>
    <t>KNDCR3LE9S5223252</t>
  </si>
  <si>
    <t>[D]CONDITION: found the EHRS exhaust heat recovery system found leaking in too exhaust for correction well need to be replaced CAUSE: upon inspection confirmed low coolant in reservoir check all hoses for leaks no leaks found CORRECTION: CUSTOMER STATES COOLANT IS LOW CHECK AND ADVISE EHRS 28672R1HEHRS Hose &amp; Tube Assy (HEV) R&amp;R1.10.performed replacementand topped off coolant to proper spec levels</t>
  </si>
  <si>
    <t>2024/11/10</t>
  </si>
  <si>
    <t>B28VACA3362524434-N</t>
  </si>
  <si>
    <t>B28VAAZ0012503694-N</t>
  </si>
  <si>
    <t>KNDCR3LE2S5260501</t>
  </si>
  <si>
    <t>[D]CONDITION: CUSTOMER STATES ENGINE COOLANT LEVEL KEEPS DROPPING AFTER EVERY DRIVE. NO SIGNS OF LEAKAGE ANYWHERE. YOU CAN SMELL BURNING COOLANT AFTER DRIVING. CUSTOMER WAS HERE 11/5/25, REFER TO RO 4302716, WE DID A PRESSURE TEST FOR 15 MINUTES AND FOUND NO LEAKS. CHE CAUSE: mechanical failure- FOUNDCOOLANT LEAKAGE FROM EXHAUST HEAT RECOVERY SYSTEM PIPE CORRECTION: VERIFIED CUST CONCERN FOUND COOLANT LEVEL LOW. PERFORM PRESSURE TEST OVERNIGHT AND FOUND PRESSURE TO STAY AT 14PSI. REMOVE SPARK PLUGS AND INSPECT CYLINDERS FOR LEAKAGE AND FOUND NONE. REMOVE EXHAUST PIPE AND FOUND DRIED COOLANT PRESENT FROM THE EHRS. REMOVE AND REPLACE EXHAUST HEATER 25467R1H 1.9</t>
  </si>
  <si>
    <t>2024/12/30</t>
  </si>
  <si>
    <t>2025/04/24</t>
  </si>
  <si>
    <t>B28VAAZ0012503694-A</t>
  </si>
  <si>
    <t>C07VA2644AKM2000074</t>
  </si>
  <si>
    <t>KNARH81BHP5187105</t>
  </si>
  <si>
    <t>[C]Auto ruckelt beim Fahren [R]Katalysatoreinheit laut WHB ersetzt [T]Fehlerspeicher ausgelesen, KAT ausgebaut und geprüft Kat hat ein Loch</t>
  </si>
  <si>
    <t>DK4</t>
  </si>
  <si>
    <t>2022/10/20</t>
  </si>
  <si>
    <t>2023/01/26</t>
  </si>
  <si>
    <t>B22VB00000AU-300624</t>
  </si>
  <si>
    <t>KNAB2512ATT337923</t>
  </si>
  <si>
    <t>28610G6BA0</t>
  </si>
  <si>
    <t>[C]Cliente reporta que siente una vibración debajo de la carroceria . [R]Cambio de mofle . [T]Se procede revisar encontrando que la carroceria presenta degaste prematuro .</t>
  </si>
  <si>
    <t>V96</t>
  </si>
  <si>
    <t>2024/12/10</t>
  </si>
  <si>
    <t>2026/01/07</t>
  </si>
  <si>
    <t>2025/03/25</t>
  </si>
  <si>
    <t>B22</t>
  </si>
  <si>
    <t>PANAMA</t>
  </si>
  <si>
    <t>A06VBA06VBA06B26A32</t>
  </si>
  <si>
    <t>KNANC81BBP6389033</t>
  </si>
  <si>
    <t>28650R0540</t>
  </si>
  <si>
    <t>소음</t>
    <phoneticPr fontId="6" type="noConversion"/>
  </si>
  <si>
    <t>[C]Check on Muffler when driving had loud noise from that [R]need to replace new muffler center assy. [T]verified customer concern, performed KDS scan and no fault code found, and then starting engine to found out the sound from and we heard a loud noise inside muffler center, we remove the muffler center out and we also testing more noise from exhaust, it was no noise at all. Assumed that noise from M</t>
  </si>
  <si>
    <t>2023/09/21</t>
  </si>
  <si>
    <t>2023/12/30</t>
  </si>
  <si>
    <t>A06</t>
  </si>
  <si>
    <t>CAMBODIA</t>
  </si>
  <si>
    <t>B13VA00000361755000</t>
  </si>
  <si>
    <t>KNCWJX72AS7781937</t>
  </si>
  <si>
    <t>287004E960</t>
  </si>
  <si>
    <t>Q57</t>
  </si>
  <si>
    <t>2024/03/20</t>
  </si>
  <si>
    <t>2024/05/30</t>
  </si>
  <si>
    <t>B13</t>
  </si>
  <si>
    <t>EL SALVADOR</t>
  </si>
  <si>
    <t>B28VAUT0132617895-1</t>
  </si>
  <si>
    <t>KNDCR3LE8P5061475</t>
  </si>
  <si>
    <t>[D]C/S MUFFLER PART IS IN P ER SWASEY. WE DIAGNOSED LAST RO. Customer stated that there was a leak coming from the muffler of the vehicle. Verified customer concern of a leak coming from the mufflerTECH INSEPCTED REAR MUFFLER AND VERIFIED CUSTOMER CONCERN OF THE LEAK IN REAR MUFFLER LEAKING ON DRIVER SIDE CREASE, RECOMMEND ERPLACING MUFFLER. TECH REMOVED AND REPLACED MUFFLER AND GASKET.</t>
  </si>
  <si>
    <t>2022/10/31</t>
  </si>
  <si>
    <t>2022/12/30</t>
  </si>
  <si>
    <t>B18VA00003CH-659000</t>
  </si>
  <si>
    <t>KNCWJX72AS7797878</t>
  </si>
  <si>
    <t>[C]Customer reported an abnormal noise coming from the underbody. [R]Replace the part. [T]Technician verified that the exhaust tail pipe was broken.</t>
  </si>
  <si>
    <t>2024/05/24</t>
  </si>
  <si>
    <t>C06VAFR063KM2001133</t>
  </si>
  <si>
    <t>KNACR81FGP5061626</t>
  </si>
  <si>
    <t>289G008020</t>
  </si>
  <si>
    <t>CONVERTER ASSY-GPF</t>
  </si>
  <si>
    <t>[C]VOYANT MOTEUR QUI REVIENT LA VOITURE NE SE MET JAMAIS EN ÉLECTRIQUE ALORS QU ELLE A ÉTÉ CHARGER TOUTE LA NUIT BRUIT DE FROTTEMENT A L AVANT SUR LE PASSAGE DES DODANNES OU ROUTES ABIMÉES [R]DEMANDE D ACCORD [T]PASSAGE AU TESTEUR DEFAUT P20800 SONDE DEJA REMPLACÉE CONTROLE TESTEUR SONDE AV 1.5V AR 1.5 V OK CONTROLE DONNEES COURANTES SONDE AV 584°C AR 360°C FAP BOUCHER PRÉVOIR LE REMPLACEMENT [D]19/12 Bonjour, demande approuvée, cdt AP 15/12 Bonjour veuillez joindre l''OR en PJ, cdt AP</t>
  </si>
  <si>
    <t>I51</t>
  </si>
  <si>
    <t>2023/05/10</t>
  </si>
  <si>
    <t>막힘</t>
  </si>
  <si>
    <t>UCC</t>
  </si>
  <si>
    <t>카파UCC</t>
    <phoneticPr fontId="6" type="noConversion"/>
  </si>
  <si>
    <t>C17VC00159KM2600009</t>
  </si>
  <si>
    <t>KNACR81EGR5110122</t>
  </si>
  <si>
    <t>[C]CLIENTE INDICA PILOTO AVERÍA MOTOR ENCENDIDO FIJO EN CUADRO [R]SUSTITUIR 2º CATALIZADOR Y COMPROBAR EL BUEN FUNCIONAMIENTO, OK. [T]DTC: P040100 SE DETECTÓ FLUJO INSUFICIENTE EGR ''A''. SE COMPRUEBA FUNCIONAMIENTO DE EGR, OK. SE DESMONTA ENFRIADOR EGR PARA VER SI ESTÁ CIEGO; NO ESTA CIEGO. SE DESMONTAN LOS DOS CATALIZADORES PARA VER ALGÚN DAÑO. SE VE EN CATALIZADOR 2º QUE HAY TROZOS EN FORMA DE POLVO DE MATERIAL CATALITICO. HAY</t>
  </si>
  <si>
    <t>28416R00</t>
  </si>
  <si>
    <t>2023/05/26</t>
  </si>
  <si>
    <t>2023/10/27</t>
  </si>
  <si>
    <t>C06VAFR144KM2000004</t>
  </si>
  <si>
    <t>KNACR81EGS5252211</t>
  </si>
  <si>
    <t>[C]LE VOYANT MOTEUR EST ALLUME SUR MON VEHICULE [R]CATA + FAP + JOINT A REMPLACER REMPLACEMENT CATA + FAP EFFACEMENT DEFAUT REINITIALISATION VALEUR ESSAI PROBLEME RESOLU [T]VOYANT MOTEUR ALLUME LECTURE DEFAUT P226D CONTROLE FAP - ANORMALEMENT ENDOMMAGE CONTROLE CATA - ANORMALEMENT ENDOMMAGE TEST CARBURANT OK TEST INJECTEUR OK [D]07/01 Bonjour, demande approuvée. Cdlt EC 06/01 Bonjour, veuillez retirer l''or non rgpd, joindre l''or signé par le client, retirer le test ev qui ne correspond pas à ce véhicule, joindre des photos du test injecteurs et du test carburant. Cdlt EC 05/01 Bonjour, veuillez remplacer l''OR par l''OR RGPD et joindre la photo du silencieux. Cdlt MP</t>
  </si>
  <si>
    <t>2024/11/27</t>
  </si>
  <si>
    <t>2025/02/25</t>
  </si>
  <si>
    <t>A08VGC0031W25120002</t>
  </si>
  <si>
    <t>KNCSHX76CS7843006</t>
  </si>
  <si>
    <t>286004E850</t>
  </si>
  <si>
    <t>[C]客戶進廠反應儀表板故障燈會一直亮起，服務廠檢查後確認有此情況 [R]更換新品零件後故障排除 [T]技師檢查KDS讀取故障碼為P200300微粒濾清器效率低於極限值，查詢GSW故障碼為顆粒過濾器效率低於閾值。 先清除故障碼嘗試重現故障，發現進行路試約30-40分鐘即會亮起故障燈。拆卸DPF檢查，發現內部碳灰過多。判定需更換中段消音器總成及後差壓感知器</t>
  </si>
  <si>
    <t>2025/02/07</t>
  </si>
  <si>
    <t>A08</t>
  </si>
  <si>
    <t>TAIWAN</t>
  </si>
  <si>
    <t>JK42702026W00007500</t>
  </si>
  <si>
    <t>KNACJ911BPT347921</t>
  </si>
  <si>
    <t>20230328</t>
  </si>
  <si>
    <t>20260122</t>
  </si>
  <si>
    <t>20230406</t>
  </si>
  <si>
    <t>JK4</t>
  </si>
  <si>
    <t>GX03002025W00168300</t>
  </si>
  <si>
    <t>KNACJ911BST427010</t>
  </si>
  <si>
    <t>20250207</t>
  </si>
  <si>
    <t>20251224</t>
  </si>
  <si>
    <t>20250210</t>
  </si>
  <si>
    <t>C06VAFR723KM2000037</t>
  </si>
  <si>
    <t>KNAB2511AKT376156</t>
  </si>
  <si>
    <t>[C]Le client se plaint d'un voyant moteur [R]Remplacement du catalyseur - essai ok [T]Confirmation plainte client - passage kds dtc p209600 - contrôle alimentation lambda ok - contrôle valeurs lambda ok - fusibles ok - dépose tresse échappement pour contrôle catalyseur - morceaux se détachent - catalyseur présente un défaut interne</t>
  </si>
  <si>
    <t>20180907</t>
  </si>
  <si>
    <t>20251125</t>
  </si>
  <si>
    <t>20190109</t>
  </si>
  <si>
    <t>JK42302026W00016700</t>
  </si>
  <si>
    <t>KNAB3518BST341956</t>
  </si>
  <si>
    <t>2853007035</t>
  </si>
  <si>
    <t>[C]1.현상 : 엔진 경고등 점등 및 주행중 가속시 출력 부족으로 입고 2.점검내용 및 원인 : 주행중 간헐적 실화 경고등 발생 확인 동일 현상 발생 3번 실린더 점화 플러그 이그니션 코일 및 연료 인젝터 교환 이력 있음 1번 3번 점화 플러그 및 이그니션 코일 교환 후 시운전 시 간헐적 엔진 경고등 점멸 확인 촉매 탈거 후 점검시 촉매 손상 확인 3.조치내용 : 촉매 신품으로 교환 및 프론트/리어 산소센서 고착으로 동시 교환 조치함</t>
  </si>
  <si>
    <t>00001A0F</t>
  </si>
  <si>
    <t>20241220</t>
  </si>
  <si>
    <t>20260115</t>
  </si>
  <si>
    <t>C21VA2028 KM2000121</t>
  </si>
  <si>
    <t>KNAB3511LKT415429</t>
  </si>
  <si>
    <t>[C]Customer complaint engine warning light on please check &amp; advise. [R]Replace Cat converter as required. Ive inspected and confirm previous diagnosis and as required ive r+r the catalyst converter as per workshop manual and all is good. Ive carry out the road test drive and all is good. Ive re-scanned vehicle using KDS2 and find no fault code all is good. [T]Checked and confirm EML light on dash, code read vehicle to find history code p209600 in the engine system. looked at live data for 02 sensor dropping out and all is okay. Numerous cases relating to a cat issue internally. due to an internal failure of cat will require new to rectify.</t>
  </si>
  <si>
    <t>20181112</t>
  </si>
  <si>
    <t>20190314</t>
  </si>
  <si>
    <t>C21VA2211 KM2000017</t>
  </si>
  <si>
    <t>KNAB2511LLT605433</t>
  </si>
  <si>
    <t>[C]Inspect and advise on MIL on, vehicle has had 1 x coil replaced at Cit care-she has been told Cat failed? [R]replace damaged Cat converter and drop centre section of exhaust and remove debris [T]check and confirm MIL is on carry out DTC check and report P209600 Cat fuel trim system too lean Bnk 1 check live data and find both up and down streamsensors reading but are mirroring each other, indicating a catalyst fault, requires new Cat converter and re test check and find both o2 heater circu [L]clear DTC and road test, all ok</t>
  </si>
  <si>
    <t>20191028</t>
  </si>
  <si>
    <t>20260107</t>
  </si>
  <si>
    <t>20200116</t>
  </si>
  <si>
    <t>C06VAFR637KM2000041</t>
  </si>
  <si>
    <t>KNAB2511ALT635306</t>
  </si>
  <si>
    <t>[C]Le client se plaint d'un temoin moteur sans perte de puissance [R]remplacement du FAP [T]Voyant moteur sans perte de puissance - KDS P042000 - Dépose du catalyseur et du FAP pour constatation. le FAP et le Catalyseur sont endommagés- controle bougies ras- controle qualité et pression de carburant ras- controle injecteurs ras-</t>
  </si>
  <si>
    <t>20191217</t>
  </si>
  <si>
    <t>20251209</t>
  </si>
  <si>
    <t>20200310</t>
  </si>
  <si>
    <t>C21VA2263 KM2002164</t>
  </si>
  <si>
    <t>KNAB3518LNT936981</t>
  </si>
  <si>
    <t>[C]INVESTIGATE WARNING LIGHT ON DASH [R]REPLACED CATALYTIC CONVERTER, TEST OPERATIOIN AND FAULT RECTIFIED. [T]HISTORICE FAULT CODE FOR CATALYST SYSTEM EFF BELOW THRESHOLD BANK 1 PRESENT. CARRIED OUT DATA ANALYSIS FOLLOWING DTC GUIDE AND SENSOR READING OK. REMOVED EXHAUST TO INSPECT CATALYTIC CONVERTER, FOUND HONEYCOMB FILTER DISTORTED. ADVISE REPLACING CATALYTIC CONVERTER</t>
  </si>
  <si>
    <t>20220218</t>
  </si>
  <si>
    <t>20250920</t>
  </si>
  <si>
    <t>20220429</t>
  </si>
  <si>
    <t>C09VB000005120216</t>
  </si>
  <si>
    <t>KNAB3518APT066471</t>
  </si>
  <si>
    <t>[C]Check engine light in instrument clauster. [R]Replaced GPF. Reset adaption valued. Regen performed to clear soot in system. Testdrive &gt; OK [T]DTC read : P042000Catalyst System Efficiency Below Threshold (Bank 1). Catalyst inspected &gt; element is not damaged, but too much soot is passing through. Heavy sooting on O2 sensor. Need to replace catalyst.</t>
  </si>
  <si>
    <t>20221226</t>
  </si>
  <si>
    <t>20251023</t>
  </si>
  <si>
    <t>20230306</t>
  </si>
  <si>
    <t>C09</t>
  </si>
  <si>
    <t>ICELAND</t>
  </si>
  <si>
    <t>C16VCP1822KM2500020</t>
  </si>
  <si>
    <t>KNAB3518JPT231092</t>
  </si>
  <si>
    <t>[C]VIATURA CHEGOU ÀS NOSSAS INSTALAÇÕES COM LUZ DE MOTOR ACESA E A PERDER ÓLEO [R]Substituir catalisador e material necessário. [T]Depois dos testes e da leitura de dtcs verificamos que é necessário substituir o catalisador, dtc- p042000, deformação interna no catalisador.</t>
  </si>
  <si>
    <t>20240219</t>
  </si>
  <si>
    <t>20251110</t>
  </si>
  <si>
    <t>C24VACZ062KM2000428</t>
  </si>
  <si>
    <t>KNAB3518JST276995</t>
  </si>
  <si>
    <t>[C]svítí kontrolka motoru - check Převedeno z KB023830 [R]DOŠLO K VÝMĚNĚ KATALIZÁTORU A OBOU LAMDASOND + VYFOUKÁNÍ PŘÍDAVNÉHO KATALIZÁTORU [T]- STÍŽNOST ZÁKAZNÍKA OPAKOVANĚ POTVRZENA. - KONTROLA DIAGNOSTIKOU - P042000 - KONTROLA KATALIZÁTORU VYKÁZALA POPRASKANÝ A ZAPEČENÝ - SEPSÁN HOTLINE-2981604. - PO KONTROLE PALIVA,KOMPRESE,VÁLCŮ KAMEROU,LAMDASOND A VSTŘIKOVAČŮ DOŠLO K VÝMĚNĚ KATALIZÁTORU A OBOU LAMDASOND + VYFOUKÁNÍ PŘÍDAVNÉHO [L]- SEPSÁN HOTLINE-2981604. [D]Hotline 2981604|C24VACZ062(Blaha) potvrzen a nutno jej dokončit! Oprava schválena. LS 16.12.2025</t>
  </si>
  <si>
    <t>20240624</t>
  </si>
  <si>
    <t>20241031</t>
  </si>
  <si>
    <t>C24</t>
  </si>
  <si>
    <t>CZECH</t>
  </si>
  <si>
    <t>B52VA00000906622000</t>
  </si>
  <si>
    <t>KNAB351AANT848040</t>
  </si>
  <si>
    <t>[C]le client se plaint d'un voyant moteur qui allume [R]remplacement echapp. catalyseur [T]le technicien a diagnostiqué trop de suie dans le catalyseur</t>
  </si>
  <si>
    <t>20210707</t>
  </si>
  <si>
    <t>20211022</t>
  </si>
  <si>
    <t>B52</t>
  </si>
  <si>
    <t>MARTINIQUE</t>
  </si>
  <si>
    <t>C06VAFR144KM2003909</t>
  </si>
  <si>
    <t>KNADB518AN6769658</t>
  </si>
  <si>
    <t>I13</t>
  </si>
  <si>
    <t>20221108</t>
  </si>
  <si>
    <t>20251216</t>
  </si>
  <si>
    <t>20230117</t>
  </si>
  <si>
    <t>C21VA1465 KM2006158</t>
  </si>
  <si>
    <t>KNADC518LP6793087</t>
  </si>
  <si>
    <t>39302R1K</t>
  </si>
  <si>
    <t>20221229</t>
  </si>
  <si>
    <t>20230301</t>
  </si>
  <si>
    <t>D19VA00018D18173000</t>
  </si>
  <si>
    <t>KNAB251AAMT763873</t>
  </si>
  <si>
    <t>[C]The customer complained that the check engine light was on. [R]After the repair, everything is fine. [T]After the diagnosis was performed at our workshop, the exhaust manifold needed to be replaced.</t>
  </si>
  <si>
    <t>20201127</t>
  </si>
  <si>
    <t>20210303</t>
  </si>
  <si>
    <t>D19VA00008D86821000</t>
  </si>
  <si>
    <t>KNAB251AANT864117</t>
  </si>
  <si>
    <t>20210820</t>
  </si>
  <si>
    <t>20250505</t>
  </si>
  <si>
    <t>20211203</t>
  </si>
  <si>
    <t>2021-08</t>
  </si>
  <si>
    <t>D19VA00003D36656000</t>
  </si>
  <si>
    <t>KNAB251AJNT873103</t>
  </si>
  <si>
    <t>20210909</t>
  </si>
  <si>
    <t>20250829</t>
  </si>
  <si>
    <t>20211209</t>
  </si>
  <si>
    <t>D19VA00014D1430830</t>
  </si>
  <si>
    <t>KNAB251AANT874359</t>
  </si>
  <si>
    <t>[C]The "Check Engine" light is on. [R]After the repair, everything was fine. [T]A diagnostic revealed a malfunctioning catalytic converter.</t>
  </si>
  <si>
    <t>20210910</t>
  </si>
  <si>
    <t>20250609</t>
  </si>
  <si>
    <t>20211102</t>
  </si>
  <si>
    <t>D19VA00004D433325</t>
  </si>
  <si>
    <t>KNAB251AANT896793</t>
  </si>
  <si>
    <t>20211116</t>
  </si>
  <si>
    <t>20251123</t>
  </si>
  <si>
    <t>20220207</t>
  </si>
  <si>
    <t>D19VA00014D1429940</t>
  </si>
  <si>
    <t>KNAB351AJNT948603</t>
  </si>
  <si>
    <t>20220316</t>
  </si>
  <si>
    <t>20250416</t>
  </si>
  <si>
    <t>20220606</t>
  </si>
  <si>
    <t>D19VA00011D1111576</t>
  </si>
  <si>
    <t>KNAB251AAPT019087</t>
  </si>
  <si>
    <t>20220907</t>
  </si>
  <si>
    <t>20251106</t>
  </si>
  <si>
    <t>20221216</t>
  </si>
  <si>
    <t>D19VA00001D1172068</t>
  </si>
  <si>
    <t>KNAB351AJPT176686</t>
  </si>
  <si>
    <t>20230824</t>
  </si>
  <si>
    <t>20230928</t>
  </si>
  <si>
    <t>D19VA00008D869327</t>
  </si>
  <si>
    <t>KNAB351AJPT202438</t>
  </si>
  <si>
    <t>20231123</t>
  </si>
  <si>
    <t>20250717</t>
  </si>
  <si>
    <t>20231226</t>
  </si>
  <si>
    <t>D19VA00011D1116175</t>
  </si>
  <si>
    <t>KNAB351AJPT209081</t>
  </si>
  <si>
    <t>20231213</t>
  </si>
  <si>
    <t>20251202</t>
  </si>
  <si>
    <t>20240212</t>
  </si>
  <si>
    <t>D19VA00008D866948</t>
  </si>
  <si>
    <t>KNADC518AM6469470</t>
  </si>
  <si>
    <t>20200715</t>
  </si>
  <si>
    <t>20250208</t>
  </si>
  <si>
    <t>20201009</t>
  </si>
  <si>
    <t>D19VA00001D1172664</t>
  </si>
  <si>
    <t>KNADC518AM6469601</t>
  </si>
  <si>
    <t>20250108</t>
  </si>
  <si>
    <t>D19VA00008D86824000</t>
  </si>
  <si>
    <t>KNADC518AM6482433</t>
  </si>
  <si>
    <t>20200828</t>
  </si>
  <si>
    <t>20250507</t>
  </si>
  <si>
    <t>20201030</t>
  </si>
  <si>
    <t>D19VA00001D1165908</t>
  </si>
  <si>
    <t>KNADC518AM6482821</t>
  </si>
  <si>
    <t>20200831</t>
  </si>
  <si>
    <t>20250811</t>
  </si>
  <si>
    <t>20201118</t>
  </si>
  <si>
    <t>D19VA00003D366178</t>
  </si>
  <si>
    <t>KNADC518AM6490072</t>
  </si>
  <si>
    <t>20200924</t>
  </si>
  <si>
    <t>D19VA00001D172446</t>
  </si>
  <si>
    <t>KNADC518AM6534478</t>
  </si>
  <si>
    <t>20210127</t>
  </si>
  <si>
    <t>20250603</t>
  </si>
  <si>
    <t>20210708</t>
  </si>
  <si>
    <t>D19VA00018D1817362</t>
  </si>
  <si>
    <t>KNADE518AM6566061</t>
  </si>
  <si>
    <t>20250826</t>
  </si>
  <si>
    <t>20210610</t>
  </si>
  <si>
    <t>D19VA00014D1428750</t>
  </si>
  <si>
    <t>KNADC518AM6566409</t>
  </si>
  <si>
    <t>20250520</t>
  </si>
  <si>
    <t>20210702</t>
  </si>
  <si>
    <t>D19VA00001D1166056</t>
  </si>
  <si>
    <t>KNADE518AM6566051</t>
  </si>
  <si>
    <t>20210625</t>
  </si>
  <si>
    <t>D19VA00014D1430420</t>
  </si>
  <si>
    <t>KNADE518AM6566753</t>
  </si>
  <si>
    <t>20210413</t>
  </si>
  <si>
    <t>20250529</t>
  </si>
  <si>
    <t>D19VA00014D1430307</t>
  </si>
  <si>
    <t>KNADC518AN6594200</t>
  </si>
  <si>
    <t>20210622</t>
  </si>
  <si>
    <t>D19VA00001D11721000</t>
  </si>
  <si>
    <t>KNADC518AN6616956</t>
  </si>
  <si>
    <t>20250522</t>
  </si>
  <si>
    <t>20211125</t>
  </si>
  <si>
    <t>D19VA00018D1817369</t>
  </si>
  <si>
    <t>KNADC518AN6622304</t>
  </si>
  <si>
    <t>20210929</t>
  </si>
  <si>
    <t>20240517</t>
  </si>
  <si>
    <t>D19VA00017D1718755</t>
  </si>
  <si>
    <t>KNADC518AN6624196</t>
  </si>
  <si>
    <t>20211228</t>
  </si>
  <si>
    <t>D19VA00001D1172242</t>
  </si>
  <si>
    <t>KNADE518AN6646178</t>
  </si>
  <si>
    <t>20211222</t>
  </si>
  <si>
    <t>D19VA00008D864491</t>
  </si>
  <si>
    <t>KNADC518AN6648445</t>
  </si>
  <si>
    <t>20211230</t>
  </si>
  <si>
    <t>20250506</t>
  </si>
  <si>
    <t>20220222</t>
  </si>
  <si>
    <t>D19VA00008D867558</t>
  </si>
  <si>
    <t>KNADE518AN6669994</t>
  </si>
  <si>
    <t>20220223</t>
  </si>
  <si>
    <t>20250423</t>
  </si>
  <si>
    <t>D19VA00014D1430440</t>
  </si>
  <si>
    <t>KNADE518AN6674410</t>
  </si>
  <si>
    <t>20220307</t>
  </si>
  <si>
    <t>20220428</t>
  </si>
  <si>
    <t>D19VA00008D86575000</t>
  </si>
  <si>
    <t>KNADC518AN6687527</t>
  </si>
  <si>
    <t>20220408</t>
  </si>
  <si>
    <t>20251218</t>
  </si>
  <si>
    <t>20220616</t>
  </si>
  <si>
    <t>D19VA00008D868506</t>
  </si>
  <si>
    <t>KNADC518AN6687532</t>
  </si>
  <si>
    <t>20250523</t>
  </si>
  <si>
    <t>20220614</t>
  </si>
  <si>
    <t>D19VA00018D1817351</t>
  </si>
  <si>
    <t>KNADC518AN6738691</t>
  </si>
  <si>
    <t>20220817</t>
  </si>
  <si>
    <t>20240425</t>
  </si>
  <si>
    <t>20221114</t>
  </si>
  <si>
    <t>D19VA00001D1172663</t>
  </si>
  <si>
    <t>KNADE518AN6748056</t>
  </si>
  <si>
    <t>20220914</t>
  </si>
  <si>
    <t>20250702</t>
  </si>
  <si>
    <t>20221206</t>
  </si>
  <si>
    <t>D19VA00014D1428885</t>
  </si>
  <si>
    <t>KNADE518AN6748035</t>
  </si>
  <si>
    <t>20221208</t>
  </si>
  <si>
    <t>D19VA00008D86858000</t>
  </si>
  <si>
    <t>KNADC518AN6748160</t>
  </si>
  <si>
    <t>20220915</t>
  </si>
  <si>
    <t>D19VA00011D1116417</t>
  </si>
  <si>
    <t>KNADC518AN6749857</t>
  </si>
  <si>
    <t>20250616</t>
  </si>
  <si>
    <t>D19VA00003D366561</t>
  </si>
  <si>
    <t>KNADC518AN6750259</t>
  </si>
  <si>
    <t>20220920</t>
  </si>
  <si>
    <t>20221110</t>
  </si>
  <si>
    <t>D19VA00014D14307000</t>
  </si>
  <si>
    <t>KNADE518AN6749831</t>
  </si>
  <si>
    <t>20250402</t>
  </si>
  <si>
    <t>D19VA00008D866376</t>
  </si>
  <si>
    <t>KNADC518AN6750243</t>
  </si>
  <si>
    <t>20241226</t>
  </si>
  <si>
    <t>D19VA00001D1172705</t>
  </si>
  <si>
    <t>KNADE518AN6759668</t>
  </si>
  <si>
    <t>20221221</t>
  </si>
  <si>
    <t>D19VA00014D1428723</t>
  </si>
  <si>
    <t>KNADE518AN6774635</t>
  </si>
  <si>
    <t>20221118</t>
  </si>
  <si>
    <t>20230112</t>
  </si>
  <si>
    <t>D19VA00014D1430579</t>
  </si>
  <si>
    <t>KNADE518AN6774600</t>
  </si>
  <si>
    <t/>
  </si>
  <si>
    <t>20250517</t>
  </si>
  <si>
    <t>20230207</t>
  </si>
  <si>
    <t>D19VA00001D1171691</t>
  </si>
  <si>
    <t>KNADC518AN6776605</t>
  </si>
  <si>
    <t>20221124</t>
  </si>
  <si>
    <t>20251127</t>
  </si>
  <si>
    <t>20230403</t>
  </si>
  <si>
    <t>D19VA00001D1171288</t>
  </si>
  <si>
    <t>KNADC518AP6836920</t>
  </si>
  <si>
    <t>20230411</t>
  </si>
  <si>
    <t>20251121</t>
  </si>
  <si>
    <t>20230713</t>
  </si>
  <si>
    <t>품명구분</t>
  </si>
  <si>
    <t>EHRS</t>
  </si>
  <si>
    <t>통보서월</t>
  </si>
  <si>
    <t>차이</t>
    <phoneticPr fontId="2" type="noConversion"/>
  </si>
  <si>
    <t>합계 : 변제합계</t>
  </si>
  <si>
    <t>람다</t>
  </si>
  <si>
    <t>카파(KIA)</t>
  </si>
  <si>
    <t>카파UCC</t>
  </si>
  <si>
    <t>년도</t>
    <phoneticPr fontId="5" type="noConversion"/>
  </si>
  <si>
    <t>분기</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</si>
</sst>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
    <numFmt numFmtId="178" formatCode="#,##0,"/>
  </numFmts>
  <fonts count="12"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
      <b/>
      <sz val="11"/>
      <color theme="1"/>
      <name val="맑은 고딕"/>
      <family val="2"/>
      <charset val="129"/>
      <scheme val="minor"/>
    </font>
  </fonts>
  <fills count="8">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29">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1" applyFill="1">
      <alignment vertical="center"/>
    </xf>
    <xf numFmtId="0" fontId="3" fillId="0" borderId="0" xfId="2" applyFill="1">
      <alignment vertical="center"/>
    </xf>
    <xf numFmtId="0" fontId="3" fillId="0" borderId="0" xfId="1" applyFill="1" applyAlignment="1">
      <alignment vertical="center"/>
    </xf>
    <xf numFmtId="0" fontId="3" fillId="0" borderId="0" xfId="1" applyFill="1" applyAlignment="1">
      <alignment horizontal="center" vertical="center"/>
    </xf>
    <xf numFmtId="0" fontId="3" fillId="5" borderId="0" xfId="9" applyFill="1">
      <alignment vertical="center"/>
    </xf>
    <xf numFmtId="0" fontId="3" fillId="6" borderId="0" xfId="9" applyFill="1">
      <alignment vertical="center"/>
    </xf>
    <xf numFmtId="0" fontId="3" fillId="6" borderId="0" xfId="1" applyFill="1">
      <alignment vertical="center"/>
    </xf>
    <xf numFmtId="0" fontId="0" fillId="0" borderId="0" xfId="0" pivotButton="1">
      <alignment vertical="center"/>
    </xf>
    <xf numFmtId="0" fontId="11" fillId="7" borderId="2" xfId="0" applyFont="1" applyFill="1" applyBorder="1">
      <alignment vertical="center"/>
    </xf>
    <xf numFmtId="0" fontId="11" fillId="0" borderId="2" xfId="0" applyFont="1" applyBorder="1">
      <alignment vertical="center"/>
    </xf>
    <xf numFmtId="0" fontId="11" fillId="0" borderId="0" xfId="0" applyFont="1" applyBorder="1">
      <alignment vertical="center"/>
    </xf>
    <xf numFmtId="0" fontId="0" fillId="0" borderId="0" xfId="0" applyNumberFormat="1">
      <alignment vertical="center"/>
    </xf>
    <xf numFmtId="0" fontId="11" fillId="0" borderId="0" xfId="0" applyFont="1">
      <alignment vertical="center"/>
    </xf>
    <xf numFmtId="178" fontId="0" fillId="0" borderId="0" xfId="0" applyNumberFormat="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1">
    <dxf>
      <numFmt numFmtId="178"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0.608480671297" createdVersion="7" refreshedVersion="7" minRefreshableVersion="3" recordCount="198" xr:uid="{BD998204-7789-4E47-AC8E-6C18C3E2B577}">
  <cacheSource type="worksheet">
    <worksheetSource ref="A1:AV199" sheet="현대기아HMB(REV1)"/>
  </cacheSource>
  <cacheFields count="48">
    <cacheField name="법인" numFmtId="0">
      <sharedItems/>
    </cacheField>
    <cacheField name="발생구분" numFmtId="0">
      <sharedItems/>
    </cacheField>
    <cacheField name="통보서" numFmtId="0">
      <sharedItems/>
    </cacheField>
    <cacheField name="H/K" numFmtId="0">
      <sharedItems/>
    </cacheField>
    <cacheField name="업체" numFmtId="0">
      <sharedItems/>
    </cacheField>
    <cacheField name="SEQ" numFmtId="0">
      <sharedItems containsSemiMixedTypes="0" containsString="0" containsNumber="1" containsInteger="1" minValue="1" maxValue="285"/>
    </cacheField>
    <cacheField name="RO년월" numFmtId="0">
      <sharedItems/>
    </cacheField>
    <cacheField name="R/O번호" numFmtId="0">
      <sharedItems/>
    </cacheField>
    <cacheField name="VIN" numFmtId="0">
      <sharedItems/>
    </cacheField>
    <cacheField name="C/TYPE" numFmtId="0">
      <sharedItems/>
    </cacheField>
    <cacheField name="차종" numFmtId="0">
      <sharedItems/>
    </cacheField>
    <cacheField name="원인부품" numFmtId="0">
      <sharedItems/>
    </cacheField>
    <cacheField name="원인품명" numFmtId="0">
      <sharedItems/>
    </cacheField>
    <cacheField name="캠페인Issue" numFmtId="0">
      <sharedItems containsBlank="1"/>
    </cacheField>
    <cacheField name="캠페인 명" numFmtId="0">
      <sharedItems containsBlank="1" longText="1"/>
    </cacheField>
    <cacheField name="주작업코드" numFmtId="0">
      <sharedItems/>
    </cacheField>
    <cacheField name="원인" numFmtId="0">
      <sharedItems containsBlank="1"/>
    </cacheField>
    <cacheField name="현상" numFmtId="0">
      <sharedItems/>
    </cacheField>
    <cacheField name="생산일자" numFmtId="0">
      <sharedItems/>
    </cacheField>
    <cacheField name="수리일자" numFmtId="0">
      <sharedItems/>
    </cacheField>
    <cacheField name="판매일자" numFmtId="0">
      <sharedItems/>
    </cacheField>
    <cacheField name="사용개월" numFmtId="176">
      <sharedItems containsSemiMixedTypes="0" containsString="0" containsNumber="1" containsInteger="1" minValue="1" maxValue="93"/>
    </cacheField>
    <cacheField name="주행거리" numFmtId="3">
      <sharedItems containsSemiMixedTypes="0" containsString="0" containsNumber="1" containsInteger="1" minValue="16" maxValue="127168"/>
    </cacheField>
    <cacheField name="PWA" numFmtId="0">
      <sharedItems containsBlank="1"/>
    </cacheField>
    <cacheField name="납입률" numFmtId="4">
      <sharedItems containsSemiMixedTypes="0" containsString="0" containsNumber="1" containsInteger="1" minValue="100" maxValue="100"/>
    </cacheField>
    <cacheField name="분담률" numFmtId="4">
      <sharedItems containsSemiMixedTypes="0" containsString="0" containsNumber="1" minValue="18.18" maxValue="27.72"/>
    </cacheField>
    <cacheField name="적용률" numFmtId="4">
      <sharedItems containsSemiMixedTypes="0" containsString="0" containsNumber="1" minValue="18.18" maxValue="27.72"/>
    </cacheField>
    <cacheField name="부품비" numFmtId="4">
      <sharedItems containsSemiMixedTypes="0" containsString="0" containsNumber="1" containsInteger="1" minValue="0" maxValue="1040408"/>
    </cacheField>
    <cacheField name="공임비" numFmtId="4">
      <sharedItems containsSemiMixedTypes="0" containsString="0" containsNumber="1" containsInteger="1" minValue="0" maxValue="601349"/>
    </cacheField>
    <cacheField name="외주비" numFmtId="4">
      <sharedItems containsSemiMixedTypes="0" containsString="0" containsNumber="1" containsInteger="1" minValue="0" maxValue="127760"/>
    </cacheField>
    <cacheField name="변제합계" numFmtId="177">
      <sharedItems containsSemiMixedTypes="0" containsString="0" containsNumber="1" containsInteger="1" minValue="2137" maxValue="1496083"/>
    </cacheField>
    <cacheField name="차종명" numFmtId="0">
      <sharedItems/>
    </cacheField>
    <cacheField name="조립월" numFmtId="0">
      <sharedItems/>
    </cacheField>
    <cacheField name="원인코드" numFmtId="0">
      <sharedItems/>
    </cacheField>
    <cacheField name="현상코드" numFmtId="0">
      <sharedItems/>
    </cacheField>
    <cacheField name="주행거리(만단위)" numFmtId="0">
      <sharedItems containsMixedTypes="1" containsNumber="1" containsInteger="1" minValue="10000" maxValue="100000"/>
    </cacheField>
    <cacheField name="주행거리(오천단위)" numFmtId="0">
      <sharedItems containsMixedTypes="1" containsNumber="1" containsInteger="1" minValue="5000" maxValue="100000"/>
    </cacheField>
    <cacheField name="사용기간(6단위)" numFmtId="0">
      <sharedItems containsMixedTypes="1" containsNumber="1" containsInteger="1" minValue="6" maxValue="60"/>
    </cacheField>
    <cacheField name="사용기간(3단위)" numFmtId="0">
      <sharedItems containsMixedTypes="1" containsNumber="1" containsInteger="1" minValue="3" maxValue="60"/>
    </cacheField>
    <cacheField name="국가명 코드" numFmtId="0">
      <sharedItems/>
    </cacheField>
    <cacheField name="국가명" numFmtId="0">
      <sharedItems/>
    </cacheField>
    <cacheField name="품명구분" numFmtId="0">
      <sharedItems count="10">
        <s v="WCC"/>
        <s v="MUFFLER ASSY-CTR"/>
        <s v="EHRS"/>
        <s v="SDPF"/>
        <s v="MUFFLER ASSY-FR"/>
        <s v="MUFFLER ASSY-RR"/>
        <s v="MUFFLER ASSY-TAIL"/>
        <s v="GASKET"/>
        <s v="HANGER"/>
        <s v="UCC"/>
      </sharedItems>
    </cacheField>
    <cacheField name="통보서월" numFmtId="0">
      <sharedItems containsSemiMixedTypes="0" containsString="0" containsNumber="1" containsInteger="1" minValue="202512" maxValue="202601" count="2">
        <n v="202512"/>
        <n v="202601"/>
      </sharedItems>
    </cacheField>
    <cacheField name="품명대구분" numFmtId="0">
      <sharedItems/>
    </cacheField>
    <cacheField name="컨버터 사양" numFmtId="0">
      <sharedItems containsBlank="1"/>
    </cacheField>
    <cacheField name="차종명2" numFmtId="0">
      <sharedItems count="15">
        <s v="쎄타"/>
        <s v="카파(KIA)"/>
        <s v="람다"/>
        <s v="KA4 (YP 카니발 후속) 20"/>
        <s v="SG2 (니로 후속) 21"/>
        <s v="MQ4 20"/>
        <s v="봉고3 1톤/1.4톤"/>
        <s v="레이 11"/>
        <s v="올 뉴 쏘울"/>
        <s v="JA 17"/>
        <s v="BD 18"/>
        <s v="MQ4 20 HEV"/>
        <s v="카파(HMB)"/>
        <s v="카파(WIA)"/>
        <s v="카파UCC"/>
      </sharedItems>
    </cacheField>
    <cacheField name="년도" numFmtId="0">
      <sharedItems/>
    </cacheField>
    <cacheField name="분기"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s v="현대"/>
    <s v="D"/>
    <s v="2025121WW"/>
    <s v="H"/>
    <s v="R151"/>
    <n v="1"/>
    <s v="2025/12"/>
    <s v="G1Z0022025200159200"/>
    <s v="KMHLW41KGNU003629"/>
    <s v="W"/>
    <s v="IB"/>
    <s v="285302GLA0"/>
    <s v="CONVERTER ASSY-W/UP CATALYTIC"/>
    <s v="          "/>
    <s v="[C]1.현상 : 엔진경고등 점등,출력부족 및 매연과다 2.점검내용 및 원인 : 외부손상여부 없음 경고등 점등 확인 촉매 탈거 시 딤채가 없음 확인,청주하이테크센터 김대중차장님과 상의 우신공업 측 품질보증팀 문진 시 딤채문제 확인 후 교환 촉매 내부 불량으로 인한 경고등 및 출력부족 매연과다 3.조치내용 : 촉매 교환 4.요망사항 : 품질개선요망"/>
    <s v="28530RQ0"/>
    <m/>
    <s v="W17"/>
    <s v="2022/02/08"/>
    <s v="2025/11/26"/>
    <s v="2022/02/21"/>
    <n v="46"/>
    <n v="69832"/>
    <s v="            "/>
    <n v="100"/>
    <n v="27.72"/>
    <n v="27.72"/>
    <n v="136384"/>
    <n v="26888"/>
    <n v="0"/>
    <n v="163272"/>
    <s v="CN7 고성능차 21"/>
    <s v="2022-02"/>
    <e v="#N/A"/>
    <s v="경고등 점등"/>
    <n v="70000"/>
    <n v="70000"/>
    <n v="48"/>
    <n v="48"/>
    <s v="G1Z"/>
    <s v="한국"/>
    <x v="0"/>
    <x v="0"/>
    <s v="컨버터"/>
    <s v="쎄타"/>
    <x v="0"/>
    <s v="2025년"/>
    <s v="4분기"/>
  </r>
  <r>
    <s v="현대"/>
    <s v="E"/>
    <s v="2025121WW"/>
    <s v="H"/>
    <s v="R151"/>
    <n v="1"/>
    <s v="2025/12"/>
    <s v="C21AA45566251131017"/>
    <s v="KMHHE8117SU112182"/>
    <s v="W"/>
    <s v="1Y"/>
    <s v="2853008501"/>
    <s v="CONVERTER ASSY W/UP CATALYTIC"/>
    <s v="          "/>
    <e v="#N/A"/>
    <s v="28530R7E"/>
    <s v="ZZ3"/>
    <s v="W17"/>
    <s v="2024/11/25"/>
    <s v="2025/10/30"/>
    <s v="2025/02/26"/>
    <n v="9"/>
    <n v="7366"/>
    <s v="            "/>
    <n v="100"/>
    <n v="19.8"/>
    <n v="19.8"/>
    <n v="60387"/>
    <n v="104435"/>
    <n v="53201"/>
    <n v="218023"/>
    <s v="SX2(코나 후속) 하이브리드 23"/>
    <s v="2024-11"/>
    <s v="단품불량"/>
    <s v="경고등 점등"/>
    <n v="10000"/>
    <n v="10000"/>
    <n v="12"/>
    <n v="12"/>
    <s v="C21"/>
    <s v="UK"/>
    <x v="0"/>
    <x v="0"/>
    <s v="컨버터"/>
    <s v="카파(KIA)"/>
    <x v="1"/>
    <s v="2025년"/>
    <s v="4분기"/>
  </r>
  <r>
    <s v="현대"/>
    <s v="E"/>
    <s v="2025121WW"/>
    <s v="H"/>
    <s v="R151"/>
    <n v="2"/>
    <s v="2025/12"/>
    <s v="B28AACT70701917Z000"/>
    <s v="KMTG34TA3PU124687"/>
    <s v="W"/>
    <s v="G9"/>
    <s v="285302C910"/>
    <s v="CONVERTER ASSY-W/UP CATALYTIC"/>
    <s v="          "/>
    <s v="[C]CUSTOMER STATES CHECK ENGINE LIGHT IS ON CHECK AND ADVISE [R]TECH CONFIRMED CHECK ENGINE LIGHT ON WITH ENGINE CODE P259F TURBO BOOST CONTROL POSITION AT HIGH LIMIT PERFORMED ROAD TEST AND FOUND VEHICLE TO LACK POWER AND NOT ENTER BOOST MONITORED BOOST PRESSUREWHICH REMAINED AT ATMOSPHERIC PRESSURE CONFIRMING BOOST NOT BEING GENERATED BY TURBO ENGINE COULD BE [T]VERIFIED CONCERN CLOGGED CATALYST CONVERTER"/>
    <s v="SLOANAZZ"/>
    <s v="ZZ3"/>
    <s v="W17"/>
    <s v="2023/03/27"/>
    <s v="2025/10/23"/>
    <s v="2023/05/22"/>
    <n v="30"/>
    <n v="38632"/>
    <s v="            "/>
    <n v="100"/>
    <n v="19.8"/>
    <n v="19.8"/>
    <n v="0"/>
    <n v="0"/>
    <n v="115228"/>
    <n v="115228"/>
    <s v="IK 17"/>
    <s v="2023-03"/>
    <s v="단품불량"/>
    <s v="경고등 점등"/>
    <n v="40000"/>
    <n v="40000"/>
    <n v="36"/>
    <n v="33"/>
    <s v="B28"/>
    <s v="U.S.A"/>
    <x v="0"/>
    <x v="0"/>
    <s v="컨버터"/>
    <s v="쎄타"/>
    <x v="0"/>
    <s v="2025년"/>
    <s v="4분기"/>
  </r>
  <r>
    <s v="현대"/>
    <s v="E"/>
    <s v="2025121WW"/>
    <s v="H"/>
    <s v="R151"/>
    <n v="3"/>
    <s v="2025/12"/>
    <s v="B06AA41050251201002"/>
    <s v="KMHLW4AK9NU001498"/>
    <s v="W"/>
    <s v="IB"/>
    <s v="285302GLB0"/>
    <s v="CONVERTER ASSY-W/UP CATALYTIC"/>
    <s v="          "/>
    <s v="[C]Engine light on, vehicle sounds like it's choking [R]Replaced cat converter [T]Found cat converter severely clogged (previously replaced ignition coil #2 due to misfiring). Core is melted, causing exhaust restriction [L]JE"/>
    <s v="28530R00"/>
    <s v="ZZ2"/>
    <s v="Q55"/>
    <s v="2021/11/03"/>
    <s v="2025/12/01"/>
    <s v="2022/04/09"/>
    <n v="44"/>
    <n v="44188"/>
    <s v="            "/>
    <n v="100"/>
    <n v="19.8"/>
    <n v="19.8"/>
    <n v="129591"/>
    <n v="50568"/>
    <n v="0"/>
    <n v="180159"/>
    <s v="CN7 고성능차 21"/>
    <s v="2021-11"/>
    <s v="파손"/>
    <s v="소음"/>
    <n v="50000"/>
    <n v="45000"/>
    <n v="48"/>
    <n v="45"/>
    <s v="B06"/>
    <s v="CANADA"/>
    <x v="0"/>
    <x v="0"/>
    <s v="컨버터"/>
    <s v="쎄타"/>
    <x v="0"/>
    <s v="2025년"/>
    <s v="4분기"/>
  </r>
  <r>
    <s v="현대"/>
    <s v="E"/>
    <s v="2025121WW"/>
    <s v="H"/>
    <s v="R151"/>
    <n v="4"/>
    <s v="2025/12"/>
    <s v="B06AA51023250827001"/>
    <s v="KMHLW4AK6PU013174"/>
    <s v="W"/>
    <s v="IB"/>
    <s v="285302GLB0"/>
    <s v="CONVERTER ASSY-W/UP CATALYTIC"/>
    <s v="          "/>
    <s v="[C]CUSTOMER STATES THAT CHECK ENGINE LIGHT IS ON SOLID [R]REPLACED CONVERTER, RESET ADAPTIVE VALES AND CLEARED DTCs [T]CONFIRMED ENGINE LIGHT ON, SCANNED FOR DTCs - P0420 CATALYTIC CONVERTER EFFICIENCY BELOW THRESHOLD. CHECKED FOR RELATED UPDATES - NONE. CHECKED WIRING TO BOTH O2 SENSORS - GOOD. REPLACEMENT OF CONVERTER REQUIRED. [L]Aug 27- please note, this is a dealer-owned vehicle. Bill of sale from Adesa attached"/>
    <s v="28530R00"/>
    <s v="ZZ2"/>
    <s v="W17"/>
    <s v="2022/12/22"/>
    <s v="2025/08/26"/>
    <s v="2023/02/28"/>
    <n v="30"/>
    <n v="24631"/>
    <s v="            "/>
    <n v="100"/>
    <n v="19.8"/>
    <n v="19.8"/>
    <n v="131577"/>
    <n v="50986"/>
    <n v="0"/>
    <n v="182563"/>
    <s v="CN7 고성능차 21"/>
    <s v="2022-12"/>
    <s v="파손"/>
    <s v="경고등 점등"/>
    <n v="30000"/>
    <n v="25000"/>
    <n v="36"/>
    <n v="33"/>
    <s v="B06"/>
    <s v="CANADA"/>
    <x v="0"/>
    <x v="0"/>
    <s v="컨버터"/>
    <s v="쎄타"/>
    <x v="0"/>
    <s v="2025년"/>
    <s v="4분기"/>
  </r>
  <r>
    <s v="현대"/>
    <s v="E"/>
    <s v="2025121WW"/>
    <s v="H"/>
    <s v="R151"/>
    <n v="5"/>
    <s v="2025/12"/>
    <s v="B28AACA40042330A000"/>
    <s v="KMHLW4AK1PU014457"/>
    <s v="W"/>
    <s v="IB"/>
    <s v="285302GLB0"/>
    <s v="CONVERTER ASSY-W/UP CATALYTIC"/>
    <s v="          "/>
    <s v="[C]CS CUSTOMER STATES WHILE ACCELERATING THE VEHICLE JOLTS AS IT WANTS TO CATCH GEARIT FEELS LIKE THE TRANSMISSION IS SLIPPING CHECK K AND ADVICE [R]remove and replace front catalytic converter [T]traced concern to plugged cat, front catalytic converter is plugged"/>
    <s v="28530R00"/>
    <s v="ZZ3"/>
    <s v="Q51"/>
    <s v="2023/02/16"/>
    <s v="2025/10/23"/>
    <s v="2023/04/13"/>
    <n v="31"/>
    <n v="63886"/>
    <s v="            "/>
    <n v="100"/>
    <n v="19.8"/>
    <n v="19.8"/>
    <n v="181104"/>
    <n v="119112"/>
    <n v="0"/>
    <n v="300216"/>
    <s v="CN7 고성능차 21"/>
    <s v="2023-02"/>
    <s v="단품불량"/>
    <s v="소음"/>
    <n v="70000"/>
    <n v="65000"/>
    <n v="36"/>
    <n v="33"/>
    <s v="B28"/>
    <s v="U.S.A"/>
    <x v="0"/>
    <x v="0"/>
    <s v="컨버터"/>
    <s v="쎄타"/>
    <x v="0"/>
    <s v="2025년"/>
    <s v="4분기"/>
  </r>
  <r>
    <s v="현대"/>
    <s v="E"/>
    <s v="2025121WW"/>
    <s v="H"/>
    <s v="R151"/>
    <n v="6"/>
    <s v="2025/12"/>
    <s v="B28AACA40042330L000"/>
    <s v="KMHLW4AK1PU014457"/>
    <s v="W"/>
    <s v="IB"/>
    <s v="285302GLB0"/>
    <s v="CONVERTER ASSY-W/UP CATALYTIC"/>
    <s v="          "/>
    <s v="[C]CS CUSTOMER STATES WHILE ACCELERATING THE VEHICLE JOLTS AS IT WANTS TO CATCH GEARIT FEELS LIKE THE TRANSMISSION IS SLIPPING CHECK K AND ADVICE [R]remove and replace front catalytic converter [T]traced concern to plugged cat, front catalytic converter is plugged"/>
    <s v="SLOANAZZ"/>
    <s v="ZZ3"/>
    <s v="Q51"/>
    <s v="2023/02/16"/>
    <s v="2025/10/23"/>
    <s v="2023/04/13"/>
    <n v="31"/>
    <n v="63886"/>
    <s v="            "/>
    <n v="100"/>
    <n v="19.8"/>
    <n v="19.8"/>
    <n v="0"/>
    <n v="0"/>
    <n v="127760"/>
    <n v="127760"/>
    <s v="CN7 고성능차 21"/>
    <s v="2023-02"/>
    <s v="단품불량"/>
    <s v="소음"/>
    <n v="70000"/>
    <n v="65000"/>
    <n v="36"/>
    <n v="33"/>
    <s v="B28"/>
    <s v="U.S.A"/>
    <x v="0"/>
    <x v="0"/>
    <s v="컨버터"/>
    <s v="쎄타"/>
    <x v="0"/>
    <s v="2025년"/>
    <s v="4분기"/>
  </r>
  <r>
    <s v="현대"/>
    <s v="E"/>
    <s v="2025121WW"/>
    <s v="H"/>
    <s v="R151"/>
    <n v="7"/>
    <s v="2025/12"/>
    <s v="B28AANC04339895S000"/>
    <s v="KMHLW4DK5SU026969"/>
    <s v="W"/>
    <s v="IB"/>
    <s v="285302GLB0"/>
    <s v="CONVERTER ASSY-W/UP CATALYTIC"/>
    <s v="          "/>
    <s v="[C]Customer states check engine light is on [R]REPAIR THE THREADS ON MULTIPLE STUDS PRIOR TO REINSTALLING CONVERTER. REINSTALLED CONVERTER, REINSTALLED SUBFRAME AND TEST DROVE VEHICLE. FAULT DID NOT RETURN. REQUESTING TT TIME FOR REMOVAL AND REPAIR OF STRIPPED MOUNTING FLANGE NUTS AND STUDS [T]verified P04200 SCANNED VEHICLE FOR FAULTS, FOUND FAULT CODE P04200 TO BE PRESENT FOR CATALYST EFFICIENCY, BANK 1. REMOVED OXYGEN SENSOR DOWNSTREAM AND VIEWED INSIDE CONVERTER USING BORESCOPE. FOUND C"/>
    <s v="28530R00"/>
    <s v="ZZ3"/>
    <s v="I11"/>
    <s v="2024/11/19"/>
    <s v="2025/11/17"/>
    <s v="2025/04/03"/>
    <n v="8"/>
    <n v="28240"/>
    <s v="            "/>
    <n v="100"/>
    <n v="19.8"/>
    <n v="19.8"/>
    <n v="182680"/>
    <n v="289761"/>
    <n v="0"/>
    <n v="472441"/>
    <s v="CN7 고성능차 21"/>
    <s v="2024-11"/>
    <s v="단품불량"/>
    <s v="작동불량"/>
    <n v="30000"/>
    <n v="30000"/>
    <n v="12"/>
    <n v="9"/>
    <s v="B28"/>
    <s v="U.S.A"/>
    <x v="0"/>
    <x v="0"/>
    <s v="컨버터"/>
    <s v="쎄타"/>
    <x v="0"/>
    <s v="2025년"/>
    <s v="4분기"/>
  </r>
  <r>
    <s v="현대"/>
    <s v="E"/>
    <s v="2025121WW"/>
    <s v="H"/>
    <s v="R151"/>
    <n v="8"/>
    <s v="2025/12"/>
    <s v="B28AANV03057686L000"/>
    <s v="KMHT36AH0NU014178"/>
    <s v="W"/>
    <s v="BU"/>
    <s v="285302GTB0"/>
    <s v="CONVERTER ASSY-W/UP CATALYTIC"/>
    <s v="          "/>
    <s v="[C]CS GUEST STATES THAT THE CHECK ENGINE LIGHT WAS ON FOR A FEW DAYS BUT TURNED ON AND THROUGHOUT THATLAST FEW DAYS GUEST DOES NOT DRIVABILITY ISSUES [R]VERIFIED GUEST CONCERN UPON DIAGNOSIS FOUND FAULT CODE P0420 P0036 CATALYTIC CONVERTER SYSTEM BELOW THRESHOLD DOWNSTREAM HEATER O2 CONTROL CIRCUIT B1S2 FAULTY PERFORMED CATALYTIC CONVERTER DOWNSTREAM OXYGEN SENSOR REPLACEMENT TEST DROVE VEHICLE AND RESCANNED NO CODES STORED COMPLETED [T]VERIFIED GUEST CONCERN UPON DIAGNOSIS FOUND FAULT CODE P0420 P0036 CATALYTIC CONVERTER SYSTEM BELOW THRESHOLD DOWNSTREAM HEATER O2 CONT"/>
    <s v="SLOANAZZ"/>
    <s v="ZZ5"/>
    <s v="W11"/>
    <s v="2022/03/15"/>
    <s v="2025/10/07"/>
    <s v="2022/05/12"/>
    <n v="41"/>
    <n v="64686"/>
    <s v="            "/>
    <n v="100"/>
    <n v="19.8"/>
    <n v="19.8"/>
    <n v="0"/>
    <n v="0"/>
    <n v="89432"/>
    <n v="89432"/>
    <s v="JS N 18(고성능차)"/>
    <s v="2022-03"/>
    <s v="상품성 불만"/>
    <s v="경고등 점등"/>
    <n v="70000"/>
    <n v="65000"/>
    <n v="42"/>
    <n v="42"/>
    <s v="B28"/>
    <s v="U.S.A"/>
    <x v="0"/>
    <x v="0"/>
    <s v="컨버터"/>
    <s v="쎄타"/>
    <x v="0"/>
    <s v="2025년"/>
    <s v="4분기"/>
  </r>
  <r>
    <s v="현대"/>
    <s v="E"/>
    <s v="2025121WW"/>
    <s v="H"/>
    <s v="R151"/>
    <n v="9"/>
    <s v="2025/12"/>
    <s v="B28AACT03960521A000"/>
    <s v="KM8KH3AC0NU004556"/>
    <s v="W"/>
    <s v="I3"/>
    <s v="285302GXC0"/>
    <s v="CONVERTER ASSY-W/UP CATALYTIC"/>
    <s v="          "/>
    <s v="[C]CUSTOMER STATES CHECK ENGINE LIGHT IS ON [R]TECH REPLACED MANIFOLD CAT WITH NEW ASSEMBLY WHILE REPLACING CAT TECH FOUND THE OIL SEEPAGE FROM INTERNAL GASKET AND EXCESSIVE SHAFT PLAY ON TURBO STUI PHOTOS UPLOADED [T]TECH CONFIRED CUSTOMER CONCERN FOR DTC P0420 AND CAR RUNNING POORLY WAS NOT ABLE TO ACCELERATE COMPLETELT VEHICLE SLUGGISH TO RESPOND TECHNICIAN INSPECTED CAT AND FOUND IT TO BE NOTABLY CLOGGED"/>
    <s v="28530R00"/>
    <s v="ZZ3"/>
    <s v="W17"/>
    <s v="2022/04/13"/>
    <s v="2025/10/24"/>
    <s v="2022/06/23"/>
    <n v="41"/>
    <n v="80618"/>
    <s v="            "/>
    <n v="100"/>
    <n v="19.8"/>
    <n v="19.8"/>
    <n v="181191"/>
    <n v="88405"/>
    <n v="0"/>
    <n v="269596"/>
    <s v="코나(상품성개선) 고성능차 21"/>
    <s v="2022-04"/>
    <s v="단품불량"/>
    <s v="경고등 점등"/>
    <n v="90000"/>
    <n v="85000"/>
    <n v="42"/>
    <n v="42"/>
    <s v="B28"/>
    <s v="U.S.A"/>
    <x v="0"/>
    <x v="0"/>
    <s v="컨버터"/>
    <s v="쎄타"/>
    <x v="0"/>
    <s v="2025년"/>
    <s v="4분기"/>
  </r>
  <r>
    <s v="현대"/>
    <s v="E"/>
    <s v="2025121WW"/>
    <s v="H"/>
    <s v="R151"/>
    <n v="10"/>
    <s v="2025/12"/>
    <s v="B28VAIA0112519949-A"/>
    <s v="KNAE35LC2L6086894"/>
    <s v="W"/>
    <s v="J5"/>
    <s v="285303LVB0"/>
    <s v="CONVERTER ASSY-W/UP CAT,RH"/>
    <s v="          "/>
    <s v="[D]CUSTOMER STATES CHECK ENGINE LIGHT IS ON.. CHECK AND ADVISE VERIFIED CUSTOMERS CONCERN AND FOUND CODE FOR P0420. FOUND CONVERTER BAD AND FRONT MUFFLER. Abby Volkert on 2025-10-14 1:43 PM with following comments WE CONTACTED DPSM FOR THIS ONE. WE DID A VISUAL INSPECTION OF THE CONVERTER AND FOUND THE INSIDE OF THE CONVERTER COMING APART AS WELL, AND SINCE THE TECH HAD DPSM APPROVAL A TECH LINE WAS NOT OPENED"/>
    <s v="28530R3L"/>
    <s v="ZZ3"/>
    <s v="W17"/>
    <s v="2020/06/16"/>
    <s v="2025/09/15"/>
    <s v="2020/11/18"/>
    <n v="58"/>
    <n v="84606"/>
    <s v="            "/>
    <n v="100"/>
    <n v="19.8"/>
    <n v="19.8"/>
    <n v="404368"/>
    <n v="601349"/>
    <n v="0"/>
    <n v="1005717"/>
    <s v="CK 17"/>
    <s v="2020-06"/>
    <s v="단품불량"/>
    <s v="경고등 점등"/>
    <n v="90000"/>
    <n v="85000"/>
    <n v="60"/>
    <n v="60"/>
    <s v="B28"/>
    <s v="U.S.A"/>
    <x v="0"/>
    <x v="0"/>
    <s v="컨버터"/>
    <s v="람다"/>
    <x v="2"/>
    <s v="2025년"/>
    <s v="4분기"/>
  </r>
  <r>
    <s v="현대"/>
    <s v="E"/>
    <s v="2025121WW"/>
    <s v="H"/>
    <s v="R151"/>
    <n v="11"/>
    <s v="2025/12"/>
    <s v="B28AAFL71856589R000"/>
    <s v="KMTG54TE5NU095347"/>
    <s v="W"/>
    <s v="G9"/>
    <s v="285303LVP0"/>
    <s v="CONVERTER ASSY-W/UP CAT,LH"/>
    <s v="          "/>
    <s v="[C]CUSTOMER STATES CHECK EXHAUST SYSTEM. [R]ATTEMPTED TO REPAIR THREADS, BUT THE BORE WAS DAMAGED BEYOND REPAIR FROM WHEN THE BOLT WAS REMOVED.FOR PROPER REPAIR THE CONVERTER NEEDS TO BE REPLACED.FOLLOWING SHOP MANUAL REMOVED ALL NECESSARY COMPONENTS TO REMOVE THE ENGINE AND TRANSMISSION ASSEMBLY FROM VEHICLE. PROCEEDED TO FOLLOW THE SERVICE [T]DURING REPLACEMENT OF THE REAR DIFFERENTIAL, WHEN THE CENTER MUFFLER EXHAUST SYSTEM WAS BEING REMOVED THE FASTENERS THAT MATE THE CENTER MUFFLER TO THE DRIVER SIDE CATALYTIC CONVERTER CAME OUT AND PUL"/>
    <s v="SLOANAZZ"/>
    <s v="ZZ3"/>
    <s v="B31"/>
    <s v="2021/11/09"/>
    <s v="2025/09/11"/>
    <s v="2021/12/27"/>
    <n v="45"/>
    <n v="46605"/>
    <s v="            "/>
    <n v="100"/>
    <n v="19.8"/>
    <n v="19.8"/>
    <n v="0"/>
    <n v="0"/>
    <n v="76348"/>
    <n v="76348"/>
    <s v="IK 17"/>
    <s v="2021-11"/>
    <s v="단품불량"/>
    <s v="조립 불량"/>
    <n v="50000"/>
    <n v="50000"/>
    <n v="48"/>
    <n v="48"/>
    <s v="B28"/>
    <s v="U.S.A"/>
    <x v="0"/>
    <x v="0"/>
    <s v="컨버터"/>
    <s v="람다"/>
    <x v="2"/>
    <s v="2025년"/>
    <s v="4분기"/>
  </r>
  <r>
    <s v="현대"/>
    <s v="E"/>
    <s v="2025121WW"/>
    <s v="H"/>
    <s v="R151"/>
    <n v="12"/>
    <s v="2025/12"/>
    <s v="B28AATN70504500A000"/>
    <s v="KMTG54TE1NU098682"/>
    <s v="W"/>
    <s v="G9"/>
    <s v="285303LVR0"/>
    <s v="CONVERTER ASSY-W/UP CAT,RH"/>
    <s v="          "/>
    <s v="[C]CUSTOMER STATES CHECK ENGINE LIGHT IS ON AND VEHICLE IS GOING BACK INTO LIMP MODE WHEN CUSTOMER IS DRIVING ON THE INTERSTATE. CHECK AND ADVISE [R]TECH REPLACED RH CATALYTIC CONVERTER,OP 28530R7R 5.4 .TECH CLEARED DTCS AND RESET ADAPTIVE VALUES.TWO DRIVE CYCLES WERE PERFORMED,TECH CONFIRMED CEL DID NOT RETURN AND VEHICLE IS OPERATING AS INTENDED. E [T]TECH CONFIRMED CEL IS ON BUT VEHICLE IS NOT IN LIMPMODE. TECH FOUND P0300000, AND P042000.MISFIRE CODES FOUND WERE FOR THE RH, BANK 1 SIDE OF THE ENGINE.TECH CONFIRMED PLUGS AND COILS ARE GOOD,TECH OR"/>
    <s v="28530R7R"/>
    <s v="ZZ2"/>
    <s v="W17"/>
    <s v="2022/01/18"/>
    <s v="2025/10/13"/>
    <s v="2022/03/21"/>
    <n v="43"/>
    <n v="43848"/>
    <s v="            "/>
    <n v="100"/>
    <n v="19.8"/>
    <n v="19.8"/>
    <n v="212290"/>
    <n v="270018"/>
    <n v="0"/>
    <n v="482308"/>
    <s v="IK 17"/>
    <s v="2022-01"/>
    <s v="파손"/>
    <s v="경고등 점등"/>
    <n v="50000"/>
    <n v="45000"/>
    <n v="48"/>
    <n v="45"/>
    <s v="B28"/>
    <s v="U.S.A"/>
    <x v="0"/>
    <x v="0"/>
    <s v="컨버터"/>
    <s v="람다"/>
    <x v="2"/>
    <s v="2025년"/>
    <s v="4분기"/>
  </r>
  <r>
    <s v="현대"/>
    <s v="E"/>
    <s v="2025121WW"/>
    <s v="H"/>
    <s v="R151"/>
    <n v="13"/>
    <s v="2025/12"/>
    <s v="B28AATX70417262A000"/>
    <s v="KMTG54SE4SU155566"/>
    <s v="W"/>
    <s v="G9"/>
    <s v="285303LXB0"/>
    <s v="CONVERTER ASSY-W/UP CAT, RH"/>
    <s v="          "/>
    <s v="[C]CS CUSTOMER STATES CHECK ENGINE LIGHT P042000 CODE [R]TECH VERIFIED CUSTOMER CONCERN AND FOUND MIL ILLUMINATED TECH USED GDS SOFTWARE AND FOUND DTC P042000 PRESENT IN ENGINE CONTROL MODULE TECH COMPLETED UNDERHOOD VISUAL INSPECTION AND FOUND SOOT BUILDUP BETWEEN CATALYST AND UPSTEAM O2 SENSOR MATING SURFACE CREATING AND EXHAUST LEAK UPON FURTHER INVEST [T]DAMAGED CATALYST CASE AND UPSTREAM O2 SENSOR THREADS FROM IMPROPER ASSEMBLY AT FACTORY"/>
    <s v="28530R7R"/>
    <s v="ZZ3"/>
    <s v="W17"/>
    <s v="2024/12/02"/>
    <s v="2025/11/18"/>
    <s v="2025/04/02"/>
    <n v="8"/>
    <n v="6939"/>
    <s v="            "/>
    <n v="100"/>
    <n v="19.8"/>
    <n v="19.8"/>
    <n v="249587"/>
    <n v="279224"/>
    <n v="0"/>
    <n v="528811"/>
    <s v="IK 17"/>
    <s v="2024-12"/>
    <s v="단품불량"/>
    <s v="경고등 점등"/>
    <n v="10000"/>
    <n v="10000"/>
    <n v="12"/>
    <n v="9"/>
    <s v="B28"/>
    <s v="U.S.A"/>
    <x v="0"/>
    <x v="0"/>
    <s v="컨버터"/>
    <s v="쎄타"/>
    <x v="0"/>
    <s v="2025년"/>
    <s v="4분기"/>
  </r>
  <r>
    <s v="기아"/>
    <s v="D"/>
    <s v="2025121WW"/>
    <s v="K"/>
    <s v="R151"/>
    <n v="1"/>
    <s v="2025/12"/>
    <s v="CX90402025W00059300"/>
    <s v="KNAPH811BLA644766"/>
    <s v="W"/>
    <s v="C5"/>
    <s v="285302GPB0"/>
    <s v="CONVERTER ASSY-W/UP CATALYTIC"/>
    <s v="          "/>
    <s v="1.현상 : 배출가스 검사 불합격으로 입고_x000a_2.점검내용 및 원인 : HC,CO 농도 배출허용기준 초과로 검사 불합격_x000a_3.조치내용 : 배기매니폴드 및 가스켓 교환 "/>
    <s v="28511RQ0"/>
    <m/>
    <s v="I73"/>
    <s v="2019/12/26"/>
    <s v="2025/12/17"/>
    <s v="2019/12/27"/>
    <n v="72"/>
    <n v="107672"/>
    <s v="            "/>
    <n v="100"/>
    <n v="25.44"/>
    <n v="25.44"/>
    <n v="167626"/>
    <n v="10990"/>
    <n v="0"/>
    <n v="178616"/>
    <s v="올 뉴 쏘렌토"/>
    <s v="2019-12"/>
    <e v="#N/A"/>
    <s v="배기가스 문제"/>
    <s v="≥100000"/>
    <s v="≥100000"/>
    <s v="≥60"/>
    <s v="≥60"/>
    <s v="CX9"/>
    <s v="한국"/>
    <x v="0"/>
    <x v="0"/>
    <s v="컨버터"/>
    <s v="쎄타"/>
    <x v="0"/>
    <s v="2025년"/>
    <s v="4분기"/>
  </r>
  <r>
    <s v="기아"/>
    <s v="D"/>
    <s v="2025121WW"/>
    <s v="K"/>
    <s v="R151"/>
    <n v="168"/>
    <s v="2025/12"/>
    <s v="2540002025W02298600"/>
    <s v="KNANE813BRS416810"/>
    <s v="W"/>
    <s v="HS"/>
    <s v="28600R0300"/>
    <s v="MUFFLER COMPLETE-CTR"/>
    <s v="          "/>
    <s v="[C]1.현상 : 정차시 주행하며 가감속시 떨림/진동으로 의뢰 2.점검내용 및 원인 : 정차시 주행하며 가감속시 떨림/진동으로 시운전및 점검 3.조치내용 : 점검,시운전(고객님과동승),교환,설명"/>
    <s v="99VGOZ0T"/>
    <m/>
    <s v="H21"/>
    <s v="2023/12/22"/>
    <s v="2025/12/10"/>
    <s v="2024/01/23"/>
    <n v="23"/>
    <n v="18298"/>
    <s v="            "/>
    <n v="100"/>
    <n v="25.44"/>
    <n v="25.44"/>
    <n v="3589"/>
    <n v="12593"/>
    <n v="0"/>
    <n v="16182"/>
    <s v="KA4 (YP 카니발 후속) 20"/>
    <s v="2023-12"/>
    <e v="#N/A"/>
    <s v="냄새과다"/>
    <n v="20000"/>
    <n v="20000"/>
    <n v="24"/>
    <n v="24"/>
    <s v="254"/>
    <s v="한국"/>
    <x v="1"/>
    <x v="0"/>
    <s v="머플러"/>
    <m/>
    <x v="3"/>
    <s v="2025년"/>
    <s v="4분기"/>
  </r>
  <r>
    <s v="기아"/>
    <s v="D"/>
    <s v="2025121WW"/>
    <s v="K"/>
    <s v="R151"/>
    <n v="169"/>
    <s v="2025/12"/>
    <s v="HX00802025W00111500"/>
    <s v="KNACT81EGNA002466"/>
    <s v="W"/>
    <s v="0T"/>
    <s v="28601AT100"/>
    <s v="MUFFLER COMPLETE-CTR &amp; SENSOR"/>
    <s v="          "/>
    <s v="[C]1.현상 : 부동액 부족발생으로 입고 2.점검내용 및 원인 : 점검시 센터 컨버터 냉각수 누수 발생 3.조치내용 : 첸버 컨버터 머플러 교환 및 부동액 보충"/>
    <s v="28607R00"/>
    <m/>
    <s v="L31"/>
    <s v="2022/01/26"/>
    <s v="2025/11/24"/>
    <s v="2022/02/04"/>
    <n v="46"/>
    <n v="80571"/>
    <s v="            "/>
    <n v="100"/>
    <n v="25.44"/>
    <n v="25.44"/>
    <n v="48989"/>
    <n v="11957"/>
    <n v="0"/>
    <n v="60946"/>
    <s v="SG2 (니로 후속) 21"/>
    <s v="2022-01"/>
    <e v="#N/A"/>
    <s v="냉각수 문제"/>
    <n v="90000"/>
    <n v="85000"/>
    <n v="48"/>
    <n v="48"/>
    <s v="HX0"/>
    <s v="한국"/>
    <x v="2"/>
    <x v="0"/>
    <s v="머플러"/>
    <m/>
    <x v="4"/>
    <s v="2025년"/>
    <s v="4분기"/>
  </r>
  <r>
    <s v="기아"/>
    <s v="D"/>
    <s v="2025121WW"/>
    <s v="K"/>
    <s v="R151"/>
    <n v="170"/>
    <s v="2025/12"/>
    <s v="GK25202025W00155400"/>
    <s v="KNACR81EGRA111802"/>
    <s v="W"/>
    <s v="0T"/>
    <s v="28601AT100"/>
    <s v="MUFFLER COMPLETE-CTR &amp; SENSOR"/>
    <s v="          "/>
    <s v="[C]1.현상 : 냉각수(부동액) 소모로 점검 의뢰 2.점검내용 및 원인 : 배기열회수장치쪽으로 냉각수 누수(기밀 불량) 3.조치내용 : 배기열회수장치(챔버&amp;컴버터 머플러) 교환, 양호"/>
    <s v="28607R00"/>
    <m/>
    <s v="L33"/>
    <s v="2023/06/02"/>
    <s v="2025/12/01"/>
    <s v="2023/06/05"/>
    <n v="30"/>
    <n v="47898"/>
    <s v="            "/>
    <n v="100"/>
    <n v="25.44"/>
    <n v="25.44"/>
    <n v="47194"/>
    <n v="17299"/>
    <n v="0"/>
    <n v="64493"/>
    <s v="SG2 (니로 후속) 21"/>
    <s v="2023-06"/>
    <e v="#N/A"/>
    <s v="냉각수 문제"/>
    <n v="50000"/>
    <n v="50000"/>
    <n v="36"/>
    <n v="33"/>
    <s v="GK2"/>
    <s v="한국"/>
    <x v="2"/>
    <x v="0"/>
    <s v="머플러"/>
    <m/>
    <x v="4"/>
    <s v="2025년"/>
    <s v="4분기"/>
  </r>
  <r>
    <s v="기아"/>
    <s v="D"/>
    <s v="2025121WW"/>
    <s v="K"/>
    <s v="R151"/>
    <n v="171"/>
    <s v="2025/12"/>
    <s v="EX01602025W00204200"/>
    <s v="KNACT81EGRA172912"/>
    <s v="W"/>
    <s v="0T"/>
    <s v="28601AT100"/>
    <s v="MUFFLER COMPLETE-CTR &amp; SENSOR"/>
    <s v="          "/>
    <s v="[C]1.현상 : 냉간 시동시 물흐르는 소리 점검 입고 2.점검내용 및 원인 : 냉각수 보조탱크 육안 점검시 냉각수 양 저하됨 점검결과 엔진및 냉각수 계통 누수흔적 없으며 배기열 회수 장치 내부 불량에의한 냉각수 소모 판단 3.조치내용 : 업체 통화후 배기열 회수장치 불량으로 인한 냉각수 양 줄어듬 가능성 제기됨 배기열 회수 장치 어셈블리 교환후 출고조치함"/>
    <s v="28650R00"/>
    <m/>
    <s v="Q72"/>
    <s v="2024/02/06"/>
    <s v="2025/12/29"/>
    <s v="2024/02/13"/>
    <n v="23"/>
    <n v="32928"/>
    <s v="            "/>
    <n v="100"/>
    <n v="25.44"/>
    <n v="25.44"/>
    <n v="48404"/>
    <n v="4579"/>
    <n v="0"/>
    <n v="52983"/>
    <s v="SG2 (니로 후속) 21"/>
    <s v="2024-02"/>
    <e v="#N/A"/>
    <s v="소음"/>
    <n v="40000"/>
    <n v="35000"/>
    <n v="24"/>
    <n v="24"/>
    <s v="EX0"/>
    <s v="한국"/>
    <x v="2"/>
    <x v="0"/>
    <s v="머플러"/>
    <m/>
    <x v="4"/>
    <s v="2025년"/>
    <s v="4분기"/>
  </r>
  <r>
    <s v="기아"/>
    <s v="D"/>
    <s v="2025121WW"/>
    <s v="K"/>
    <s v="R151"/>
    <n v="172"/>
    <s v="2025/12"/>
    <s v="GX95002025W00109900"/>
    <s v="KNACT81EGRA175245"/>
    <s v="W"/>
    <s v="0T"/>
    <s v="28601AT100"/>
    <s v="MUFFLER COMPLETE-CTR &amp; SENSOR"/>
    <s v="          "/>
    <s v="[C]1.현상 : 냉각수 부족으로 입고 2.점검내용 및 원인 : 고객 문진시 일반 카센터에서 1달에 2회 보충했다고함. 3.조치내용 : CC머플러 교환후 출고함."/>
    <s v="28607R00"/>
    <m/>
    <s v="L33"/>
    <s v="2024/02/20"/>
    <s v="2025/12/09"/>
    <s v="2024/02/22"/>
    <n v="22"/>
    <n v="32721"/>
    <s v="            "/>
    <n v="100"/>
    <n v="25.44"/>
    <n v="25.44"/>
    <n v="48404"/>
    <n v="11957"/>
    <n v="0"/>
    <n v="60361"/>
    <s v="SG2 (니로 후속) 21"/>
    <s v="2024-02"/>
    <e v="#N/A"/>
    <s v="냉각수 문제"/>
    <n v="40000"/>
    <n v="35000"/>
    <n v="24"/>
    <n v="24"/>
    <s v="GX9"/>
    <s v="한국"/>
    <x v="2"/>
    <x v="0"/>
    <s v="머플러"/>
    <m/>
    <x v="4"/>
    <s v="2025년"/>
    <s v="4분기"/>
  </r>
  <r>
    <s v="기아"/>
    <s v="D"/>
    <s v="2025121WW"/>
    <s v="K"/>
    <s v="R151"/>
    <n v="173"/>
    <s v="2025/12"/>
    <s v="GK22002025W00124000"/>
    <s v="KNACP81EGRA215196"/>
    <s v="W"/>
    <s v="0T"/>
    <s v="28601AT100"/>
    <s v="MUFFLER COMPLETE-CTR &amp; SENSOR"/>
    <s v="          "/>
    <s v="[C]1.현상 : 냉각수 소모로 인해 입고 2.점검내용 및 원인 : 머플러 탈거 점검 열교환기에서 냉각수 소모 확인 3.조치내용 : 열교환기 교환 진행하였음"/>
    <s v="28607R00"/>
    <m/>
    <s v="L33"/>
    <s v="2024/07/09"/>
    <s v="2025/12/12"/>
    <s v="2024/07/10"/>
    <n v="18"/>
    <n v="57288"/>
    <s v="            "/>
    <n v="100"/>
    <n v="25.44"/>
    <n v="25.44"/>
    <n v="48801"/>
    <n v="13483"/>
    <n v="0"/>
    <n v="62284"/>
    <s v="SG2 (니로 후속) 21"/>
    <s v="2024-07"/>
    <e v="#N/A"/>
    <s v="냉각수 문제"/>
    <n v="60000"/>
    <n v="60000"/>
    <n v="24"/>
    <n v="21"/>
    <s v="GK2"/>
    <s v="한국"/>
    <x v="2"/>
    <x v="0"/>
    <s v="머플러"/>
    <m/>
    <x v="4"/>
    <s v="2025년"/>
    <s v="4분기"/>
  </r>
  <r>
    <s v="기아"/>
    <s v="D"/>
    <s v="2025121WW"/>
    <s v="K"/>
    <s v="R151"/>
    <n v="174"/>
    <s v="2025/12"/>
    <s v="HX90602025W00033600"/>
    <s v="KNARL81BHNA170100"/>
    <s v="W"/>
    <s v="GZ"/>
    <s v="28607P2580"/>
    <s v="MUFFLER COMPLETE-CHMBR &amp; CONV"/>
    <s v="          "/>
    <s v="[C]1.현상 : 차량 주행중 경고등 점등으로 입고. 2.점검내용 및 원인 : 스캐너 확인결과 DPF효율 저하 표출됨.관련 센서 점검하였으나, 모두 정상. 3.조치내용 : 컨버터 교환."/>
    <s v="28950RQ0"/>
    <m/>
    <s v="W17"/>
    <s v="2022/07/01"/>
    <s v="2025/12/24"/>
    <s v="2022/07/05"/>
    <n v="42"/>
    <n v="52306"/>
    <s v="            "/>
    <n v="100"/>
    <n v="25.44"/>
    <n v="25.44"/>
    <n v="237050"/>
    <n v="27679"/>
    <n v="0"/>
    <n v="264729"/>
    <s v="MQ4 20"/>
    <s v="2022-07"/>
    <e v="#N/A"/>
    <s v="경고등 점등"/>
    <n v="60000"/>
    <n v="55000"/>
    <n v="48"/>
    <n v="45"/>
    <s v="HX9"/>
    <s v="한국"/>
    <x v="3"/>
    <x v="0"/>
    <s v="컨버터"/>
    <s v="MQ4 DPF"/>
    <x v="5"/>
    <s v="2025년"/>
    <s v="4분기"/>
  </r>
  <r>
    <s v="기아"/>
    <s v="D"/>
    <s v="2025121WW"/>
    <s v="K"/>
    <s v="R151"/>
    <n v="175"/>
    <s v="2025/12"/>
    <s v="GK22302025W00051500"/>
    <s v="KNARL81BGPA182033"/>
    <s v="W"/>
    <s v="GZ"/>
    <s v="28607P2580"/>
    <s v="MUFFLER COMPLETE-CHMBR &amp; CONV"/>
    <s v="          "/>
    <s v="[C]1.현상 : 경고등 점등으로 입고 2.점검내용 및 원인 : KDS진단점검시 P20EE00/NOX정화효율낮음표출 KDS센서데이터 확인시 NOX센서 값 정상표출 배터리 상태 특이사항 없음 SCR촉매 내부불량으로 인한 경고등 점등으로 판단 3.조치내용 : SCR교환후 정상출고"/>
    <s v="28620R00"/>
    <m/>
    <s v="W11"/>
    <s v="2022/09/23"/>
    <s v="2025/12/10"/>
    <s v="2022/09/28"/>
    <n v="39"/>
    <n v="108161"/>
    <s v="            "/>
    <n v="100"/>
    <n v="25.44"/>
    <n v="25.44"/>
    <n v="99718"/>
    <n v="5342"/>
    <n v="0"/>
    <n v="105060"/>
    <s v="MQ4 20"/>
    <s v="2022-09"/>
    <e v="#N/A"/>
    <s v="경고등 점등"/>
    <s v="≥100000"/>
    <s v="≥100000"/>
    <n v="42"/>
    <n v="42"/>
    <s v="GK2"/>
    <s v="한국"/>
    <x v="3"/>
    <x v="0"/>
    <s v="컨버터"/>
    <s v="MQ4 DPF"/>
    <x v="5"/>
    <s v="2025년"/>
    <s v="4분기"/>
  </r>
  <r>
    <s v="기아"/>
    <s v="D"/>
    <s v="2025121WW"/>
    <s v="K"/>
    <s v="R151"/>
    <n v="176"/>
    <s v="2025/12"/>
    <s v="GX91802025W00059400"/>
    <s v="KNARH81BGRA245716"/>
    <s v="W"/>
    <s v="GZ"/>
    <s v="28607P2580"/>
    <s v="MUFFLER COMPLETE-CHMBR &amp; CONV"/>
    <s v="          "/>
    <s v="[C]1.현상 : 경고등 및 시동불능 경고문 표출됨 2.점검내용 및 원인 : kds진단 점검시 P20EE00(SCR NOX 정화 효츌낮음) P2C7A00(암모니아 흡장량 진단 이상) P2BA600(NOX 배출과다 SCR NOX 촉매성능이상) 의 고장코드 표출됨 시운전시 후단 녹스 센서 활성화 안됨을 확인 후 SCR 탈착시 전단 부분 흡착이 많이되어 막힘(사진) 확인되고 도징의 분사량 이상으로(도징불량) 요소수 흐름을 확인 3.조치내용 : 요소수 도징 교환 및 SCR 교체 후 후단 녹스센서 활성화 정상작동 확인이 되나 재시동 경고문은 계속 표출되어 DCU의 학습값 이상으로 학습이 초기화 안되어 DCU 교환 후 학습값 정상작동됨을 확인 후 정상출고 (하이테크와주재원상담확인)"/>
    <s v="29610RQ0"/>
    <m/>
    <s v="W11"/>
    <s v="2023/08/30"/>
    <s v="2025/11/25"/>
    <s v="2023/10/10"/>
    <n v="26"/>
    <n v="26809"/>
    <s v="            "/>
    <n v="100"/>
    <n v="25.44"/>
    <n v="25.44"/>
    <n v="139671"/>
    <n v="10074"/>
    <n v="0"/>
    <n v="149745"/>
    <s v="MQ4 20"/>
    <s v="2023-08"/>
    <e v="#N/A"/>
    <s v="경고등 점등"/>
    <n v="30000"/>
    <n v="30000"/>
    <n v="30"/>
    <n v="27"/>
    <s v="GX9"/>
    <s v="한국"/>
    <x v="3"/>
    <x v="0"/>
    <s v="컨버터"/>
    <s v="MQ4 DPF"/>
    <x v="5"/>
    <s v="2025년"/>
    <s v="4분기"/>
  </r>
  <r>
    <s v="기아"/>
    <s v="D"/>
    <s v="2025121WW"/>
    <s v="K"/>
    <s v="R151"/>
    <n v="177"/>
    <s v="2025/12"/>
    <s v="2030002025W01437700"/>
    <s v="KNANC81BBMS071564"/>
    <s v="W"/>
    <s v="HS"/>
    <s v="28607R0500"/>
    <s v="MUFFLER COMPLETE-CHMBR &amp; CONV"/>
    <s v="          "/>
    <s v="[C]1.현상 : 엔진 경고등 재점등(SCR NOX정화효율낮음) 2.점검내용 및 원인 : KDS진단시 P20EE00 NOX정화효율낮음 경고등 점등,이전 동일 고장으로 5회차 입고,초기화후 요소수 인젝터탈거 분사상태 확인후(정상_동영상유첨) 시운전시 데이터에 전단 NOX보다 후NOX PPM값이 높아 점등된것으로 판단함,DPF재생후(STOOT 21g) 시운전시 동일,챔버컨버터와 도징컨트롤교체 초기화후 시운전 학습하여 정상 상태 확인함(사진유첨) 3.조치내용 : 요소수 경고등점등 관련 점검/교환(유첨사진.동영상참조)"/>
    <s v="DRV2030D"/>
    <m/>
    <s v="W11"/>
    <s v="2021/02/25"/>
    <s v="2025/12/10"/>
    <s v="2021/02/25"/>
    <n v="58"/>
    <n v="72756"/>
    <s v="            "/>
    <n v="100"/>
    <n v="25.44"/>
    <n v="25.44"/>
    <n v="73531"/>
    <n v="69960"/>
    <n v="0"/>
    <n v="143491"/>
    <s v="KA4 (YP 카니발 후속) 20"/>
    <s v="2021-02"/>
    <e v="#N/A"/>
    <s v="경고등 점등"/>
    <n v="80000"/>
    <n v="75000"/>
    <n v="60"/>
    <n v="60"/>
    <s v="203"/>
    <s v="한국"/>
    <x v="3"/>
    <x v="0"/>
    <s v="컨버터"/>
    <s v="KA4 DPF"/>
    <x v="3"/>
    <s v="2025년"/>
    <s v="4분기"/>
  </r>
  <r>
    <s v="기아"/>
    <s v="D"/>
    <s v="2025121WW"/>
    <s v="K"/>
    <s v="R151"/>
    <n v="178"/>
    <s v="2025/12"/>
    <s v="GX81602025W00090000"/>
    <s v="KNANC81BBMS126662"/>
    <s v="W"/>
    <s v="HS"/>
    <s v="28607R0500"/>
    <s v="MUFFLER COMPLETE-CHMBR &amp; CONV"/>
    <s v="          "/>
    <s v="[C]1.현상 : 엔진경고등 점등으로 입고 2.점검내용 및 원인 : 엔진경고등 점등 P2OEE00 SCR NOx 정화효율 낮음 센터머플러 내부에 탄자국 확인 3.조치내용 : 센터머플러 교체 및 재생작업 후 경고등 재점등안됨"/>
    <s v="28950A00"/>
    <m/>
    <s v="W11"/>
    <s v="2021/07/06"/>
    <s v="2025/12/02"/>
    <s v="2021/07/08"/>
    <n v="53"/>
    <n v="85755"/>
    <s v="            "/>
    <n v="100"/>
    <n v="25.44"/>
    <n v="25.44"/>
    <n v="55033"/>
    <n v="10990"/>
    <n v="0"/>
    <n v="66023"/>
    <s v="KA4 (YP 카니발 후속) 20"/>
    <s v="2021-07"/>
    <e v="#N/A"/>
    <s v="경고등 점등"/>
    <n v="90000"/>
    <n v="90000"/>
    <n v="54"/>
    <n v="54"/>
    <s v="GX8"/>
    <s v="한국"/>
    <x v="3"/>
    <x v="0"/>
    <s v="컨버터"/>
    <s v="KA4 DPF"/>
    <x v="3"/>
    <s v="2025년"/>
    <s v="4분기"/>
  </r>
  <r>
    <s v="기아"/>
    <s v="D"/>
    <s v="2025121WW"/>
    <s v="K"/>
    <s v="R151"/>
    <n v="179"/>
    <s v="2025/12"/>
    <s v="GX91802025W00062900"/>
    <s v="KNANC81BBNS143056"/>
    <s v="W"/>
    <s v="HS"/>
    <s v="28607R0500"/>
    <s v="MUFFLER COMPLETE-CHMBR &amp; CONV"/>
    <s v="          "/>
    <s v="[C]1.현상 : 경고등점등으로 차량입고 2.점검내용 및 원인 : KDS진단시 고장코드 P225F00 NOX센서2 신호 고정/성능이상 점등확인/센서데이터 값에서 NOX초기화안되어 리프트 상승 후 도싱 과분사로 인한 SCR전단 막힘확인 / 후단 확인시 과열로 인한 변형 확인됨 3.조치내용 : 신품 교체 작업 중 SCR 교환 시 온도센서 고착으로 인하여 풀리지않아 같이 교환진행함 신품 교체 후 고장코드 소거 후 초기화 후 시운전 후 센서데이터 NOX초기화,라인압력 정상 확인 후 정상 차량 출고함"/>
    <s v="29610RQ0"/>
    <m/>
    <s v="W11"/>
    <s v="2021/09/01"/>
    <s v="2025/12/15"/>
    <s v="2021/09/01"/>
    <n v="52"/>
    <n v="78348"/>
    <s v="            "/>
    <n v="100"/>
    <n v="25.44"/>
    <n v="25.44"/>
    <n v="76957"/>
    <n v="8243"/>
    <n v="0"/>
    <n v="85200"/>
    <s v="KA4 (YP 카니발 후속) 20"/>
    <s v="2021-09"/>
    <e v="#N/A"/>
    <s v="경고등 점등"/>
    <n v="80000"/>
    <n v="80000"/>
    <n v="54"/>
    <n v="54"/>
    <s v="GX9"/>
    <s v="한국"/>
    <x v="3"/>
    <x v="0"/>
    <s v="컨버터"/>
    <s v="KA4 DPF"/>
    <x v="3"/>
    <s v="2025년"/>
    <s v="4분기"/>
  </r>
  <r>
    <s v="기아"/>
    <s v="D"/>
    <s v="2025121WW"/>
    <s v="K"/>
    <s v="R151"/>
    <n v="180"/>
    <s v="2025/12"/>
    <s v="BK04202025W00275400"/>
    <s v="KNANC81BBPS244666"/>
    <s v="W"/>
    <s v="HS"/>
    <s v="28607R0550"/>
    <s v="MUFFLER COMPLETE-CHMBR &amp; CONV"/>
    <s v="          "/>
    <s v="[C]1.현상 : 가. 엔진 경고등 점등 및 DPF 경고등 점등 점검 요청 나. 하동점 기아 오토큐 12월 12일 고장코드 소거 후 재점등 2.점검내용 및 원인 : 가. 진단기 점검시 P20EE00 SCR NOx 정화 효율 낮음 표출 나. 경고등 소거 후 재점등, SCR 촉매 점검시 하단부 이상 확인 다. SCR 촉매 이상으로 경고등 점등 3.조치내용 : 가. 센터머플러 교환 후 경고등 소거 출고"/>
    <s v="28650R00"/>
    <m/>
    <s v="W11"/>
    <s v="2022/10/21"/>
    <s v="2025/12/22"/>
    <s v="2022/10/25"/>
    <n v="38"/>
    <n v="92101"/>
    <s v="            "/>
    <n v="100"/>
    <n v="25.44"/>
    <n v="25.44"/>
    <n v="50073"/>
    <n v="7225"/>
    <n v="0"/>
    <n v="57298"/>
    <s v="KA4 (YP 카니발 후속) 20"/>
    <s v="2022-10"/>
    <e v="#N/A"/>
    <s v="경고등 점등"/>
    <n v="100000"/>
    <n v="95000"/>
    <n v="42"/>
    <n v="39"/>
    <s v="BK0"/>
    <s v="한국"/>
    <x v="3"/>
    <x v="0"/>
    <s v="컨버터"/>
    <s v="KA4 DPF"/>
    <x v="3"/>
    <s v="2025년"/>
    <s v="4분기"/>
  </r>
  <r>
    <s v="기아"/>
    <s v="D"/>
    <s v="2025121WW"/>
    <s v="K"/>
    <s v="R151"/>
    <n v="181"/>
    <s v="2025/12"/>
    <s v="GK16202025W00108800"/>
    <s v="KNCWJZ78BSK872514"/>
    <s v="W"/>
    <s v="HD"/>
    <s v="286104ECA0"/>
    <s v="MUFFLER ASSY-FR"/>
    <s v="          "/>
    <s v="1.현상 : 주행중 엔진이상소음 점검요청 _x000a_2.점검내용 및 원인 : 시운전시 가속시 엔진배기구 부분에서 에어배출 소음발생확인  배기 소음기 1차 파이프부 기밀불량으로 가속시 소음발생확인 _x000a_3.조치내용 : 1차 프론트 머플러  교환 후 재발생시 재입고 "/>
    <s v="28610R00"/>
    <m/>
    <s v="Q76"/>
    <s v="2025/06/27"/>
    <s v="2025/12/06"/>
    <s v="2025/07/02"/>
    <n v="6"/>
    <n v="21828"/>
    <s v="            "/>
    <n v="100"/>
    <n v="25.44"/>
    <n v="25.44"/>
    <n v="12675"/>
    <n v="3320"/>
    <n v="0"/>
    <n v="15995"/>
    <s v="봉고3 1톤/1.4톤"/>
    <s v="2025-06"/>
    <e v="#N/A"/>
    <s v="소음"/>
    <n v="30000"/>
    <n v="25000"/>
    <n v="12"/>
    <n v="9"/>
    <s v="GK1"/>
    <s v="한국"/>
    <x v="4"/>
    <x v="0"/>
    <s v="머플러"/>
    <m/>
    <x v="6"/>
    <s v="2025년"/>
    <s v="4분기"/>
  </r>
  <r>
    <s v="기아"/>
    <s v="D"/>
    <s v="2025121WW"/>
    <s v="K"/>
    <s v="R151"/>
    <n v="182"/>
    <s v="2025/12"/>
    <s v="GX11102025W00086600"/>
    <s v="KNARL81FHSA363562"/>
    <s v="W"/>
    <s v="GZ"/>
    <s v="28650P2960"/>
    <s v="MUFFLER ASSY-CTR"/>
    <s v="          "/>
    <s v="[C]1.현상 : 엔진구동시(가속시) 머플러 소음 (휘슬음.떨림)발생함 2.점검내용 및 원인 : 머플러(센터)내부 불량으로 가속시(떨림.휘슬) 소음발생함 사진상 표시부근에서 내부수증기 새어나옴 센터머플러 내부불량으로 판단되어 교환조치함 3.조치내용 : 센터머플러교환"/>
    <s v="28650R00"/>
    <m/>
    <s v="Q71"/>
    <s v="2025/04/08"/>
    <s v="2025/12/08"/>
    <s v="2025/04/09"/>
    <n v="8"/>
    <n v="18524"/>
    <s v="            "/>
    <n v="100"/>
    <n v="25.44"/>
    <n v="25.44"/>
    <n v="34731"/>
    <n v="3816"/>
    <n v="0"/>
    <n v="38547"/>
    <s v="MQ4 20"/>
    <s v="2025-04"/>
    <e v="#N/A"/>
    <s v="소음"/>
    <n v="20000"/>
    <n v="20000"/>
    <n v="12"/>
    <n v="9"/>
    <s v="GX1"/>
    <s v="한국"/>
    <x v="1"/>
    <x v="0"/>
    <s v="머플러"/>
    <m/>
    <x v="5"/>
    <s v="2025년"/>
    <s v="4분기"/>
  </r>
  <r>
    <s v="기아"/>
    <s v="D"/>
    <s v="2025121WW"/>
    <s v="K"/>
    <s v="R151"/>
    <n v="183"/>
    <s v="2025/12"/>
    <s v="NX00802025W00050900"/>
    <s v="KNANE81BBPS304158"/>
    <s v="W"/>
    <s v="HS"/>
    <s v="28650R0500"/>
    <s v="MUFFLER ASSY-CTR"/>
    <s v="          "/>
    <s v="[C]1.현상 : 냉간시동시 백연 과다 발생 및 냄새 심함 2.점검내용 및 원인 : P24C200 배기가스 온도시스템 고장으로 DPF 강제 재생 후 출고 3.조치내용 : DPF 강제 재생"/>
    <s v="28950A00"/>
    <m/>
    <s v="H23"/>
    <s v="2023/03/09"/>
    <s v="2025/11/20"/>
    <s v="2023/03/13"/>
    <n v="33"/>
    <n v="42919"/>
    <s v="            "/>
    <n v="100"/>
    <n v="25.44"/>
    <n v="25.44"/>
    <n v="0"/>
    <n v="4643"/>
    <n v="0"/>
    <n v="4643"/>
    <s v="KA4 (YP 카니발 후속) 20"/>
    <s v="2023-03"/>
    <e v="#N/A"/>
    <s v="냄새과다"/>
    <n v="50000"/>
    <n v="45000"/>
    <n v="36"/>
    <n v="36"/>
    <s v="NX0"/>
    <s v="한국"/>
    <x v="1"/>
    <x v="0"/>
    <s v="머플러"/>
    <m/>
    <x v="3"/>
    <s v="2025년"/>
    <s v="4분기"/>
  </r>
  <r>
    <s v="기아"/>
    <s v="D"/>
    <s v="2025121WW"/>
    <s v="K"/>
    <s v="R151"/>
    <n v="184"/>
    <s v="2025/12"/>
    <s v="NX00302025W00110300"/>
    <s v="KNANC81BBSS583621"/>
    <s v="W"/>
    <s v="HS"/>
    <s v="28650R0500"/>
    <s v="MUFFLER ASSY-CTR"/>
    <s v="          "/>
    <s v="[C]1.현상 : 제품 생산시 이물질 유입으로 인한 소음 2.점검내용 및 원인 : 제품 생산시 중앙 머플러 동전크기 이물질로 인하여 소음 발생 3.조치내용 : 중앙머플러 동전크기 이물질 제거 탈부착 작업"/>
    <s v="99NGOZ0T"/>
    <m/>
    <s v="Q75"/>
    <s v="2025/07/19"/>
    <s v="2025/12/22"/>
    <s v="2025/10/30"/>
    <n v="2"/>
    <n v="2631"/>
    <s v="            "/>
    <n v="100"/>
    <n v="25.44"/>
    <n v="25.44"/>
    <n v="0"/>
    <n v="3511"/>
    <n v="0"/>
    <n v="3511"/>
    <s v="KA4 (YP 카니발 후속) 20"/>
    <s v="2025-07"/>
    <e v="#N/A"/>
    <s v="소음"/>
    <n v="10000"/>
    <n v="5000"/>
    <n v="6"/>
    <n v="3"/>
    <s v="NX0"/>
    <s v="한국"/>
    <x v="1"/>
    <x v="0"/>
    <s v="머플러"/>
    <m/>
    <x v="3"/>
    <s v="2025년"/>
    <s v="4분기"/>
  </r>
  <r>
    <s v="기아"/>
    <s v="D"/>
    <s v="2025121WW"/>
    <s v="K"/>
    <s v="R151"/>
    <n v="185"/>
    <s v="2025/12"/>
    <s v="2520002025W01073200"/>
    <s v="KNACH811BST418803"/>
    <s v="W"/>
    <s v="A3"/>
    <s v="28710A3550"/>
    <s v="MUFFLER ASSY-RR"/>
    <s v="          "/>
    <s v="1.현상 : 가속시 엔진쪽, 머플러 쪽에서 우웅웅 소음 _x000a_2.점검내용 및 원인 : 주행중 소음점검 시 소음기 에서 웅웅웅 거림 _x000a_3.조치내용 : 소음기 교환 "/>
    <s v="99NGOZ0T"/>
    <m/>
    <s v="Q75"/>
    <s v="2024/12/05"/>
    <s v="2025/12/16"/>
    <s v="2024/12/06"/>
    <n v="13"/>
    <n v="7233"/>
    <s v="            "/>
    <n v="100"/>
    <n v="25.44"/>
    <n v="25.44"/>
    <n v="19790"/>
    <n v="33581"/>
    <n v="0"/>
    <n v="53371"/>
    <s v="레이 11"/>
    <s v="2024-12"/>
    <e v="#N/A"/>
    <s v="소음"/>
    <n v="10000"/>
    <n v="10000"/>
    <n v="18"/>
    <n v="15"/>
    <s v="252"/>
    <s v="한국"/>
    <x v="5"/>
    <x v="0"/>
    <s v="머플러"/>
    <m/>
    <x v="7"/>
    <s v="2025년"/>
    <s v="4분기"/>
  </r>
  <r>
    <s v="기아"/>
    <s v="D"/>
    <s v="2025121WA"/>
    <s v="K"/>
    <s v="R151"/>
    <n v="1"/>
    <s v="2025/10"/>
    <s v="GK21402025W00119100"/>
    <s v="KNANE81ABSS055734"/>
    <s v="W"/>
    <s v="8S"/>
    <s v="28600ES100"/>
    <s v="MUFFLER COMPLETE-CTR"/>
    <s v="          "/>
    <s v="[C]1.현상 : 배기음 소음 심함으로 입고 2.점검내용 및 원인 : 소음 과다 발생 확인 센터 머플러 내구성 불량 판단 3.조치내용 : 센터머플러 교환"/>
    <s v="28650R00"/>
    <m/>
    <s v="Q72"/>
    <s v="2024/11/21"/>
    <s v="2025/10/21"/>
    <s v="2024/12/20"/>
    <n v="11"/>
    <n v="26352"/>
    <s v="            "/>
    <n v="100"/>
    <n v="25.44"/>
    <n v="25.44"/>
    <n v="78136"/>
    <n v="10049"/>
    <n v="0"/>
    <n v="88185"/>
    <s v="KA4 (YP 카니발 후속) 20"/>
    <s v="2024-11"/>
    <e v="#N/A"/>
    <s v="소음"/>
    <n v="30000"/>
    <n v="30000"/>
    <n v="12"/>
    <n v="12"/>
    <s v="GK2"/>
    <s v="한국"/>
    <x v="1"/>
    <x v="0"/>
    <s v="머플러"/>
    <m/>
    <x v="3"/>
    <s v="2025년"/>
    <s v="4분기"/>
  </r>
  <r>
    <s v="기아"/>
    <s v="E"/>
    <s v="2025121WW"/>
    <s v="K"/>
    <s v="R151"/>
    <n v="1"/>
    <s v="2025/12"/>
    <s v="B06VA110472519030A "/>
    <s v="KNDPRCA64K7524707"/>
    <s v="W"/>
    <s v="D9"/>
    <s v="285102G520"/>
    <s v="MODULE ASSY-WCC"/>
    <s v="          "/>
    <e v="#N/A"/>
    <s v="28530R1A"/>
    <s v="ZZ3"/>
    <s v="W17"/>
    <s v="2018/06/04"/>
    <s v="2025/12/05"/>
    <s v="2019/04/22"/>
    <n v="80"/>
    <n v="84820"/>
    <s v="            "/>
    <n v="100"/>
    <n v="18.18"/>
    <n v="18.18"/>
    <n v="131461"/>
    <n v="45148"/>
    <n v="0"/>
    <n v="176609"/>
    <s v="스포티지(후속) 16"/>
    <s v="2018-06"/>
    <s v="단품불량"/>
    <s v="경고등 점등"/>
    <n v="90000"/>
    <n v="85000"/>
    <s v="≥60"/>
    <s v="≥60"/>
    <s v="B06"/>
    <s v="CANADA"/>
    <x v="0"/>
    <x v="0"/>
    <s v="컨버터"/>
    <s v="쎄타"/>
    <x v="0"/>
    <s v="2025년"/>
    <s v="4분기"/>
  </r>
  <r>
    <s v="기아"/>
    <s v="E"/>
    <s v="2025121WW"/>
    <s v="K"/>
    <s v="R151"/>
    <n v="52"/>
    <s v="2025/12"/>
    <s v="B28VAMD0612538332-A"/>
    <s v="KNDCR3LE8P5101392"/>
    <s v="W"/>
    <s v="0T"/>
    <s v="2853008450"/>
    <s v="CONVERTER ASSY-W/UP CATALYTIC"/>
    <s v="          "/>
    <s v="[D]CONDITION: CUSTOMER STATES THE ENGINE LIGHT IS ON CAUSE: CEL ON CORRECTION: 29466 TECH INSPECTED FOR CONCERN. SCAN TEST FOUND DTC P017100 .PERFORMED DIAG FOR LEAN CODES. VERIFIED OPERATION OF O2 SENSORS. DIAG FAILED CATALYTIC CONVERTER. TECH REPLACED CATALYTIC CONVERTER AND CLEARED DTC. WORKING AS DESIGNED NOW"/>
    <s v="28950R00"/>
    <s v="ZZ3"/>
    <s v="I3T"/>
    <s v="2023/04/14"/>
    <s v="2025/11/18"/>
    <s v="2023/07/13"/>
    <n v="29"/>
    <n v="47146"/>
    <s v="            "/>
    <n v="100"/>
    <n v="18.18"/>
    <n v="18.18"/>
    <n v="187341"/>
    <n v="76337"/>
    <n v="0"/>
    <n v="263678"/>
    <s v="SG2 (니로 후속) 21"/>
    <s v="2023-04"/>
    <s v="단품불량"/>
    <s v="경고등 점등"/>
    <n v="50000"/>
    <n v="50000"/>
    <n v="30"/>
    <n v="30"/>
    <s v="B28"/>
    <s v="U.S.A"/>
    <x v="0"/>
    <x v="0"/>
    <s v="컨버터"/>
    <s v="카파(KIA)"/>
    <x v="1"/>
    <s v="2025년"/>
    <s v="4분기"/>
  </r>
  <r>
    <s v="기아"/>
    <s v="E"/>
    <s v="2025121WW"/>
    <s v="K"/>
    <s v="R151"/>
    <n v="53"/>
    <s v="2025/12"/>
    <s v="D29AA0000053175 000"/>
    <s v="KMHHE8113RU034056"/>
    <s v="W"/>
    <s v="1Y"/>
    <s v="2853008500"/>
    <s v="CONVERTER ASSY-W/UP CATALYTIC"/>
    <s v="          "/>
    <e v="#N/A"/>
    <s v="28530R00"/>
    <s v="ZZ3"/>
    <s v="W17"/>
    <s v="2023/10/28"/>
    <s v="2025/11/19"/>
    <s v="2024/08/20"/>
    <n v="15"/>
    <n v="39177"/>
    <s v="            "/>
    <n v="100"/>
    <n v="18.18"/>
    <n v="18.18"/>
    <n v="104783"/>
    <n v="8788"/>
    <n v="0"/>
    <n v="113571"/>
    <s v="SX2(코나 후속) 하이브리드 23"/>
    <s v="2023-10"/>
    <s v="단품불량"/>
    <s v="경고등 점등"/>
    <n v="40000"/>
    <n v="40000"/>
    <n v="18"/>
    <n v="18"/>
    <s v="D29"/>
    <s v="PALESTINE"/>
    <x v="0"/>
    <x v="0"/>
    <s v="컨버터"/>
    <s v="카파(KIA)"/>
    <x v="1"/>
    <s v="2025년"/>
    <s v="4분기"/>
  </r>
  <r>
    <s v="기아"/>
    <s v="E"/>
    <s v="2025121WW"/>
    <s v="K"/>
    <s v="R151"/>
    <n v="54"/>
    <s v="2025/12"/>
    <s v="C23VC00000SKOL68000"/>
    <s v="KNACT81E6T5308355"/>
    <s v="W"/>
    <s v="0T"/>
    <s v="2853008750"/>
    <s v="CONVERTER ASSY-W/UP CATALYTIC"/>
    <s v="          "/>
    <s v="[C]During driving warning lamp come on. [R]Catalytic Converter ASSY and other small parts Replacement according service procedure. [T]DTC: P042033 CATALUST SYSTEM EFFICIENCY BELOW THRESHOLD"/>
    <s v="28950R00"/>
    <s v="ZZ2"/>
    <s v="W11"/>
    <s v="2025/06/11"/>
    <s v="2025/09/29"/>
    <s v="2025/09/05"/>
    <n v="1"/>
    <n v="1300"/>
    <s v="            "/>
    <n v="100"/>
    <n v="18.18"/>
    <n v="18.18"/>
    <n v="659130"/>
    <n v="6775"/>
    <n v="0"/>
    <n v="665905"/>
    <s v="SG2 (니로 후속) 21"/>
    <s v="2025-06"/>
    <s v="파손"/>
    <s v="경고등 점등"/>
    <n v="10000"/>
    <n v="5000"/>
    <n v="6"/>
    <n v="3"/>
    <s v="C23"/>
    <s v="BULGARIA"/>
    <x v="0"/>
    <x v="0"/>
    <s v="컨버터"/>
    <s v="쎄타"/>
    <x v="0"/>
    <s v="2025년"/>
    <s v="4분기"/>
  </r>
  <r>
    <s v="기아"/>
    <s v="E"/>
    <s v="2025121WW"/>
    <s v="K"/>
    <s v="R151"/>
    <n v="55"/>
    <s v="2025/12"/>
    <s v="B28VAAZ058256096002"/>
    <s v="KNAE25LAXJ6012945"/>
    <s v="W"/>
    <s v="J5"/>
    <s v="285302C910"/>
    <s v="CONVERTER ASSY-W/UP CATALYTIC"/>
    <s v="          "/>
    <s v="[D]CONCERN: Check engine light is on and active check and advise CAUSE: ustomer states the Check Engine Light is on. Verified concern and performed system scan found DTC P0420 (Catalyst System Efficiency Below Threshold - Bank 1) stored in ECM. Cleared code and test drove code returned after drive cycle. Performed visual inspection of exhaust system no exhaust leaks or damage found. Monitored upstream and downstream O2 sensor data downstream O2 sensor voltage closely mirrored upstream sensor, confirming catalytic converter inefficiency. Verified sensors are functioning properly. Removed and replaced the Bank 1 catalytic converter assembly with OEM replacement part. Inspected and reinstalled all exhaust connections and gaskets, torqued to spec. Cleared DTCs and completed drive cycle. Result: No codes returned, O2 sensor readings normal, and system operating as designed. Repair complete.CORRECTION: 28530R3L Catalyst Case Assy (Lambda Engine), RH, R&amp;R 5.00"/>
    <s v="28530R3L"/>
    <s v="ZZ3"/>
    <s v="W17"/>
    <s v="2017/10/30"/>
    <s v="2025/10/01"/>
    <s v="2018/03/21"/>
    <n v="91"/>
    <n v="111523"/>
    <s v="            "/>
    <n v="100"/>
    <n v="18.18"/>
    <n v="18.18"/>
    <n v="485573"/>
    <n v="213648"/>
    <n v="0"/>
    <n v="699221"/>
    <s v="CK 17"/>
    <s v="2017-10"/>
    <s v="단품불량"/>
    <s v="경고등 점등"/>
    <s v="≥100000"/>
    <s v="≥100000"/>
    <s v="≥60"/>
    <s v="≥60"/>
    <s v="B28"/>
    <s v="U.S.A"/>
    <x v="0"/>
    <x v="0"/>
    <s v="컨버터"/>
    <s v="쎄타"/>
    <x v="0"/>
    <s v="2025년"/>
    <s v="4분기"/>
  </r>
  <r>
    <s v="기아"/>
    <s v="E"/>
    <s v="2025121WW"/>
    <s v="K"/>
    <s v="R151"/>
    <n v="56"/>
    <s v="2025/12"/>
    <s v="B06VA521452523776A "/>
    <s v="KNDPRCA61L7729886"/>
    <s v="W"/>
    <s v="D9"/>
    <s v="285302GSH0"/>
    <s v="CONVERTER ASSY-W/UP CATALYTIC"/>
    <s v="          "/>
    <e v="#N/A"/>
    <s v="28530R1A"/>
    <s v="ZZ3"/>
    <s v="W17"/>
    <s v="2019/07/05"/>
    <s v="2025/11/04"/>
    <s v="2019/11/20"/>
    <n v="72"/>
    <n v="68841"/>
    <s v="            "/>
    <n v="100"/>
    <n v="18.18"/>
    <n v="18.18"/>
    <n v="166244"/>
    <n v="36680"/>
    <n v="0"/>
    <n v="202924"/>
    <s v="스포티지(후속) 16"/>
    <s v="2019-07"/>
    <s v="단품불량"/>
    <s v="경고등 점등"/>
    <n v="70000"/>
    <n v="70000"/>
    <s v="≥60"/>
    <s v="≥60"/>
    <s v="B06"/>
    <s v="CANADA"/>
    <x v="0"/>
    <x v="0"/>
    <s v="컨버터"/>
    <s v="쎄타"/>
    <x v="0"/>
    <s v="2025년"/>
    <s v="4분기"/>
  </r>
  <r>
    <s v="기아"/>
    <s v="E"/>
    <s v="2025121WW"/>
    <s v="K"/>
    <s v="R151"/>
    <n v="64"/>
    <s v="2025/12"/>
    <s v="D26VBTR126KM2500101"/>
    <s v="KNCSJX767R7764431"/>
    <s v="W"/>
    <s v="HD"/>
    <s v="286004E560"/>
    <s v="MUFFLER COMPLETE-CTR"/>
    <s v="          "/>
    <s v="[C]ARACIMIN EGZOZ VE ARIZA LAMBASI YANIYOR [R]DPF DEĞİŞİMİ GEREKMEKTEDİR.DPF DEĞİŞİMİ YAPILDI [T]YAPILAN KONTROLLERDE ARACIN ARIZA LAMBASININ YANDIĞI GÖRÜLDÜ.KDS İLE YAPILAN KONTROLLERDE P200300 ARIZA KODU GÖRÜLDÜ.ARACA REJENERASYON UYGULANDI ARAÇ TEST EDİLDİ FAKAT ARIZANIN DEVAM ETTİĞİ GÖRÜLDÜ.NOX VE PM SENSÖR TEMİZLİĞİ VE KONTROLLER YAPILDI SORUN GÖRÜLMEDİ.ARIZANIN DPF TEN KAYNAKLANDIĞI TESPİ [L]Araç teslim edildi.Parça geldiğinde yazılım bilgisi alınarak eklenecektir. Parça lot numaralar eklenecektir. Claime DPF''in iç ve dış kısmının + lot numarasının fotoğrafı eklendi. Yazılım ekran görüntüsü eklendi. [D]Claime DPF''in iç ve dış kısmının + lot numarasının fotoğrafı eklenmelidir Yazılım bilgisi ekren görüntüsü de eklenmelidir."/>
    <s v="28650R00"/>
    <s v="ZZ3"/>
    <s v="B31"/>
    <s v="2024/01/08"/>
    <s v="2025/11/07"/>
    <s v="2024/03/30"/>
    <n v="20"/>
    <n v="40208"/>
    <s v="            "/>
    <n v="100"/>
    <n v="18.18"/>
    <n v="18.18"/>
    <n v="169185"/>
    <n v="4330"/>
    <n v="0"/>
    <n v="173515"/>
    <s v="봉고3 1톤/1.4톤"/>
    <s v="2024-01"/>
    <s v="단품불량"/>
    <s v="조립 불량"/>
    <n v="50000"/>
    <n v="45000"/>
    <n v="24"/>
    <n v="21"/>
    <s v="D26"/>
    <s v="TURKEY"/>
    <x v="1"/>
    <x v="0"/>
    <s v="컨버터"/>
    <s v="PU SDPF"/>
    <x v="6"/>
    <s v="2025년"/>
    <s v="4분기"/>
  </r>
  <r>
    <s v="기아"/>
    <s v="E"/>
    <s v="2025121WW"/>
    <s v="K"/>
    <s v="R151"/>
    <n v="65"/>
    <s v="2025/12"/>
    <s v="D26VBTR162KM2001093"/>
    <s v="KNCSJX763R7774034"/>
    <s v="W"/>
    <s v="HD"/>
    <s v="286004E560"/>
    <s v="MUFFLER COMPLETE-CTR"/>
    <s v="          "/>
    <s v="[C]PARTEKÜL İKAZI VERMİŞ DAHASONRA MOTOR ARIZA LAMBASI YANMIŞ KONTROL [R]DPF ve contaların değişimi yapıldı. Sorun giderildi. [T]kds ile yapılan kontrollerde P200300 arızası tespit edildi. Arıza silindi. PM sensörü, üre enjektörü temizlendi. dpf doluluk oranına bakıldı 14,37 gr olduğu görüldü . KDS ile rejerenasyon yapıldı 0,78 gr düştüğü görüldü. Aynı arızayı tekrar verdiği. Arıza tekrarı olduğu tespit edildi. DPF iç arızas [D]claime DPF''in iç ve dış kısmının + lot numarasının fotoğrafı eklenmelidir."/>
    <s v="28650R00"/>
    <s v="ZZ3"/>
    <s v="W11"/>
    <s v="2024/02/14"/>
    <s v="2025/10/23"/>
    <s v="2024/07/26"/>
    <n v="15"/>
    <n v="8100"/>
    <s v="            "/>
    <n v="100"/>
    <n v="18.18"/>
    <n v="18.18"/>
    <n v="169185"/>
    <n v="4330"/>
    <n v="0"/>
    <n v="173515"/>
    <s v="봉고3 1톤/1.4톤"/>
    <s v="2024-02"/>
    <s v="단품불량"/>
    <s v="경고등 점등"/>
    <n v="10000"/>
    <n v="10000"/>
    <n v="18"/>
    <n v="18"/>
    <s v="D26"/>
    <s v="TURKEY"/>
    <x v="1"/>
    <x v="0"/>
    <s v="컨버터"/>
    <s v="PU SDPF"/>
    <x v="6"/>
    <s v="2025년"/>
    <s v="4분기"/>
  </r>
  <r>
    <s v="기아"/>
    <s v="E"/>
    <s v="2025121WW"/>
    <s v="K"/>
    <s v="R151"/>
    <n v="66"/>
    <s v="2025/12"/>
    <s v="D26VBTR164KM2000573"/>
    <s v="KNCSJX76XR7779280"/>
    <s v="W"/>
    <s v="HD"/>
    <s v="286004E560"/>
    <s v="MUFFLER COMPLETE-CTR"/>
    <s v="          "/>
    <s v="[C]ARAÇ PARTİKÜL UYARISI VERİYOR MOTOR ARIZA LAMBASI YANIYOR [R]Araçta DPF değişimi yapılarak arıza giderilmiştir. [T]Araç servisimize bir önceki gelişinde arıza lambası ve bakım şikayetiyle gelmiştir. Araca cihaz bağlanıp arıza taraması yapıldığında P200300 Kodlu arızayı geçmiş olarak vermekte idi. Arıza silinip araca kurum kontrolü yapıldığında 21 gram olarak görünmüştür. Jenerasyon yapılıp araç ile uzun yol tes [D]Claime DPF''in iç,dış ve lot numarası fotoğraflarını ekleyiniz."/>
    <s v="28650R00"/>
    <s v="ZZ4"/>
    <s v="B33"/>
    <s v="2024/03/08"/>
    <s v="2025/11/25"/>
    <s v="2024/06/21"/>
    <n v="18"/>
    <n v="33449"/>
    <s v="            "/>
    <n v="100"/>
    <n v="18.18"/>
    <n v="18.18"/>
    <n v="169185"/>
    <n v="4330"/>
    <n v="0"/>
    <n v="173515"/>
    <s v="봉고3 1톤/1.4톤"/>
    <s v="2024-03"/>
    <s v="재질불량"/>
    <s v="누기"/>
    <n v="40000"/>
    <n v="35000"/>
    <n v="24"/>
    <n v="21"/>
    <s v="D26"/>
    <s v="TURKEY"/>
    <x v="1"/>
    <x v="0"/>
    <s v="컨버터"/>
    <s v="PU SDPF"/>
    <x v="6"/>
    <s v="2025년"/>
    <s v="4분기"/>
  </r>
  <r>
    <s v="기아"/>
    <s v="E"/>
    <s v="2025121WW"/>
    <s v="K"/>
    <s v="R151"/>
    <n v="67"/>
    <s v="2025/12"/>
    <s v="D26VBTR148KM2000262"/>
    <s v="KNCSJX764R7779842"/>
    <s v="W"/>
    <s v="HD"/>
    <s v="286004E560"/>
    <s v="MUFFLER COMPLETE-CTR"/>
    <s v="          "/>
    <s v="[C]ARACIMIN ARIZA LAMBASI YANIYOR [R]Aracın (DPF) partikül parçası sökülmüş, yeni dpf partikül parçası ile değişimi yapılmıştır. Araç kontrol edilmiş, arıza giderilmiştir. [T]Yapılan kontroller sonucunda P200300 Partikül Filtresi Verimliliği Eşiğin altında sıra2 arıza kodu görülmüştür. Araç ile yol testine çıkılmıştır. PM sensör değerleri alınmıştır. Yapılan kontroller esnasında PM sensor değerlerinin yükseldiği görülmüştür. PM sensör değerleri ektedir. Araç ile yaklaşık [D]CLAIME DPF''in iç ve dış kısmının + lot numarasının fotoğrafı eklenmelidir."/>
    <s v="28650R00"/>
    <s v="ZZ3"/>
    <s v="W17"/>
    <s v="2024/03/12"/>
    <s v="2025/09/16"/>
    <s v="2024/05/28"/>
    <n v="16"/>
    <n v="27787"/>
    <s v="            "/>
    <n v="100"/>
    <n v="18.18"/>
    <n v="18.18"/>
    <n v="169185"/>
    <n v="4330"/>
    <n v="0"/>
    <n v="173515"/>
    <s v="봉고3 1톤/1.4톤"/>
    <s v="2024-03"/>
    <s v="단품불량"/>
    <s v="경고등 점등"/>
    <n v="30000"/>
    <n v="30000"/>
    <n v="18"/>
    <n v="18"/>
    <s v="D26"/>
    <s v="TURKEY"/>
    <x v="1"/>
    <x v="0"/>
    <s v="컨버터"/>
    <s v="PU SDPF"/>
    <x v="6"/>
    <s v="2025년"/>
    <s v="4분기"/>
  </r>
  <r>
    <s v="기아"/>
    <s v="E"/>
    <s v="2025121WW"/>
    <s v="K"/>
    <s v="R151"/>
    <n v="68"/>
    <s v="2025/12"/>
    <s v="D26VBTR169KM2001907"/>
    <s v="KNCSJX761R7785601"/>
    <s v="W"/>
    <s v="HD"/>
    <s v="286004E560"/>
    <s v="MUFFLER COMPLETE-CTR"/>
    <s v="          "/>
    <s v="[C]MOTOR ARIZA IŞIĞI YANIYOR [R]Aracın arızalı olan DPF değişimi yapıldı sorunsuz teslim edildi.. [T]Müşteri şikayetine istinaden araca KDS taramasında P200300 DTC nin geçmiş konumda olduğu görüldü. DTC hotline incelenmesinde arıza kaydının partiküldeki çatlaktan olduğu anlaşıldı. Aracın kurum miktarı 5,82 gr ölçüldü. Sonra yol testleri yapıldı PM sensör değerleri ölçüldü ve değer verdiği görüldü. [L]CLAIME DPF''in iç ve dış kısmıının + lot numarasının fotoğrafı eklendi [D]CLAIME DPF''in iç ve dış kısmıının + lot numarasının fotoğrafı eklenmelidir."/>
    <s v="28650R00"/>
    <s v="ZZ3"/>
    <s v="B33"/>
    <s v="2024/04/03"/>
    <s v="2025/10/30"/>
    <s v="2024/07/31"/>
    <n v="15"/>
    <n v="97804"/>
    <s v="            "/>
    <n v="100"/>
    <n v="18.18"/>
    <n v="18.18"/>
    <n v="169185"/>
    <n v="4330"/>
    <n v="0"/>
    <n v="173515"/>
    <s v="봉고3 1톤/1.4톤"/>
    <s v="2024-04"/>
    <s v="단품불량"/>
    <s v="누기"/>
    <n v="100000"/>
    <n v="100000"/>
    <n v="18"/>
    <n v="18"/>
    <s v="D26"/>
    <s v="TURKEY"/>
    <x v="1"/>
    <x v="0"/>
    <s v="컨버터"/>
    <s v="PU SDPF"/>
    <x v="6"/>
    <s v="2025년"/>
    <s v="4분기"/>
  </r>
  <r>
    <s v="기아"/>
    <s v="E"/>
    <s v="2025121WW"/>
    <s v="K"/>
    <s v="R151"/>
    <n v="69"/>
    <s v="2025/12"/>
    <s v="B28VACA2452527594-1"/>
    <s v="KNDJP3A56K7642616"/>
    <s v="W"/>
    <s v="B2"/>
    <s v="28600B2600"/>
    <s v="MUFFLER COMPLETE-CTR"/>
    <s v="          "/>
    <s v="[D]client states welds broke off of center muffler at the flange check and advise. CONFIRMED CLIENT CONCERN. FOUND THAT THE FLANGE WELDS ON THE CENTER MUFFLER ASSEMBLY HAD SEPARATED FROM THE JOINT. THE WELD SEPARATION APPEARS TO HAVE RESULTED FROM INSUFFICIENT WELD PENETRATION AND NORMALVIBRATION/THERMAL CYCLING OVER TIME, WHICH LED TO LOSS OF STRUCTURAL INTEGRITY. CONTACTED DPSM AND RECEIVED APPROVAL FOR REPAIRS.REMOVED AND REPLACE CENTER MUFFLER TO CORRECT"/>
    <s v="28610R00"/>
    <s v="ZZ3"/>
    <s v="B1C"/>
    <s v="2018/05/18"/>
    <s v="2025/11/14"/>
    <s v="2018/08/18"/>
    <n v="87"/>
    <n v="31085"/>
    <s v="            "/>
    <n v="100"/>
    <n v="18.18"/>
    <n v="18.18"/>
    <n v="85043"/>
    <n v="28173"/>
    <n v="0"/>
    <n v="113216"/>
    <s v="올 뉴 쏘울"/>
    <s v="2018-05"/>
    <s v="단품불량"/>
    <s v="조립 불량"/>
    <n v="40000"/>
    <n v="35000"/>
    <s v="≥60"/>
    <s v="≥60"/>
    <s v="B28"/>
    <s v="U.S.A"/>
    <x v="1"/>
    <x v="0"/>
    <s v="머플러"/>
    <m/>
    <x v="8"/>
    <s v="2025년"/>
    <s v="4분기"/>
  </r>
  <r>
    <s v="기아"/>
    <s v="E"/>
    <s v="2025121WW"/>
    <s v="K"/>
    <s v="R151"/>
    <n v="74"/>
    <s v="2025/12"/>
    <s v="B28VANC033257778000"/>
    <s v="KNDNC5H37N6097470"/>
    <s v="W"/>
    <s v="HS"/>
    <s v="28600R0120"/>
    <s v="MUFFLER COMPLETE-CTR"/>
    <s v="          "/>
    <s v="[D]CONCERN: CUSTOMER STATES MUFFLER ASSEMBLY IS LEAKING CHECK AND ADVISE CAUSE: vehicle s muffler was leaking needed to be replaced CORRECTION: removed old muffler assembly and installed new muffler assembly, everything is good at this time 28675R00 0.5 CONCERN: CUSTOMERSTATES MUFFLER ASSEMBLY IS LEAKING CHECK AND ADVISE CAUSE: vehicle s muffler was leaking needed to be replaced CORRECTION: removed old muffler assembly and installed new muffler assembly, everything is good at this time 28675R00 0.5"/>
    <s v="28675R00"/>
    <s v="ZZ3"/>
    <s v="B25"/>
    <s v="2021/04/26"/>
    <s v="2025/11/10"/>
    <s v="2021/07/03"/>
    <n v="53"/>
    <n v="86734"/>
    <s v="            "/>
    <n v="100"/>
    <n v="18.18"/>
    <n v="18.18"/>
    <n v="104054"/>
    <n v="19265"/>
    <n v="0"/>
    <n v="123319"/>
    <s v="KA4 (YP 카니발 후속) 20"/>
    <s v="2021-04"/>
    <s v="단품불량"/>
    <s v="누기"/>
    <n v="90000"/>
    <n v="90000"/>
    <n v="54"/>
    <n v="54"/>
    <s v="B28"/>
    <s v="U.S.A"/>
    <x v="1"/>
    <x v="0"/>
    <s v="머플러"/>
    <m/>
    <x v="3"/>
    <s v="2025년"/>
    <s v="4분기"/>
  </r>
  <r>
    <s v="기아"/>
    <s v="E"/>
    <s v="2025121WW"/>
    <s v="K"/>
    <s v="R151"/>
    <n v="76"/>
    <s v="2025/12"/>
    <s v="B28VACT0222589516-B"/>
    <s v="KNDCR3LE1P5116980"/>
    <s v="W"/>
    <s v="0T"/>
    <s v="28601AT600"/>
    <s v="MUFFLER COMPLETE-CTR &amp; SENSOR"/>
    <s v="          "/>
    <s v="[D]CUST STATES, ENGINE OVERHEAT WARNING COMING ON, ALL FLUIDS FULL. TEMP GAUGE INCREASED CHECK AND ADVISE. VERIFY CONCERN REPLACED MULTIPLE COMPONENTS AND WORKED WITH TECHLINE DURING DIAGNOSIS LED TO FTS COMING OUT TO ASSIST IN DIAG. SEE LINE 6"/>
    <s v="25467R1H"/>
    <s v="ZZ3"/>
    <s v="I41"/>
    <s v="2023/06/27"/>
    <s v="2025/09/09"/>
    <s v="2023/08/25"/>
    <n v="25"/>
    <n v="28488"/>
    <s v="            "/>
    <n v="100"/>
    <n v="18.18"/>
    <n v="18.18"/>
    <n v="62114"/>
    <n v="71670"/>
    <n v="0"/>
    <n v="133784"/>
    <s v="SG2 (니로 후속) 21"/>
    <s v="2023-06"/>
    <s v="단품불량"/>
    <s v="과열"/>
    <n v="30000"/>
    <n v="30000"/>
    <n v="30"/>
    <n v="27"/>
    <s v="B28"/>
    <s v="U.S.A"/>
    <x v="2"/>
    <x v="0"/>
    <s v="머플러"/>
    <m/>
    <x v="4"/>
    <s v="2025년"/>
    <s v="4분기"/>
  </r>
  <r>
    <s v="기아"/>
    <s v="E"/>
    <s v="2025121WW"/>
    <s v="K"/>
    <s v="R151"/>
    <n v="77"/>
    <s v="2025/12"/>
    <s v="B23VB88888202400334"/>
    <s v="KNAB2514BST291929"/>
    <s v="W"/>
    <s v="G6"/>
    <s v="28610G6160"/>
    <s v="MUFFLER ASSY-FR"/>
    <s v="          "/>
    <s v="[C]&quot;VEHICULO NO TIENE POTENCIA&quot; [R]REPARACIÓN DE CATALIZADOR [T]CATALIZADOR TRANCADO NO TIENE POTENCIA AL ACELERAR"/>
    <s v="28610RZZ"/>
    <s v="ZZ4"/>
    <s v="DD1"/>
    <s v="2024/08/12"/>
    <s v="2025/11/28"/>
    <s v="2025/03/19"/>
    <n v="9"/>
    <n v="3495"/>
    <s v="            "/>
    <n v="100"/>
    <n v="18.18"/>
    <n v="18.18"/>
    <n v="0"/>
    <n v="0"/>
    <n v="62868"/>
    <n v="62868"/>
    <s v="JA 17"/>
    <s v="2024-08"/>
    <s v="재질불량"/>
    <s v="엔진 출력부족"/>
    <n v="10000"/>
    <n v="5000"/>
    <n v="12"/>
    <n v="12"/>
    <s v="B23"/>
    <s v="PARAGUAY"/>
    <x v="4"/>
    <x v="0"/>
    <s v="머플러"/>
    <m/>
    <x v="9"/>
    <s v="2025년"/>
    <s v="4분기"/>
  </r>
  <r>
    <s v="기아"/>
    <s v="E"/>
    <s v="2025121WW"/>
    <s v="K"/>
    <s v="R151"/>
    <n v="81"/>
    <s v="2025/12"/>
    <s v="A02VE86016251000091"/>
    <s v="KNAF4417VR5206455"/>
    <s v="W"/>
    <s v="DJ"/>
    <s v="28610M6910"/>
    <s v="MUFFLER ASSY-FR"/>
    <s v="          "/>
    <s v="[C]C/R rust on exhaust, loud and noisey when slowing down [R]Replaced exhaust system, road tested all ok noise issue rectified. [T]Verified concern found rust on exhaust pipes, middle pip &amp; tailpipe &amp; muffler due to inadequate corrosion protection at factory causing premature corrosion of exhaust system, this would be contributing to the loud exhaust sound on deceleration."/>
    <s v="28610R00"/>
    <s v="ZZ4"/>
    <s v="A12"/>
    <s v="2024/07/12"/>
    <s v="2025/10/07"/>
    <s v="2025/04/02"/>
    <n v="7"/>
    <n v="6754"/>
    <s v="            "/>
    <n v="100"/>
    <n v="18.18"/>
    <n v="18.18"/>
    <n v="98127"/>
    <n v="9253"/>
    <n v="0"/>
    <n v="107380"/>
    <s v="BD 18"/>
    <s v="2024-07"/>
    <s v="재질불량"/>
    <s v="녹, 부식"/>
    <n v="10000"/>
    <n v="10000"/>
    <n v="12"/>
    <n v="9"/>
    <s v="A02"/>
    <s v="AUSTRALIA"/>
    <x v="4"/>
    <x v="0"/>
    <s v="머플러"/>
    <m/>
    <x v="10"/>
    <s v="2025년"/>
    <s v="4분기"/>
  </r>
  <r>
    <s v="기아"/>
    <s v="E"/>
    <s v="2025121WW"/>
    <s v="K"/>
    <s v="R151"/>
    <n v="90"/>
    <s v="2025/12"/>
    <s v="C07VA2790AKM2000362"/>
    <s v="KNARH81GDP5154888"/>
    <s v="W"/>
    <s v="HC"/>
    <s v="28650P4670"/>
    <s v="MUFFLER ASSY-CTR"/>
    <s v="          "/>
    <e v="#N/A"/>
    <s v="28650R1H"/>
    <s v="ZZ2"/>
    <s v="L31"/>
    <s v="2022/11/17"/>
    <s v="2025/10/23"/>
    <s v="2023/02/27"/>
    <n v="32"/>
    <n v="28823"/>
    <s v="            "/>
    <n v="100"/>
    <n v="18.18"/>
    <n v="18.18"/>
    <n v="52223"/>
    <n v="18868"/>
    <n v="0"/>
    <n v="71091"/>
    <s v="MQ4 20 HEV"/>
    <s v="2022-11"/>
    <s v="파손"/>
    <s v="냉각수 문제"/>
    <n v="30000"/>
    <n v="30000"/>
    <n v="36"/>
    <n v="33"/>
    <s v="C07"/>
    <s v="GERMANY"/>
    <x v="1"/>
    <x v="0"/>
    <s v="머플러"/>
    <m/>
    <x v="11"/>
    <s v="2025년"/>
    <s v="4분기"/>
  </r>
  <r>
    <s v="기아"/>
    <s v="E"/>
    <s v="2025121WW"/>
    <s v="K"/>
    <s v="R151"/>
    <n v="91"/>
    <s v="2025/12"/>
    <s v="E37VASA183KM2000288"/>
    <s v="KNCSHX76LS7818351"/>
    <s v="W"/>
    <s v="HD"/>
    <s v="287004E740"/>
    <s v="MUFFLER ASSY-MAIN"/>
    <s v="          "/>
    <s v="[C]Michaela - Customer complains of noise coming from underneath the vehicle. [R]Replaced exhaust all good VDN no: 250919001I [T]Exhaust cracked open due to welding causing a weak spot on the seam. VDN no: 250919001I [L]10= 10706km - 27.08.2025 [D]check and update RO no-simz02/12"/>
    <s v="28600R00"/>
    <s v="ZZ4"/>
    <s v="B33"/>
    <s v="2024/09/04"/>
    <s v="2025/09/19"/>
    <s v="2025/06/26"/>
    <n v="3"/>
    <n v="15677"/>
    <s v="            "/>
    <n v="100"/>
    <n v="18.18"/>
    <n v="18.18"/>
    <n v="31271"/>
    <n v="5262"/>
    <n v="0"/>
    <n v="36533"/>
    <s v="봉고3 1톤/1.4톤"/>
    <s v="2024-09"/>
    <s v="재질불량"/>
    <s v="누기"/>
    <n v="20000"/>
    <n v="20000"/>
    <n v="6"/>
    <n v="6"/>
    <s v="E37"/>
    <s v="SOUTH AFRICA"/>
    <x v="5"/>
    <x v="0"/>
    <s v="머플러"/>
    <m/>
    <x v="6"/>
    <s v="2025년"/>
    <s v="4분기"/>
  </r>
  <r>
    <s v="기아"/>
    <s v="E"/>
    <s v="2025121WW"/>
    <s v="K"/>
    <s v="R151"/>
    <n v="92"/>
    <s v="2025/12"/>
    <s v="E37VASA218KM2000565"/>
    <s v="KNCSHX76LS7821191"/>
    <s v="W"/>
    <s v="HD"/>
    <s v="287004E740"/>
    <s v="MUFFLER ASSY-MAIN"/>
    <s v="          "/>
    <s v="[C]Investigate exhaust blowing. Patricia Naidoo [R]Replace exhaust box and two gaskets. [T]Assessed and confirmed exhaust has a blowing noise found exhaust box at seam front has a leak. Cause due to premature wear in exhaust box. 251117003I [L]N.a [D]Attach picture of VIN.....18/12 attach ereport-simz18/12"/>
    <s v="28700R00"/>
    <s v="ZZ3"/>
    <s v="Q72"/>
    <s v="2024/09/26"/>
    <s v="2025/11/17"/>
    <s v="2025/07/30"/>
    <n v="4"/>
    <n v="8882"/>
    <s v="            "/>
    <n v="100"/>
    <n v="18.18"/>
    <n v="18.18"/>
    <n v="31750"/>
    <n v="4576"/>
    <n v="0"/>
    <n v="36326"/>
    <s v="봉고3 1톤/1.4톤"/>
    <s v="2024-09"/>
    <s v="단품불량"/>
    <s v="소음"/>
    <n v="10000"/>
    <n v="10000"/>
    <n v="6"/>
    <n v="6"/>
    <s v="E37"/>
    <s v="SOUTH AFRICA"/>
    <x v="5"/>
    <x v="0"/>
    <s v="머플러"/>
    <m/>
    <x v="6"/>
    <s v="2025년"/>
    <s v="4분기"/>
  </r>
  <r>
    <s v="기아"/>
    <s v="E"/>
    <s v="2025121WW"/>
    <s v="K"/>
    <s v="R151"/>
    <n v="93"/>
    <s v="2025/12"/>
    <s v="C21VA02378KM2002365"/>
    <s v="KNAB3518YPT004746"/>
    <s v="W"/>
    <s v="G6"/>
    <s v="28710G6250"/>
    <s v="MUFFLER ASSY-RR"/>
    <s v="          "/>
    <s v="[C]Customer concern , MOT fail on exhaust emissions [R]Replace rear exhaust box [T]Check to find 02 emission on Mot -photo taken , no dtc , check data list - lamda ok at engine , found small hole in rear exhaust box drawing on air &amp; affecting emissions"/>
    <s v="28700R00"/>
    <s v="ZZ3"/>
    <s v="H23"/>
    <s v="2022/07/29"/>
    <s v="2025/11/04"/>
    <s v="2022/11/14"/>
    <n v="36"/>
    <n v="9131"/>
    <s v="            "/>
    <n v="100"/>
    <n v="18.18"/>
    <n v="18.18"/>
    <n v="12898"/>
    <n v="14546"/>
    <n v="0"/>
    <n v="27444"/>
    <s v="JA 17"/>
    <s v="2022-07"/>
    <s v="단품불량"/>
    <s v="냄새과다"/>
    <n v="10000"/>
    <n v="10000"/>
    <n v="42"/>
    <n v="39"/>
    <s v="C21"/>
    <s v="UK"/>
    <x v="5"/>
    <x v="0"/>
    <s v="머플러"/>
    <m/>
    <x v="9"/>
    <s v="2025년"/>
    <s v="4분기"/>
  </r>
  <r>
    <s v="기아"/>
    <s v="E"/>
    <s v="2025121WW"/>
    <s v="K"/>
    <s v="R151"/>
    <n v="94"/>
    <s v="2025/12"/>
    <s v="E37VASA221KM2000443"/>
    <s v="KNAB3512MRT244613"/>
    <s v="W"/>
    <s v="G6"/>
    <s v="28710G6BA0"/>
    <s v="MUFFLER ASSY-RR"/>
    <s v="          "/>
    <s v="[C]Noku-Buzzing noise while driving [R]Replace rear exhaust silencer and gasket [T]Checked and found noise from exhaust, baffles defective causing noise vdn251105013I [L]321/05365 : 15 000KM SERVICE V1.0 KNAB3512MRT244613 15011 2025-12-11"/>
    <s v="28700R00"/>
    <s v="ZZ3"/>
    <s v="Q75"/>
    <s v="2024/03/28"/>
    <s v="2025/11/05"/>
    <s v="2024/08/31"/>
    <n v="15"/>
    <n v="12320"/>
    <s v="            "/>
    <n v="100"/>
    <n v="18.18"/>
    <n v="18.18"/>
    <n v="12725"/>
    <n v="4576"/>
    <n v="0"/>
    <n v="17301"/>
    <s v="JA 17"/>
    <s v="2024-03"/>
    <s v="단품불량"/>
    <s v="소음"/>
    <n v="20000"/>
    <n v="15000"/>
    <n v="18"/>
    <n v="18"/>
    <s v="E37"/>
    <s v="SOUTH AFRICA"/>
    <x v="5"/>
    <x v="0"/>
    <s v="머플러"/>
    <m/>
    <x v="9"/>
    <s v="2025년"/>
    <s v="4분기"/>
  </r>
  <r>
    <s v="기아"/>
    <s v="E"/>
    <s v="2025121WW"/>
    <s v="K"/>
    <s v="R151"/>
    <n v="95"/>
    <s v="2025/12"/>
    <s v="B18VA00001SP-3267  "/>
    <s v="KNCWJX72AR7683270"/>
    <s v="W"/>
    <s v="HD"/>
    <s v="287504E960"/>
    <s v="MUFFLER ASSY-TAIL"/>
    <s v="          "/>
    <s v="[C]The customer reported an abnormal noise coming from underneath the vehicle. [R]Replace damage parts. [T]During the inspection, the technician observed that both the left (LH) and right (RH) auxiliary brake cylinder drums were leaking brake fluid. An oil leak was also observed in the steering hydraulic fluid reservoir through its cap. The abnormal noise was found to be coming from a fractured exhaust s"/>
    <s v="40700R00"/>
    <s v="ZZ2"/>
    <s v="B31"/>
    <s v="2023/02/06"/>
    <s v="2025/12/09"/>
    <s v="2023/05/31"/>
    <n v="31"/>
    <n v="40360"/>
    <s v="            "/>
    <n v="100"/>
    <n v="18.18"/>
    <n v="18.18"/>
    <n v="12961"/>
    <n v="2713"/>
    <n v="0"/>
    <n v="15674"/>
    <s v="봉고3 1톤/1.4톤"/>
    <s v="2023-02"/>
    <s v="파손"/>
    <s v="조립 불량"/>
    <n v="50000"/>
    <n v="45000"/>
    <n v="36"/>
    <n v="33"/>
    <s v="B18"/>
    <s v="HONDURAS"/>
    <x v="6"/>
    <x v="0"/>
    <s v="머플러"/>
    <m/>
    <x v="6"/>
    <s v="2025년"/>
    <s v="4분기"/>
  </r>
  <r>
    <s v="기아"/>
    <s v="E"/>
    <s v="2025121WW"/>
    <s v="K"/>
    <s v="R151"/>
    <n v="96"/>
    <s v="2025/12"/>
    <s v="B15VA000052512031  "/>
    <s v="KNCWJX72AS7798213"/>
    <s v="W"/>
    <s v="HD"/>
    <s v="287504E960"/>
    <s v="MUFFLER ASSY-TAIL"/>
    <s v="          "/>
    <s v="[C]Cliente reporta ruido en escape al encender el motor [R]Se cambio de tubo de escape. [T]Se realizo la revision de vehiculo y se encontro escape en mal estado"/>
    <s v="40700R00"/>
    <s v="ZZ3"/>
    <s v="Q55"/>
    <s v="2024/05/27"/>
    <s v="2025/11/28"/>
    <s v="2024/07/18"/>
    <n v="17"/>
    <n v="27600"/>
    <s v="            "/>
    <n v="100"/>
    <n v="18.18"/>
    <n v="18.18"/>
    <n v="0"/>
    <n v="2186"/>
    <n v="56271"/>
    <n v="58457"/>
    <s v="봉고3 1톤/1.4톤"/>
    <s v="2024-05"/>
    <s v="단품불량"/>
    <s v="소음"/>
    <n v="30000"/>
    <n v="30000"/>
    <n v="18"/>
    <n v="18"/>
    <s v="B15"/>
    <s v="GUATEMALA"/>
    <x v="6"/>
    <x v="0"/>
    <s v="머플러"/>
    <m/>
    <x v="6"/>
    <s v="2025년"/>
    <s v="4분기"/>
  </r>
  <r>
    <s v="기아"/>
    <s v="E"/>
    <s v="2025121WA"/>
    <s v="K"/>
    <s v="R151"/>
    <n v="1"/>
    <s v="2025/11"/>
    <s v="A02VE84285251000133"/>
    <s v="KNAF4417VR5200444"/>
    <s v="W"/>
    <s v="DJ"/>
    <s v="28710M6930"/>
    <s v="MUFFLER ASSY-RR"/>
    <s v="          "/>
    <s v="[C]Rattling noise coming from exhaust back of car [R]Removed and replaced muffler tested all ok [T]premature failure of baffles internally from material fatigue"/>
    <s v="28700R00"/>
    <s v="ZZ2"/>
    <s v="Q55"/>
    <s v="2024/06/01"/>
    <s v="2025/07/10"/>
    <s v="2024/10/25"/>
    <n v="9"/>
    <n v="2820"/>
    <s v="            "/>
    <n v="100"/>
    <n v="18.18"/>
    <n v="18.18"/>
    <n v="63994"/>
    <n v="7171"/>
    <n v="0"/>
    <n v="71165"/>
    <s v="BD 18"/>
    <s v="2024-06"/>
    <s v="파손"/>
    <s v="소음"/>
    <n v="10000"/>
    <n v="5000"/>
    <n v="12"/>
    <n v="12"/>
    <s v="A02"/>
    <s v="AUSTRALIA"/>
    <x v="5"/>
    <x v="0"/>
    <s v="머플러"/>
    <m/>
    <x v="10"/>
    <s v="2025년"/>
    <s v="4분기"/>
  </r>
  <r>
    <s v="기아"/>
    <s v="E"/>
    <s v="2025121WA"/>
    <s v="K"/>
    <s v="R151"/>
    <n v="2"/>
    <s v="2025/09"/>
    <s v="B28VAVA0662509575-N"/>
    <s v="KNDNB4H32R6380085"/>
    <s v="W"/>
    <s v="HS"/>
    <s v="28751A9100"/>
    <s v="GASKET"/>
    <s v="          "/>
    <e v="#N/A"/>
    <s v="21102RZZ"/>
    <s v="ZZ3"/>
    <s v="B25"/>
    <s v="2023/08/28"/>
    <s v="2025/05/01"/>
    <s v="2023/12/21"/>
    <n v="17"/>
    <n v="34483"/>
    <s v="            "/>
    <n v="100"/>
    <n v="18.18"/>
    <n v="18.18"/>
    <n v="0"/>
    <n v="0"/>
    <n v="124834"/>
    <n v="124834"/>
    <s v="KA4 (YP 카니발 후속) 20"/>
    <s v="2023-08"/>
    <s v="단품불량"/>
    <s v="누기"/>
    <n v="40000"/>
    <n v="35000"/>
    <n v="18"/>
    <n v="18"/>
    <s v="B28"/>
    <s v="U.S.A"/>
    <x v="7"/>
    <x v="0"/>
    <s v="머플러"/>
    <m/>
    <x v="3"/>
    <s v="2025년"/>
    <s v="4분기"/>
  </r>
  <r>
    <s v="기아"/>
    <s v="E"/>
    <s v="2025121WA"/>
    <s v="K"/>
    <s v="R151"/>
    <n v="3"/>
    <s v="2025/09"/>
    <s v="B28VAVA0662509575-Z"/>
    <s v="KNDNB4H32R6380085"/>
    <s v="W"/>
    <s v="HS"/>
    <s v="28751A9100"/>
    <s v="GASKET"/>
    <s v="          "/>
    <e v="#N/A"/>
    <s v="21102R3G"/>
    <s v="ZZ3"/>
    <s v="B25"/>
    <s v="2023/08/28"/>
    <s v="2025/05/01"/>
    <s v="2023/12/21"/>
    <n v="17"/>
    <n v="34483"/>
    <s v="            "/>
    <n v="100"/>
    <n v="18.18"/>
    <n v="18.18"/>
    <n v="1040408"/>
    <n v="455675"/>
    <n v="0"/>
    <n v="1496083"/>
    <s v="KA4 (YP 카니발 후속) 20"/>
    <s v="2023-08"/>
    <s v="단품불량"/>
    <s v="누기"/>
    <n v="40000"/>
    <n v="35000"/>
    <n v="18"/>
    <n v="18"/>
    <s v="B28"/>
    <s v="U.S.A"/>
    <x v="7"/>
    <x v="0"/>
    <s v="머플러"/>
    <m/>
    <x v="3"/>
    <s v="2025년"/>
    <s v="4분기"/>
  </r>
  <r>
    <s v="HMB"/>
    <s v="E"/>
    <s v="202512CWW"/>
    <s v="H"/>
    <s v="R151"/>
    <n v="1"/>
    <s v="2025/12"/>
    <s v="B27AB80014250910005"/>
    <s v="9BHCP51AAPP318194"/>
    <s v="W"/>
    <s v="GH"/>
    <s v="2851004510"/>
    <s v="MANIFOLD CATALYTIC ASSY-EXHAUST"/>
    <s v="          "/>
    <e v="#N/A"/>
    <s v="28511R5T"/>
    <s v="ZZ3"/>
    <s v="I11"/>
    <s v="2022/04/04"/>
    <s v="2025/09/08"/>
    <s v="2022/05/31"/>
    <n v="40"/>
    <n v="29448"/>
    <s v="            "/>
    <n v="100"/>
    <n v="19.8"/>
    <n v="19.8"/>
    <n v="139093"/>
    <n v="12393"/>
    <n v="0"/>
    <n v="151486"/>
    <s v="BR2 19"/>
    <s v="2022-04"/>
    <s v="단품불량"/>
    <s v="작동불량"/>
    <n v="30000"/>
    <n v="30000"/>
    <n v="42"/>
    <n v="42"/>
    <s v="B27"/>
    <s v="URUGUAY"/>
    <x v="0"/>
    <x v="0"/>
    <s v="컨버터"/>
    <s v="카파(HMB)"/>
    <x v="12"/>
    <s v="2025년"/>
    <s v="4분기"/>
  </r>
  <r>
    <s v="WIA"/>
    <s v="D"/>
    <s v="2025121WW"/>
    <s v="K"/>
    <s v="R151"/>
    <n v="11"/>
    <s v="2025/12"/>
    <s v="KX00302025W00097900"/>
    <s v="KNACF811BPT353126"/>
    <s v="W"/>
    <s v="A3"/>
    <s v="2853004GJ1"/>
    <s v="CONVERTER ASSY-W/UP CATALYTIC"/>
    <m/>
    <m/>
    <s v="39210RQ0"/>
    <s v="ALL"/>
    <s v="W11"/>
    <s v="20230503"/>
    <s v="20251201"/>
    <s v="20230509"/>
    <n v="31"/>
    <n v="41868"/>
    <m/>
    <n v="100"/>
    <n v="25.44"/>
    <n v="25.44"/>
    <n v="8205"/>
    <n v="11576"/>
    <n v="0"/>
    <n v="19781"/>
    <s v="레이 11"/>
    <s v="2023-05"/>
    <e v="#N/A"/>
    <s v="경고등 점등"/>
    <n v="50000"/>
    <n v="45000"/>
    <n v="36"/>
    <n v="33"/>
    <s v="KX0"/>
    <s v="한국"/>
    <x v="0"/>
    <x v="0"/>
    <s v="컨버터"/>
    <s v="카파(WIA)"/>
    <x v="13"/>
    <s v="2025년"/>
    <s v="4분기"/>
  </r>
  <r>
    <s v="WIA"/>
    <s v="D"/>
    <s v="2025121WW"/>
    <s v="K"/>
    <s v="R151"/>
    <n v="12"/>
    <s v="2025/12"/>
    <s v="KX00302025W00098000"/>
    <s v="KNACF811BPT353126"/>
    <s v="W"/>
    <s v="A3"/>
    <s v="2853004GJ1"/>
    <s v="CONVERTER ASSY-W/UP CATALYTIC"/>
    <m/>
    <m/>
    <s v="28511RQ0"/>
    <s v="ALL"/>
    <s v="W11"/>
    <s v="20230503"/>
    <s v="20251212"/>
    <s v="20230509"/>
    <n v="32"/>
    <n v="41942"/>
    <m/>
    <n v="100"/>
    <n v="25.44"/>
    <n v="25.44"/>
    <n v="147234"/>
    <n v="18520"/>
    <n v="0"/>
    <n v="165754"/>
    <s v="레이 11"/>
    <s v="2023-05"/>
    <e v="#N/A"/>
    <s v="경고등 점등"/>
    <n v="50000"/>
    <n v="45000"/>
    <n v="36"/>
    <n v="33"/>
    <s v="KX0"/>
    <s v="한국"/>
    <x v="0"/>
    <x v="0"/>
    <s v="컨버터"/>
    <s v="카파(WIA)"/>
    <x v="13"/>
    <s v="2025년"/>
    <s v="4분기"/>
  </r>
  <r>
    <s v="WIA"/>
    <s v="D"/>
    <s v="2025121WW"/>
    <s v="K"/>
    <s v="R151"/>
    <n v="13"/>
    <s v="2025/12"/>
    <s v="MK06202025W00304800"/>
    <s v="KNACH811BPT366640"/>
    <s v="W"/>
    <s v="A3"/>
    <s v="2853004GJ1"/>
    <s v="CONVERTER ASSY-W/UP CATALYTIC"/>
    <m/>
    <m/>
    <s v="28530RQ0"/>
    <s v="ALL"/>
    <s v="W11"/>
    <s v="20230808"/>
    <s v="20251211"/>
    <s v="20230809"/>
    <n v="29"/>
    <n v="42880"/>
    <m/>
    <n v="100"/>
    <n v="25.44"/>
    <n v="25.44"/>
    <n v="118570"/>
    <n v="34802"/>
    <n v="0"/>
    <n v="153372"/>
    <s v="레이 11"/>
    <s v="2023-08"/>
    <e v="#N/A"/>
    <s v="경고등 점등"/>
    <n v="50000"/>
    <n v="45000"/>
    <n v="30"/>
    <n v="30"/>
    <s v="MK0"/>
    <s v="한국"/>
    <x v="0"/>
    <x v="0"/>
    <s v="컨버터"/>
    <s v="카파(WIA)"/>
    <x v="13"/>
    <s v="2025년"/>
    <s v="4분기"/>
  </r>
  <r>
    <s v="WIA"/>
    <s v="D"/>
    <s v="2025121WW"/>
    <s v="K"/>
    <s v="R151"/>
    <n v="14"/>
    <s v="2025/12"/>
    <s v="GK16502025W00123500"/>
    <s v="KNACG811BPT376097"/>
    <s v="W"/>
    <s v="A3"/>
    <s v="2853004GJ1"/>
    <s v="CONVERTER ASSY-W/UP CATALYTIC"/>
    <m/>
    <m/>
    <s v="28320RQ0"/>
    <s v="ALL"/>
    <s v="I11"/>
    <s v="20231024"/>
    <s v="20251203"/>
    <s v="20231031"/>
    <n v="26"/>
    <n v="56508"/>
    <m/>
    <n v="100"/>
    <n v="25.44"/>
    <n v="25.44"/>
    <n v="176210"/>
    <n v="34306"/>
    <n v="0"/>
    <n v="210516"/>
    <s v="레이 11"/>
    <s v="2023-10"/>
    <e v="#N/A"/>
    <s v="작동불량"/>
    <n v="60000"/>
    <n v="60000"/>
    <n v="30"/>
    <n v="27"/>
    <s v="GK1"/>
    <s v="한국"/>
    <x v="0"/>
    <x v="0"/>
    <s v="컨버터"/>
    <s v="카파(WIA)"/>
    <x v="13"/>
    <s v="2025년"/>
    <s v="4분기"/>
  </r>
  <r>
    <s v="WIA"/>
    <s v="E"/>
    <s v="2025121WW"/>
    <s v="K"/>
    <s v="R151"/>
    <n v="52"/>
    <s v="2025/12"/>
    <s v="A02VE84214251000256"/>
    <s v="KNAB2512MST380101"/>
    <s v="W"/>
    <s v="G6"/>
    <s v="2851003GA1"/>
    <s v="MANIFOLD CATALYTIC ASSY-EXH"/>
    <m/>
    <m/>
    <s v="28530R1K"/>
    <s v="ZZ3"/>
    <s v="DD1"/>
    <s v="20250408"/>
    <s v="20251223"/>
    <s v="20250530"/>
    <n v="7"/>
    <n v="2622"/>
    <m/>
    <n v="100"/>
    <n v="18.18"/>
    <n v="18.18"/>
    <n v="166674"/>
    <n v="47668"/>
    <n v="0"/>
    <n v="214342"/>
    <s v="JA 17"/>
    <s v="2025-04"/>
    <s v="단품불량"/>
    <s v="엔진 출력부족"/>
    <n v="10000"/>
    <n v="5000"/>
    <n v="12"/>
    <n v="9"/>
    <s v="A02"/>
    <s v="AUSTRALIA"/>
    <x v="0"/>
    <x v="0"/>
    <s v="컨버터"/>
    <s v="카파(WIA)"/>
    <x v="13"/>
    <s v="2025년"/>
    <s v="4분기"/>
  </r>
  <r>
    <s v="WIA"/>
    <s v="E"/>
    <s v="2025121WW"/>
    <s v="K"/>
    <s v="R151"/>
    <n v="53"/>
    <s v="2025/12"/>
    <s v="B08VACL0183878  000"/>
    <s v="KNAB2512ATT372399"/>
    <s v="W"/>
    <s v="G6"/>
    <s v="2851003GB1"/>
    <s v="MANIFOLD CATALYTIC ASSY-EXH"/>
    <m/>
    <m/>
    <s v="28511R1K"/>
    <s v="ZZ3"/>
    <s v="Q72"/>
    <s v="20250320"/>
    <s v="20251028"/>
    <s v="20250909"/>
    <n v="2"/>
    <n v="16"/>
    <m/>
    <n v="100"/>
    <n v="18.18"/>
    <n v="18.18"/>
    <n v="87617"/>
    <n v="6104"/>
    <n v="0"/>
    <n v="93721"/>
    <s v="JA 17"/>
    <s v="2025-03"/>
    <s v="단품불량"/>
    <s v="소음"/>
    <n v="10000"/>
    <n v="5000"/>
    <n v="6"/>
    <n v="3"/>
    <s v="B08"/>
    <s v="COLOMBIA"/>
    <x v="0"/>
    <x v="0"/>
    <s v="컨버터"/>
    <s v="카파(WIA)"/>
    <x v="13"/>
    <s v="2025년"/>
    <s v="4분기"/>
  </r>
  <r>
    <s v="WIA"/>
    <s v="E"/>
    <s v="2025121WW"/>
    <s v="K"/>
    <s v="R151"/>
    <n v="54"/>
    <s v="2025/12"/>
    <s v="B12VBKMOTS000038345"/>
    <s v="KNAB2512AMT778074"/>
    <s v="W"/>
    <s v="G6"/>
    <s v="2851003GC1"/>
    <s v="MANIFOLD CATALYTIC ASSY-EXH"/>
    <m/>
    <m/>
    <s v="28511R1K"/>
    <s v="ZZ3"/>
    <s v="Q71"/>
    <s v="20210105"/>
    <s v="20251024"/>
    <s v="20210911"/>
    <n v="50"/>
    <n v="86489"/>
    <m/>
    <n v="100"/>
    <n v="18.18"/>
    <n v="18.18"/>
    <n v="48767"/>
    <n v="5663"/>
    <n v="0"/>
    <n v="54430"/>
    <s v="JA 17"/>
    <s v="2021-01"/>
    <s v="단품불량"/>
    <s v="소음"/>
    <n v="90000"/>
    <n v="90000"/>
    <n v="54"/>
    <n v="51"/>
    <s v="B12"/>
    <s v="ECUADOR"/>
    <x v="0"/>
    <x v="0"/>
    <s v="컨버터"/>
    <s v="카파(WIA)"/>
    <x v="13"/>
    <s v="2025년"/>
    <s v="4분기"/>
  </r>
  <r>
    <s v="WIA"/>
    <s v="E"/>
    <s v="2025121WW"/>
    <s v="K"/>
    <s v="R151"/>
    <n v="55"/>
    <s v="2025/12"/>
    <s v="C21VA2095 KM2001951"/>
    <s v="KNAB3511LKT419420"/>
    <s v="W"/>
    <s v="G6"/>
    <s v="2853004GG2"/>
    <s v="CONVERTER ASSY-W/UP CATALYTIC"/>
    <m/>
    <m/>
    <s v="28530R1K"/>
    <s v="ZZ4"/>
    <s v="W17"/>
    <s v="20181117"/>
    <s v="20251208"/>
    <s v="20190430"/>
    <n v="80"/>
    <n v="49950"/>
    <m/>
    <n v="100"/>
    <n v="18.18"/>
    <n v="18.18"/>
    <n v="160790"/>
    <n v="46878"/>
    <n v="0"/>
    <n v="207668"/>
    <s v="JA 17"/>
    <s v="2018-11"/>
    <s v="재질불량"/>
    <s v="경고등 점등"/>
    <n v="50000"/>
    <n v="50000"/>
    <s v="≥60"/>
    <s v="≥60"/>
    <s v="C21"/>
    <s v="UK"/>
    <x v="0"/>
    <x v="0"/>
    <s v="컨버터"/>
    <s v="카파(WIA)"/>
    <x v="13"/>
    <s v="2025년"/>
    <s v="4분기"/>
  </r>
  <r>
    <s v="WIA"/>
    <s v="E"/>
    <s v="2025121WA"/>
    <s v="K"/>
    <s v="R151"/>
    <n v="56"/>
    <s v="2025/12"/>
    <s v="C17VC00622KM2000826"/>
    <s v="KNAB2518AMT740431"/>
    <s v="W"/>
    <s v="G6"/>
    <s v="2853007031"/>
    <s v="CONVERTER ASSY-W/UP CATALYTIC"/>
    <m/>
    <m/>
    <s v="28950R1K"/>
    <s v="ZZ3"/>
    <s v="W17"/>
    <s v="20201013"/>
    <s v="20251105"/>
    <s v="20210415"/>
    <n v="55"/>
    <n v="65965"/>
    <m/>
    <n v="100"/>
    <n v="18.18"/>
    <n v="18.18"/>
    <n v="60411"/>
    <n v="16862"/>
    <n v="0"/>
    <n v="77273"/>
    <s v="JA 17"/>
    <s v="2020-10"/>
    <s v="단품불량"/>
    <s v="경고등 점등"/>
    <n v="70000"/>
    <n v="70000"/>
    <n v="60"/>
    <n v="57"/>
    <s v="C17"/>
    <s v="SPAIN"/>
    <x v="0"/>
    <x v="0"/>
    <s v="컨버터"/>
    <s v="카파(WIA)"/>
    <x v="13"/>
    <s v="2025년"/>
    <s v="4분기"/>
  </r>
  <r>
    <s v="WIA"/>
    <s v="E"/>
    <s v="2025121WW"/>
    <s v="K"/>
    <s v="R151"/>
    <n v="56"/>
    <s v="2025/12"/>
    <s v="C04VA26203734   000"/>
    <s v="KNAB2511AKT441009"/>
    <s v="W"/>
    <s v="G6"/>
    <s v="2853004GG2"/>
    <s v="CONVERTER ASSY-W/UP CATALYTIC"/>
    <m/>
    <m/>
    <s v="28530R1K"/>
    <s v="ZZ5"/>
    <s v="W11"/>
    <s v="20181221"/>
    <s v="20251006"/>
    <s v="20190805"/>
    <n v="75"/>
    <n v="105115"/>
    <m/>
    <n v="100"/>
    <n v="18.18"/>
    <n v="18.18"/>
    <n v="134567"/>
    <n v="22852"/>
    <n v="0"/>
    <n v="157419"/>
    <s v="JA 17"/>
    <s v="2018-12"/>
    <s v="상품성 불만"/>
    <s v="경고등 점등"/>
    <s v="≥100000"/>
    <s v="≥100000"/>
    <s v="≥60"/>
    <s v="≥60"/>
    <s v="C04"/>
    <s v="DENMARK"/>
    <x v="0"/>
    <x v="0"/>
    <s v="컨버터"/>
    <s v="카파(WIA)"/>
    <x v="13"/>
    <s v="2025년"/>
    <s v="4분기"/>
  </r>
  <r>
    <s v="WIA"/>
    <s v="E"/>
    <s v="2025121WA"/>
    <s v="K"/>
    <s v="R151"/>
    <n v="57"/>
    <s v="2025/12"/>
    <s v="C11VC09213KM2000851"/>
    <s v="KNAB2518JPT210604"/>
    <s v="W"/>
    <s v="G6"/>
    <s v="2853007031"/>
    <s v="CONVERTER ASSY-W/UP CATALYTIC"/>
    <m/>
    <m/>
    <s v="28530R1K"/>
    <s v="ZZ3"/>
    <s v="W17"/>
    <s v="20231219"/>
    <s v="20250314"/>
    <s v="20240213"/>
    <n v="14"/>
    <n v="14147"/>
    <m/>
    <n v="100"/>
    <n v="18.18"/>
    <n v="18.18"/>
    <n v="64460"/>
    <n v="13973"/>
    <n v="0"/>
    <n v="78433"/>
    <s v="JA 17"/>
    <s v="2023-12"/>
    <s v="단품불량"/>
    <s v="경고등 점등"/>
    <n v="20000"/>
    <n v="15000"/>
    <n v="18"/>
    <n v="15"/>
    <s v="C11"/>
    <s v="ITALY"/>
    <x v="0"/>
    <x v="0"/>
    <s v="컨버터"/>
    <s v="카파(WIA)"/>
    <x v="13"/>
    <s v="2025년"/>
    <s v="4분기"/>
  </r>
  <r>
    <s v="WIA"/>
    <s v="E"/>
    <s v="2025121WW"/>
    <s v="K"/>
    <s v="R151"/>
    <n v="57"/>
    <s v="2025/12"/>
    <s v="C16VCPG011KM2000461"/>
    <s v="KNAB3511AKT475753"/>
    <s v="W"/>
    <s v="G6"/>
    <s v="2853004GG2"/>
    <s v="CONVERTER ASSY-W/UP CATALYTIC"/>
    <m/>
    <m/>
    <s v="28530R1K"/>
    <s v="ZZ3"/>
    <s v="W17"/>
    <s v="20190221"/>
    <s v="20250919"/>
    <s v="20190916"/>
    <n v="73"/>
    <n v="77357"/>
    <m/>
    <n v="100"/>
    <n v="18.18"/>
    <n v="18.18"/>
    <n v="150301"/>
    <n v="7672"/>
    <n v="0"/>
    <n v="157973"/>
    <s v="JA 17"/>
    <s v="2019-02"/>
    <s v="단품불량"/>
    <s v="경고등 점등"/>
    <n v="80000"/>
    <n v="80000"/>
    <s v="≥60"/>
    <s v="≥60"/>
    <s v="C16"/>
    <s v="PORTUGAL"/>
    <x v="0"/>
    <x v="0"/>
    <s v="컨버터"/>
    <s v="카파(WIA)"/>
    <x v="13"/>
    <s v="2025년"/>
    <s v="4분기"/>
  </r>
  <r>
    <s v="WIA"/>
    <s v="E"/>
    <s v="2025121WA"/>
    <s v="K"/>
    <s v="R151"/>
    <n v="58"/>
    <s v="2025/12"/>
    <s v="C11VC08370KM2000906"/>
    <s v="KNAB2518AST399156"/>
    <s v="W"/>
    <s v="G6"/>
    <s v="2853007031"/>
    <s v="CONVERTER ASSY-W/UP CATALYTIC"/>
    <m/>
    <m/>
    <s v="28530R1K"/>
    <s v="ZZ3"/>
    <s v="W17"/>
    <s v="20250527"/>
    <s v="20251020"/>
    <s v="20250924"/>
    <n v="1"/>
    <n v="910"/>
    <m/>
    <n v="100"/>
    <n v="18.18"/>
    <n v="18.18"/>
    <n v="96905"/>
    <n v="15453"/>
    <n v="0"/>
    <n v="112358"/>
    <s v="JA 17"/>
    <s v="2025-05"/>
    <s v="단품불량"/>
    <s v="경고등 점등"/>
    <n v="10000"/>
    <n v="5000"/>
    <n v="6"/>
    <n v="3"/>
    <s v="C11"/>
    <s v="ITALY"/>
    <x v="0"/>
    <x v="0"/>
    <s v="컨버터"/>
    <s v="카파(WIA)"/>
    <x v="13"/>
    <s v="2025년"/>
    <s v="4분기"/>
  </r>
  <r>
    <s v="WIA"/>
    <s v="E"/>
    <s v="2025121WA"/>
    <s v="K"/>
    <s v="R151"/>
    <n v="59"/>
    <s v="2025/12"/>
    <s v="C21VA2031 KM2001476"/>
    <s v="KNADB518LN6744434"/>
    <s v="W"/>
    <s v="H8"/>
    <s v="2853008220"/>
    <s v="CONVERTER ASSY-W/UP CATALYTIC"/>
    <m/>
    <m/>
    <s v="28950R4K"/>
    <s v="ZZ3"/>
    <s v="W17"/>
    <s v="20220831"/>
    <s v="20251010"/>
    <s v="20230131"/>
    <n v="33"/>
    <n v="32939"/>
    <m/>
    <n v="100"/>
    <n v="18.18"/>
    <n v="18.18"/>
    <n v="234952"/>
    <n v="92353"/>
    <n v="0"/>
    <n v="327305"/>
    <s v="YB 17"/>
    <s v="2022-08"/>
    <s v="단품불량"/>
    <s v="경고등 점등"/>
    <n v="40000"/>
    <n v="35000"/>
    <n v="36"/>
    <n v="36"/>
    <s v="C21"/>
    <s v="UK"/>
    <x v="0"/>
    <x v="0"/>
    <s v="컨버터"/>
    <s v="카파(WIA)"/>
    <x v="13"/>
    <s v="2025년"/>
    <s v="4분기"/>
  </r>
  <r>
    <s v="WIA"/>
    <s v="E"/>
    <s v="2025121WA"/>
    <s v="K"/>
    <s v="R151"/>
    <n v="60"/>
    <s v="2025/12"/>
    <s v="D22VA00000CA286 000"/>
    <s v="KNADA818LRT949290"/>
    <s v="W"/>
    <s v="H8"/>
    <s v="2853008220"/>
    <s v="CONVERTER ASSY-W/UP CATALYTIC"/>
    <m/>
    <m/>
    <s v="28950R4K"/>
    <s v="ZZ3"/>
    <s v="W17"/>
    <s v="20240110"/>
    <s v="20251021"/>
    <s v="20240605"/>
    <n v="17"/>
    <n v="32100"/>
    <m/>
    <n v="100"/>
    <n v="18.18"/>
    <n v="18.18"/>
    <n v="261403"/>
    <n v="26380"/>
    <n v="0"/>
    <n v="287783"/>
    <s v="YB 17"/>
    <s v="2024-01"/>
    <s v="단품불량"/>
    <s v="경고등 점등"/>
    <n v="40000"/>
    <n v="35000"/>
    <n v="18"/>
    <n v="18"/>
    <s v="D22"/>
    <s v="CYPRUS"/>
    <x v="0"/>
    <x v="0"/>
    <s v="컨버터"/>
    <s v="카파(WIA)"/>
    <x v="13"/>
    <s v="2025년"/>
    <s v="4분기"/>
  </r>
  <r>
    <s v="WIA"/>
    <s v="E"/>
    <s v="2025121WA"/>
    <s v="K"/>
    <s v="R151"/>
    <n v="61"/>
    <s v="2025/12"/>
    <s v="C16VCP0884KM2001276"/>
    <s v="KNADA818ART957452"/>
    <s v="W"/>
    <s v="H8"/>
    <s v="2853008220"/>
    <s v="CONVERTER ASSY-W/UP CATALYTIC"/>
    <m/>
    <m/>
    <s v="28950R4K"/>
    <s v="ZZ3"/>
    <s v="W17"/>
    <s v="20240217"/>
    <s v="20250915"/>
    <s v="20240418"/>
    <n v="17"/>
    <n v="23516"/>
    <m/>
    <n v="100"/>
    <n v="18.18"/>
    <n v="18.18"/>
    <n v="215144"/>
    <n v="25482"/>
    <n v="0"/>
    <n v="240626"/>
    <s v="YB 17"/>
    <s v="2024-02"/>
    <s v="단품불량"/>
    <s v="경고등 점등"/>
    <n v="30000"/>
    <n v="25000"/>
    <n v="18"/>
    <n v="18"/>
    <s v="C16"/>
    <s v="PORTUGAL"/>
    <x v="0"/>
    <x v="0"/>
    <s v="컨버터"/>
    <s v="카파(WIA)"/>
    <x v="13"/>
    <s v="2025년"/>
    <s v="4분기"/>
  </r>
  <r>
    <s v="WIA"/>
    <s v="E"/>
    <s v="2025121WA"/>
    <s v="K"/>
    <s v="R151"/>
    <n v="62"/>
    <s v="2025/12"/>
    <s v="C16VCP0884KM2001274"/>
    <s v="KNADA818ART958345"/>
    <s v="W"/>
    <s v="H8"/>
    <s v="2853008220"/>
    <s v="CONVERTER ASSY-W/UP CATALYTIC"/>
    <m/>
    <m/>
    <s v="28950R4K"/>
    <s v="ZZ3"/>
    <s v="W17"/>
    <s v="20240221"/>
    <s v="20251006"/>
    <s v="20240418"/>
    <n v="18"/>
    <n v="25400"/>
    <m/>
    <n v="100"/>
    <n v="18.18"/>
    <n v="18.18"/>
    <n v="214745"/>
    <n v="42291"/>
    <n v="0"/>
    <n v="257036"/>
    <s v="YB 17"/>
    <s v="2024-02"/>
    <s v="단품불량"/>
    <s v="경고등 점등"/>
    <n v="30000"/>
    <n v="30000"/>
    <n v="24"/>
    <n v="21"/>
    <s v="C16"/>
    <s v="PORTUGAL"/>
    <x v="0"/>
    <x v="0"/>
    <s v="컨버터"/>
    <s v="카파(WIA)"/>
    <x v="13"/>
    <s v="2025년"/>
    <s v="4분기"/>
  </r>
  <r>
    <s v="WIA"/>
    <s v="E"/>
    <s v="2025121WA"/>
    <s v="K"/>
    <s v="R151"/>
    <n v="63"/>
    <s v="2025/12"/>
    <s v="D19VA00003D365853"/>
    <s v="KNADC518AM6548626"/>
    <s v="W"/>
    <s v="H8"/>
    <s v="2853008250"/>
    <s v="CONVERTER ASSY-W/UP CATALYTIC"/>
    <m/>
    <m/>
    <s v="28530R1K"/>
    <s v="ZZ3"/>
    <s v="W11"/>
    <s v="20210304"/>
    <s v="20251101"/>
    <s v="20210604"/>
    <n v="53"/>
    <n v="64146"/>
    <m/>
    <n v="100"/>
    <n v="18.18"/>
    <n v="18.18"/>
    <n v="39660"/>
    <n v="3462"/>
    <n v="0"/>
    <n v="43122"/>
    <s v="YB 17"/>
    <s v="2021-03"/>
    <s v="단품불량"/>
    <s v="경고등 점등"/>
    <n v="70000"/>
    <n v="65000"/>
    <n v="54"/>
    <n v="54"/>
    <s v="D19"/>
    <s v="TUNISIA"/>
    <x v="0"/>
    <x v="0"/>
    <s v="컨버터"/>
    <s v="카파(WIA)"/>
    <x v="13"/>
    <s v="2025년"/>
    <s v="4분기"/>
  </r>
  <r>
    <s v="WIA"/>
    <s v="E"/>
    <s v="2025121WA"/>
    <s v="K"/>
    <s v="R151"/>
    <n v="64"/>
    <s v="2025/12"/>
    <s v="D19VA00020D203399"/>
    <s v="KNADC518AN6631672"/>
    <s v="W"/>
    <s v="H8"/>
    <s v="2853008250"/>
    <s v="CONVERTER ASSY-W/UP CATALYTIC"/>
    <m/>
    <m/>
    <s v="28530R1K"/>
    <s v="ZZ3"/>
    <s v="W11"/>
    <s v="20211109"/>
    <s v="20250619"/>
    <s v="20220110"/>
    <n v="42"/>
    <n v="99626"/>
    <m/>
    <n v="100"/>
    <n v="18.18"/>
    <n v="18.18"/>
    <n v="39660"/>
    <n v="3462"/>
    <n v="0"/>
    <n v="43122"/>
    <s v="YB 17"/>
    <s v="2021-11"/>
    <s v="단품불량"/>
    <s v="경고등 점등"/>
    <n v="100000"/>
    <n v="100000"/>
    <n v="48"/>
    <n v="45"/>
    <s v="D19"/>
    <s v="TUNISIA"/>
    <x v="0"/>
    <x v="0"/>
    <s v="컨버터"/>
    <s v="카파(WIA)"/>
    <x v="13"/>
    <s v="2025년"/>
    <s v="4분기"/>
  </r>
  <r>
    <s v="WIA"/>
    <s v="E"/>
    <s v="2025121WA"/>
    <s v="K"/>
    <s v="R151"/>
    <n v="65"/>
    <s v="2025/12"/>
    <s v="D19VA00008D865298"/>
    <s v="KNADC518AN6749866"/>
    <s v="W"/>
    <s v="H8"/>
    <s v="2853008250"/>
    <s v="CONVERTER ASSY-W/UP CATALYTIC"/>
    <m/>
    <m/>
    <s v="28530R1K"/>
    <s v="ZZ3"/>
    <s v="W17"/>
    <s v="20220919"/>
    <s v="20251029"/>
    <s v="20221109"/>
    <n v="36"/>
    <n v="55292"/>
    <m/>
    <n v="100"/>
    <n v="18.18"/>
    <n v="18.18"/>
    <n v="39660"/>
    <n v="3462"/>
    <n v="0"/>
    <n v="43122"/>
    <s v="YB 17"/>
    <s v="2022-09"/>
    <s v="단품불량"/>
    <s v="경고등 점등"/>
    <n v="60000"/>
    <n v="60000"/>
    <n v="42"/>
    <n v="39"/>
    <s v="D19"/>
    <s v="TUNISIA"/>
    <x v="0"/>
    <x v="0"/>
    <s v="컨버터"/>
    <s v="카파(WIA)"/>
    <x v="13"/>
    <s v="2025년"/>
    <s v="4분기"/>
  </r>
  <r>
    <s v="WIA"/>
    <s v="E"/>
    <s v="2025121WW"/>
    <s v="K"/>
    <s v="R151"/>
    <n v="284"/>
    <s v="2025/12"/>
    <s v="C21VA2067 KM2003294"/>
    <s v="KNAB3519LNT881582"/>
    <s v="W"/>
    <s v="G6"/>
    <s v="2853007301"/>
    <s v="CONVERTER ASSY-W/UP CATALYTIC"/>
    <m/>
    <m/>
    <s v="28230R1K"/>
    <s v="ZZ3"/>
    <s v="W17"/>
    <s v="20211004"/>
    <s v="20251128"/>
    <s v="20211204"/>
    <n v="48"/>
    <n v="26290"/>
    <m/>
    <n v="100"/>
    <n v="18.18"/>
    <n v="18.18"/>
    <n v="287591"/>
    <n v="67481"/>
    <n v="0"/>
    <n v="355072"/>
    <s v="JA 17"/>
    <s v="2021-10"/>
    <s v="단품불량"/>
    <s v="경고등 점등"/>
    <n v="30000"/>
    <n v="30000"/>
    <n v="54"/>
    <n v="51"/>
    <s v="C21"/>
    <s v="UK"/>
    <x v="0"/>
    <x v="0"/>
    <s v="컨버터"/>
    <s v="카파(WIA)"/>
    <x v="13"/>
    <s v="2025년"/>
    <s v="4분기"/>
  </r>
  <r>
    <s v="WIA"/>
    <s v="E"/>
    <s v="2025121WW"/>
    <s v="K"/>
    <s v="R151"/>
    <n v="285"/>
    <s v="2025/12"/>
    <s v="A02VE83933251100005"/>
    <s v="KNAB3519LPT049331"/>
    <s v="W"/>
    <s v="G6"/>
    <s v="2853007301"/>
    <s v="CONVERTER ASSY-W/UP CATALYTIC"/>
    <m/>
    <m/>
    <s v="28530R1K"/>
    <s v="ZZ3"/>
    <s v="W17"/>
    <s v="20221121"/>
    <s v="20251111"/>
    <s v="20221223"/>
    <n v="35"/>
    <n v="14685"/>
    <m/>
    <n v="100"/>
    <n v="18.18"/>
    <n v="18.18"/>
    <n v="226770"/>
    <n v="45349"/>
    <n v="0"/>
    <n v="272119"/>
    <s v="JA 17"/>
    <s v="2022-11"/>
    <s v="단품불량"/>
    <s v="경고등 점등"/>
    <n v="20000"/>
    <n v="15000"/>
    <n v="36"/>
    <n v="36"/>
    <s v="A02"/>
    <s v="AUSTRALIA"/>
    <x v="0"/>
    <x v="0"/>
    <s v="컨버터"/>
    <s v="카파(WIA)"/>
    <x v="13"/>
    <s v="2025년"/>
    <s v="4분기"/>
  </r>
  <r>
    <s v="현대"/>
    <s v="E"/>
    <s v="2026011WW"/>
    <s v="H"/>
    <s v="R151"/>
    <n v="1"/>
    <s v="2026/01"/>
    <s v="B28AANY71401324C000"/>
    <s v="KMTG64LA7MU073214"/>
    <s v="W"/>
    <s v="G9"/>
    <s v="285302C910"/>
    <s v="CONVERTER ASSY-W/UP CATALYTIC"/>
    <s v="          "/>
    <s v="[C]CUSTOMER STATES CUSTOMER STATES 2 CS ENGINE LIGHT IS ON CHECK AND ADVISE [R]TECHNCIICN OPENED CASE WITH TECHLINE AND WAS SET TO REPLACE CATALTIIC CONVERTER PER CASE 2025112001622 [T]INTERNAL FAILURE TO CATALITIC CONVERTER. FOUND CODE FOR P042000 BANK 1 BELOW THRESHOLD. FOUND ENGINE SENDING EXCESSIVE FUEL TO ENGINE."/>
    <s v="28530R00"/>
    <s v="ZZ3"/>
    <s v="W11"/>
    <s v="2020/09/07"/>
    <s v="2025/11/19"/>
    <s v="2020/11/27"/>
    <n v="60"/>
    <n v="91560"/>
    <s v="            "/>
    <n v="100"/>
    <n v="19.8"/>
    <n v="19.8"/>
    <n v="222966"/>
    <n v="133246"/>
    <n v="0"/>
    <n v="356212"/>
    <s v="IK 17"/>
    <s v="2020-09"/>
    <s v="단품불량"/>
    <s v="경고등 점등"/>
    <n v="100000"/>
    <n v="95000"/>
    <s v="≥60"/>
    <s v="≥60"/>
    <s v="B28"/>
    <s v="U.S.A"/>
    <x v="0"/>
    <x v="1"/>
    <s v="컨버터"/>
    <s v="쎄타"/>
    <x v="0"/>
    <s v="2026년"/>
    <s v="1분기"/>
  </r>
  <r>
    <s v="현대"/>
    <s v="E"/>
    <s v="2026011WW"/>
    <s v="H"/>
    <s v="R151"/>
    <n v="2"/>
    <s v="2026/01"/>
    <s v="B28AACA38713222A000"/>
    <s v="KMHT36AH0NU011345"/>
    <s v="W"/>
    <s v="BU"/>
    <s v="285302GTB0"/>
    <s v="CONVERTER ASSY-W/UP CATALYTIC"/>
    <s v="          "/>
    <s v="[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
    <s v="28530R00"/>
    <s v="ZZ3"/>
    <s v="W17"/>
    <s v="2021/04/22"/>
    <s v="2025/11/12"/>
    <s v="2021/07/17"/>
    <n v="52"/>
    <n v="82182"/>
    <s v="            "/>
    <n v="100"/>
    <n v="19.8"/>
    <n v="19.8"/>
    <n v="179156"/>
    <n v="101406"/>
    <n v="0"/>
    <n v="280562"/>
    <s v="JS N 18(고성능차)"/>
    <s v="2021-04"/>
    <s v="단품불량"/>
    <s v="경고등 점등"/>
    <n v="90000"/>
    <n v="85000"/>
    <n v="54"/>
    <n v="54"/>
    <s v="B28"/>
    <s v="U.S.A"/>
    <x v="0"/>
    <x v="1"/>
    <s v="컨버터"/>
    <s v="쎄타"/>
    <x v="0"/>
    <s v="2026년"/>
    <s v="1분기"/>
  </r>
  <r>
    <s v="현대"/>
    <s v="E"/>
    <s v="2026011WW"/>
    <s v="H"/>
    <s v="R151"/>
    <n v="3"/>
    <s v="2026/01"/>
    <s v="B28VAPA0502549574-1"/>
    <s v="KNAE55LC6M6088580"/>
    <s v="W"/>
    <s v="J5"/>
    <s v="285303LVB0"/>
    <s v="CONVERTER ASSY-W/UP CAT,RH"/>
    <s v="          "/>
    <s v="[D]CUSTOMER STATES CHECK ENGINE LIGHT IS ON STEADY ALL THE TIME--INSTALL SOP- VERIFIED CONCERN-FOUND CODE PO420 STORED IN SYSTEM-CATALYTIC CONVERTER BANK 1 ERROR-REMOVED AND REPLACED CATALYTIC CONVERTER AND ALL NECESSARY 1 TIME USE GASKETS AND BOLTS-FILLED ALL FLUIDS AND ROAD TESTEDNUMEROUS MILES-OK AT THIS TIME"/>
    <s v="28530R3L"/>
    <s v="ZZ3"/>
    <s v="I3T"/>
    <s v="2020/07/22"/>
    <s v="2025/11/19"/>
    <s v="2021/03/26"/>
    <n v="56"/>
    <n v="62840"/>
    <s v="            "/>
    <n v="100"/>
    <n v="19.8"/>
    <n v="19.8"/>
    <n v="208080"/>
    <n v="255557"/>
    <n v="0"/>
    <n v="463637"/>
    <s v="CK 17"/>
    <s v="2020-07"/>
    <s v="단품불량"/>
    <s v="경고등 점등"/>
    <n v="70000"/>
    <n v="65000"/>
    <n v="60"/>
    <n v="57"/>
    <s v="B28"/>
    <s v="U.S.A"/>
    <x v="0"/>
    <x v="1"/>
    <s v="컨버터"/>
    <s v="람다"/>
    <x v="2"/>
    <s v="2026년"/>
    <s v="1분기"/>
  </r>
  <r>
    <s v="현대"/>
    <s v="E"/>
    <s v="2026011WW"/>
    <s v="H"/>
    <s v="R151"/>
    <n v="4"/>
    <s v="2026/01"/>
    <s v="B28AALA713003951000"/>
    <s v="KMTG54TE4NU093833"/>
    <s v="W"/>
    <s v="G9"/>
    <s v="285303LVR0"/>
    <s v="CONVERTER ASSY-W/UP CAT,RH"/>
    <s v="          "/>
    <s v="[C]WARNING LIGHTS ON. CUSTOMER STATES THAT THE CHECK ENGINE LIGHT IS ON. PLEASE CHECK AND ADVISE [R]Technician removed and replaced catalyst converter and bled coolant system [T]Per tech line catalyst converter failed component due to internal material defect P042000"/>
    <s v="28530R7R"/>
    <s v="ZZ3"/>
    <s v="W17"/>
    <s v="2021/10/14"/>
    <s v="2025/12/15"/>
    <s v="2021/12/13"/>
    <n v="49"/>
    <n v="73003"/>
    <s v="            "/>
    <n v="100"/>
    <n v="19.8"/>
    <n v="19.8"/>
    <n v="212987"/>
    <n v="274635"/>
    <n v="0"/>
    <n v="487622"/>
    <s v="IK 17"/>
    <s v="2021-10"/>
    <s v="단품불량"/>
    <s v="경고등 점등"/>
    <n v="80000"/>
    <n v="75000"/>
    <n v="54"/>
    <n v="51"/>
    <s v="B28"/>
    <s v="U.S.A"/>
    <x v="0"/>
    <x v="1"/>
    <s v="컨버터"/>
    <s v="람다"/>
    <x v="2"/>
    <s v="2026년"/>
    <s v="1분기"/>
  </r>
  <r>
    <s v="기아"/>
    <s v="D"/>
    <s v="2026011WW"/>
    <s v="K"/>
    <s v="R151"/>
    <n v="1"/>
    <s v="2026/01"/>
    <s v="FX91202026W00013300"/>
    <s v="KNAPH811BLA645356"/>
    <s v="W"/>
    <s v="C5"/>
    <s v="285302GPB0"/>
    <s v="CONVERTER ASSY-W/UP CATALYTIC"/>
    <s v="          "/>
    <s v="1.현상 : 검사 불합격으로 입_x000a_2.점검내용 및 원인 : 검사 불합격으로 입고되어 확인결과 DPF이상 확인되어 _x000a_3.조치내용 : 교환후 정상출고"/>
    <s v="28530R1A"/>
    <m/>
    <s v="I73"/>
    <s v="2019/12/27"/>
    <s v="2026/01/22"/>
    <s v="2019/12/30"/>
    <n v="73"/>
    <n v="68376"/>
    <s v="            "/>
    <n v="100"/>
    <n v="25.44"/>
    <n v="25.44"/>
    <n v="167394"/>
    <n v="24422"/>
    <n v="0"/>
    <n v="191816"/>
    <s v="올 뉴 쏘렌토"/>
    <s v="2019-12"/>
    <e v="#N/A"/>
    <s v="배기가스 문제"/>
    <n v="70000"/>
    <n v="70000"/>
    <s v="≥60"/>
    <s v="≥60"/>
    <s v="FX9"/>
    <s v="한국"/>
    <x v="0"/>
    <x v="1"/>
    <s v="컨버터"/>
    <s v="쎄타"/>
    <x v="0"/>
    <s v="2026년"/>
    <s v="1분기"/>
  </r>
  <r>
    <s v="기아"/>
    <s v="D"/>
    <s v="2026011WW"/>
    <s v="K"/>
    <s v="R151"/>
    <n v="146"/>
    <s v="2026/01"/>
    <s v="PX01302026W00004400"/>
    <s v="KNAB1518BST348048"/>
    <s v="W"/>
    <s v="G6"/>
    <s v="28600G6700"/>
    <s v="MUFFLER COMPLETE-CTR"/>
    <s v="          "/>
    <s v="[C]1.현상 : 주행중 가속시 드드득 이음발생되어입고됨 2.점검내용 및 원인 : 점검결과 센타머플러 내부 변형되어 가속시 드드득 이음발생됨 센타머플러 내부 창떨어짐으로 판단됨 3.조치내용 : 센타머플러 교환후 동일이음발생되지않고 정상작동됨"/>
    <s v="28650R00"/>
    <m/>
    <s v="Q71"/>
    <s v="2025/01/09"/>
    <s v="2026/01/19"/>
    <s v="2025/01/21"/>
    <n v="12"/>
    <n v="20349"/>
    <s v="            "/>
    <n v="100"/>
    <n v="25.44"/>
    <n v="25.44"/>
    <n v="37714"/>
    <n v="6106"/>
    <n v="0"/>
    <n v="43820"/>
    <s v="JA 17"/>
    <s v="2025-01"/>
    <e v="#N/A"/>
    <s v="소음"/>
    <n v="30000"/>
    <n v="25000"/>
    <n v="18"/>
    <n v="15"/>
    <s v="PX0"/>
    <s v="한국"/>
    <x v="1"/>
    <x v="1"/>
    <s v="머플러"/>
    <m/>
    <x v="9"/>
    <s v="2026년"/>
    <s v="1분기"/>
  </r>
  <r>
    <s v="기아"/>
    <s v="D"/>
    <s v="2026011WW"/>
    <s v="K"/>
    <s v="R151"/>
    <n v="168"/>
    <s v="2026/01"/>
    <s v="JX09502026W00006900"/>
    <s v="KNARH81GBSA365135"/>
    <s v="W"/>
    <s v="HC"/>
    <s v="28600P4630"/>
    <s v="MUFFLER COMPLETE-CTR"/>
    <s v="          "/>
    <s v="[C]1.현상 : 주행중 타는 냄새 및 머플러 물흐름 발생으로 점검 의뢰함 2.점검내용 및 원인 : 점검결과 냄새는 특이 현상 없고 머플러 물흐름 발생으로 확인 점검됨 3.조치내용 : 머플러 볼트 조입 교정후 정상 출고함"/>
    <s v="28500A00"/>
    <m/>
    <s v="H22"/>
    <s v="2024/12/20"/>
    <s v="2026/01/26"/>
    <s v="2024/12/20"/>
    <n v="14"/>
    <n v="15259"/>
    <s v="            "/>
    <n v="100"/>
    <n v="25.44"/>
    <n v="25.44"/>
    <n v="0"/>
    <n v="2137"/>
    <n v="0"/>
    <n v="2137"/>
    <s v="MQ4 20 HEV"/>
    <s v="2024-12"/>
    <e v="#N/A"/>
    <s v="냄새과다"/>
    <n v="20000"/>
    <n v="20000"/>
    <n v="18"/>
    <n v="15"/>
    <s v="JX0"/>
    <s v="한국"/>
    <x v="1"/>
    <x v="1"/>
    <s v="머플러"/>
    <m/>
    <x v="11"/>
    <s v="2026년"/>
    <s v="1분기"/>
  </r>
  <r>
    <s v="기아"/>
    <s v="D"/>
    <s v="2026011WW"/>
    <s v="K"/>
    <s v="R151"/>
    <n v="169"/>
    <s v="2026/01"/>
    <s v="PK04002025W00292500"/>
    <s v="KNACT81EGRA211275"/>
    <s v="W"/>
    <s v="0T"/>
    <s v="28601AT100"/>
    <s v="MUFFLER COMPLETE-CTR &amp; SENSOR"/>
    <s v="          "/>
    <s v="[C]1.현상 : 냉각수 과다소모 발생으로 정비의뢰. 2.점검내용 및 원인 : 점검결과 센터머플러 불량으로 인한 냉각수 소모발생. 3.조치내용 : 센터머플러 교환 설명출고"/>
    <s v="28650R00"/>
    <m/>
    <s v="L33"/>
    <s v="2024/06/26"/>
    <s v="2025/12/30"/>
    <s v="2024/06/28"/>
    <n v="19"/>
    <n v="64904"/>
    <s v="            "/>
    <n v="100"/>
    <n v="25.44"/>
    <n v="25.44"/>
    <n v="47403"/>
    <n v="5495"/>
    <n v="0"/>
    <n v="52898"/>
    <s v="SG2 (니로 후속) 21"/>
    <s v="2024-06"/>
    <e v="#N/A"/>
    <s v="냉각수 문제"/>
    <n v="70000"/>
    <n v="65000"/>
    <n v="24"/>
    <n v="21"/>
    <s v="PK0"/>
    <s v="한국"/>
    <x v="2"/>
    <x v="1"/>
    <s v="머플러"/>
    <m/>
    <x v="4"/>
    <s v="2026년"/>
    <s v="1분기"/>
  </r>
  <r>
    <s v="기아"/>
    <s v="D"/>
    <s v="2026011WW"/>
    <s v="K"/>
    <s v="R151"/>
    <n v="170"/>
    <s v="2026/01"/>
    <s v="GX16302026W00005900"/>
    <s v="KNARH81BGMA041042"/>
    <s v="W"/>
    <s v="GZ"/>
    <s v="28607P2570"/>
    <s v="MUFFLER COMPLETE-CHMBR &amp; CONV"/>
    <s v="          "/>
    <s v="[C]1.현상 : 요소수 경고등 점등으로 입고됨 2.점검내용 및 원인 : P20EE SCR 정화 효율 낮음 확인됨 SCR 이상으로 정화 이상 3.조치내용 : SCR 교환 후 정상 작동됨"/>
    <s v="28620R00"/>
    <m/>
    <s v="W13"/>
    <s v="2020/08/10"/>
    <s v="2026/01/15"/>
    <s v="2020/08/11"/>
    <n v="66"/>
    <n v="47442"/>
    <s v="            "/>
    <n v="100"/>
    <n v="25.44"/>
    <n v="25.44"/>
    <n v="55693"/>
    <n v="6869"/>
    <n v="0"/>
    <n v="62562"/>
    <s v="MQ4 20"/>
    <s v="2020-08"/>
    <e v="#N/A"/>
    <s v="경고등 점등"/>
    <n v="50000"/>
    <n v="50000"/>
    <s v="≥60"/>
    <s v="≥60"/>
    <s v="GX1"/>
    <s v="한국"/>
    <x v="3"/>
    <x v="1"/>
    <s v="컨버터"/>
    <s v="MQ4 DPF"/>
    <x v="5"/>
    <s v="2026년"/>
    <s v="1분기"/>
  </r>
  <r>
    <s v="기아"/>
    <s v="D"/>
    <s v="2026011WW"/>
    <s v="K"/>
    <s v="R151"/>
    <n v="171"/>
    <s v="2026/01"/>
    <s v="DX90302026W00005800"/>
    <s v="KNARM81BGNA159396"/>
    <s v="W"/>
    <s v="GZ"/>
    <s v="28607P2580"/>
    <s v="MUFFLER COMPLETE-CHMBR &amp; CONV"/>
    <s v="          "/>
    <s v="[C]1.현상 : 고속 주행 및 시내 주행 후 주차시 차랑 아래 소음 발생 점검 입고 2.점검내용 및 원인 : 외부 충격 없음 주행 후 주차시 센터 머플러에서 갈라지는 소음 발생 센터 머플러 소음으로 보여짐 3.조치내용 : 머플러 교환 후 고객 상담 후 출고"/>
    <s v="28650R00"/>
    <m/>
    <s v="W11"/>
    <s v="2022/04/15"/>
    <s v="2026/01/21"/>
    <s v="2022/04/19"/>
    <n v="46"/>
    <n v="108363"/>
    <s v="            "/>
    <n v="100"/>
    <n v="25.44"/>
    <n v="25.44"/>
    <n v="99718"/>
    <n v="5342"/>
    <n v="0"/>
    <n v="105060"/>
    <s v="MQ4 20"/>
    <s v="2022-04"/>
    <e v="#N/A"/>
    <s v="경고등 점등"/>
    <s v="≥100000"/>
    <s v="≥100000"/>
    <n v="48"/>
    <n v="48"/>
    <s v="DX9"/>
    <s v="한국"/>
    <x v="3"/>
    <x v="1"/>
    <s v="컨버터"/>
    <s v="MQ4 DPF"/>
    <x v="5"/>
    <s v="2026년"/>
    <s v="1분기"/>
  </r>
  <r>
    <s v="기아"/>
    <s v="D"/>
    <s v="2026011WW"/>
    <s v="K"/>
    <s v="R151"/>
    <n v="172"/>
    <s v="2026/01"/>
    <s v="AX90502026W00002700"/>
    <s v="KNANC81BBMS056207"/>
    <s v="W"/>
    <s v="HS"/>
    <s v="28607R0500"/>
    <s v="MUFFLER COMPLETE-CHMBR &amp; CONV"/>
    <s v="          "/>
    <s v="[C]1.현상 : 차량 경고등점등으로 입고 2.점검내용 및 원인 : 단거리 운행으로 요소수 경고등 DPF LNT 재생 고속주행권고후 정상출고"/>
    <s v="28950A00"/>
    <m/>
    <s v="W11"/>
    <s v="2021/01/14"/>
    <s v="2026/01/19"/>
    <s v="2021/01/20"/>
    <n v="60"/>
    <n v="43708"/>
    <s v="            "/>
    <n v="100"/>
    <n v="25.44"/>
    <n v="25.44"/>
    <n v="0"/>
    <n v="4961"/>
    <n v="0"/>
    <n v="4961"/>
    <s v="KA4 (YP 카니발 후속) 20"/>
    <s v="2021-01"/>
    <e v="#N/A"/>
    <s v="경고등 점등"/>
    <n v="50000"/>
    <n v="45000"/>
    <s v="≥60"/>
    <s v="≥60"/>
    <s v="AX9"/>
    <s v="한국"/>
    <x v="3"/>
    <x v="1"/>
    <s v="컨버터"/>
    <s v="KA4 DPF"/>
    <x v="3"/>
    <s v="2026년"/>
    <s v="1분기"/>
  </r>
  <r>
    <s v="기아"/>
    <s v="D"/>
    <s v="2026011WW"/>
    <s v="K"/>
    <s v="R151"/>
    <n v="173"/>
    <s v="2026/01"/>
    <s v="KX00102026W00000700"/>
    <s v="KNANB81BBPS201115"/>
    <s v="W"/>
    <s v="HS"/>
    <s v="28607R0550"/>
    <s v="MUFFLER COMPLETE-CHMBR &amp; CONV"/>
    <s v="          "/>
    <s v="[C]1.현상 : 엔진 경고등점등발생으로 차량입고 2.점검내용 및 원인 : P2C7A00 암모니아 흡장량 진단 이상 경고등 점등발생"/>
    <s v="28610R00"/>
    <m/>
    <s v="W11"/>
    <s v="2022/05/02"/>
    <s v="2026/01/06"/>
    <s v="2022/05/03"/>
    <n v="45"/>
    <n v="23817"/>
    <s v="            "/>
    <n v="100"/>
    <n v="25.44"/>
    <n v="25.44"/>
    <n v="50073"/>
    <n v="3969"/>
    <n v="0"/>
    <n v="54042"/>
    <s v="KA4 (YP 카니발 후속) 20"/>
    <s v="2022-05"/>
    <e v="#N/A"/>
    <s v="경고등 점등"/>
    <n v="30000"/>
    <n v="25000"/>
    <n v="48"/>
    <n v="48"/>
    <s v="KX0"/>
    <s v="한국"/>
    <x v="3"/>
    <x v="1"/>
    <s v="컨버터"/>
    <s v="KA4 DPF"/>
    <x v="3"/>
    <s v="2026년"/>
    <s v="1분기"/>
  </r>
  <r>
    <s v="기아"/>
    <s v="D"/>
    <s v="2026011WW"/>
    <s v="K"/>
    <s v="R151"/>
    <n v="174"/>
    <s v="2026/01"/>
    <s v="FX91202026W00019700"/>
    <s v="KNANC81BBPS333410"/>
    <s v="W"/>
    <s v="HS"/>
    <s v="28607R0550"/>
    <s v="MUFFLER COMPLETE-CHMBR &amp; CONV"/>
    <s v="          "/>
    <s v="[C]1.현상 : 엔진경고등 점등되어 입고 2.점검내용 및 원인 : P20EE00 고장코드 확이되어 3.조치내용 : 프론트 머플러 교환후 정상출고"/>
    <s v="28610R00"/>
    <m/>
    <s v="W11"/>
    <s v="2023/05/12"/>
    <s v="2026/01/29"/>
    <s v="2023/05/18"/>
    <n v="33"/>
    <n v="66591"/>
    <s v="            "/>
    <n v="100"/>
    <n v="25.44"/>
    <n v="25.44"/>
    <n v="53271"/>
    <n v="6513"/>
    <n v="0"/>
    <n v="59784"/>
    <s v="KA4 (YP 카니발 후속) 20"/>
    <s v="2023-05"/>
    <e v="#N/A"/>
    <s v="경고등 점등"/>
    <n v="70000"/>
    <n v="70000"/>
    <n v="36"/>
    <n v="36"/>
    <s v="FX9"/>
    <s v="한국"/>
    <x v="3"/>
    <x v="1"/>
    <s v="컨버터"/>
    <s v="KA4 DPF"/>
    <x v="3"/>
    <s v="2026년"/>
    <s v="1분기"/>
  </r>
  <r>
    <s v="기아"/>
    <s v="D"/>
    <s v="2026011WW"/>
    <s v="K"/>
    <s v="R151"/>
    <n v="175"/>
    <s v="2026/01"/>
    <s v="AX99202025W00055800"/>
    <s v="KNANC81BBSS513564"/>
    <s v="W"/>
    <s v="HS"/>
    <s v="28607R0550"/>
    <s v="MUFFLER COMPLETE-CHMBR &amp; CONV"/>
    <s v="          "/>
    <s v="[C]1.현상 : 경고등 점등으로 입고 2.점검내용 및 원인 : 점검결과 EX9030 W 300 리어녹스센서 교체하였음에도 동일 현상 발생 및 P2C7A00 암모니아 흡장량 진단 이상 표출 중간부분 확인시 SCR부분 이상 발생 3.조치내용 : 머플러 교환후 출고함"/>
    <s v="00999A0F"/>
    <m/>
    <s v="W11"/>
    <s v="2024/11/21"/>
    <s v="2026/01/09"/>
    <s v="2024/11/28"/>
    <n v="14"/>
    <n v="30803"/>
    <s v="2211A0399   "/>
    <n v="100"/>
    <n v="25.44"/>
    <n v="25.44"/>
    <n v="68851"/>
    <n v="6945"/>
    <n v="0"/>
    <n v="75796"/>
    <s v="KA4 (YP 카니발 후속) 20"/>
    <s v="2024-11"/>
    <e v="#N/A"/>
    <s v="경고등 점등"/>
    <n v="40000"/>
    <n v="35000"/>
    <n v="18"/>
    <n v="15"/>
    <s v="AX9"/>
    <s v="한국"/>
    <x v="3"/>
    <x v="1"/>
    <s v="컨버터"/>
    <s v="KA4 DPF"/>
    <x v="3"/>
    <s v="2026년"/>
    <s v="1분기"/>
  </r>
  <r>
    <s v="기아"/>
    <s v="D"/>
    <s v="2026011WW"/>
    <s v="K"/>
    <s v="R151"/>
    <n v="176"/>
    <s v="2026/01"/>
    <s v="HK05702025W00254800"/>
    <s v="KNANC81BBSS535032"/>
    <s v="W"/>
    <s v="HS"/>
    <s v="28607R0550"/>
    <s v="MUFFLER COMPLETE-CHMBR &amp; CONV"/>
    <s v="          "/>
    <s v="[C]1.현상 : 배기가스 경고등 점등으로 인한 입고 2.점검내용 및 원인 : 진단기기 점검시 soot량 20g이상 soot 재생 원활하지 않으며 쌓여서 경고등 점등 사료됨 3.조치내용 : CPF재생 후 출고"/>
    <s v="28950A00"/>
    <m/>
    <s v="W13"/>
    <s v="2025/02/05"/>
    <s v="2025/12/31"/>
    <s v="2025/02/06"/>
    <n v="11"/>
    <n v="13113"/>
    <s v="            "/>
    <n v="100"/>
    <n v="25.44"/>
    <n v="25.44"/>
    <n v="0"/>
    <n v="7378"/>
    <n v="0"/>
    <n v="7378"/>
    <s v="KA4 (YP 카니발 후속) 20"/>
    <s v="2025-02"/>
    <e v="#N/A"/>
    <s v="경고등 점등"/>
    <n v="20000"/>
    <n v="15000"/>
    <n v="12"/>
    <n v="12"/>
    <s v="HK0"/>
    <s v="한국"/>
    <x v="3"/>
    <x v="1"/>
    <s v="컨버터"/>
    <s v="KA4 DPF"/>
    <x v="3"/>
    <s v="2026년"/>
    <s v="1분기"/>
  </r>
  <r>
    <s v="기아"/>
    <s v="D"/>
    <s v="2026011WW"/>
    <s v="K"/>
    <s v="R151"/>
    <n v="177"/>
    <s v="2026/01"/>
    <s v="DK02802026W00043200"/>
    <s v="KNACG911BPT368496"/>
    <s v="W"/>
    <s v="A3"/>
    <s v="28650A3550"/>
    <s v="MUFFLER ASSY-CTR"/>
    <s v="          "/>
    <s v="1.현상 : *엔진경고등 점등현상으로 입고 _x000a_2.점검내용 및 원인 : 진단점검시 P042000 촉매정화능력저하 점등_x000a_센터머플러재질불량으로 내부 비정상소착되어 주행중 엔진경고등점등 판단_x000a_3.조치내용 : 센터머플러 교환후 로드테스트시 정상으로 출고"/>
    <s v="28650R00"/>
    <m/>
    <s v="W11"/>
    <s v="2023/08/21"/>
    <s v="2026/01/22"/>
    <s v="2023/08/29"/>
    <n v="29"/>
    <n v="42081"/>
    <s v="            "/>
    <n v="100"/>
    <n v="25.44"/>
    <n v="25.44"/>
    <n v="28908"/>
    <n v="7785"/>
    <n v="0"/>
    <n v="36693"/>
    <s v="레이 11"/>
    <s v="2023-08"/>
    <e v="#N/A"/>
    <s v="경고등 점등"/>
    <n v="50000"/>
    <n v="45000"/>
    <n v="30"/>
    <n v="30"/>
    <s v="DK0"/>
    <s v="한국"/>
    <x v="1"/>
    <x v="1"/>
    <s v="머플러"/>
    <m/>
    <x v="7"/>
    <s v="2026년"/>
    <s v="1분기"/>
  </r>
  <r>
    <s v="기아"/>
    <s v="D"/>
    <s v="2026011WW"/>
    <s v="K"/>
    <s v="R151"/>
    <n v="178"/>
    <s v="2026/01"/>
    <s v="JK03002026W00006100"/>
    <s v="KNANE81BBSS544808"/>
    <s v="W"/>
    <s v="HS"/>
    <s v="28650R0500"/>
    <s v="MUFFLER ASSY-CTR"/>
    <s v="          "/>
    <s v="[C]1.현상 : 주행중 경고등 점등으로 입고되어 2.점검내용 및 원인 : 점검 확인시 경고등 점등 확인되어 3.조치내용 : DPF 강제 재생후 정상출고"/>
    <s v="28950A00"/>
    <m/>
    <s v="W11"/>
    <s v="2025/03/08"/>
    <s v="2026/01/09"/>
    <s v="2025/03/17"/>
    <n v="10"/>
    <n v="8105"/>
    <s v="            "/>
    <n v="100"/>
    <n v="25.44"/>
    <n v="25.44"/>
    <n v="0"/>
    <n v="6360"/>
    <n v="0"/>
    <n v="6360"/>
    <s v="KA4 (YP 카니발 후속) 20"/>
    <s v="2025-03"/>
    <e v="#N/A"/>
    <s v="경고등 점등"/>
    <n v="10000"/>
    <n v="10000"/>
    <n v="12"/>
    <n v="12"/>
    <s v="JK0"/>
    <s v="한국"/>
    <x v="1"/>
    <x v="1"/>
    <s v="머플러"/>
    <m/>
    <x v="3"/>
    <s v="2026년"/>
    <s v="1분기"/>
  </r>
  <r>
    <s v="기아"/>
    <s v="D"/>
    <s v="2026011WW"/>
    <s v="K"/>
    <s v="R151"/>
    <n v="179"/>
    <s v="2026/01"/>
    <s v="2030002026W00079800"/>
    <s v="KNACR81EGTA310517"/>
    <s v="W"/>
    <s v="0T"/>
    <s v="28710AT100"/>
    <s v="MUFFLER ASSY-RR"/>
    <s v="          "/>
    <s v="[C]1.현상 : 주행중 진동 및 주행후 머플러 뒤쪽에서 배기가스 냄새 2.점검내용 및 원인 : 육안 점검시 뒤쪽 머플러 미세한 구멍에서 배기가스 누출 및 그을음 확인 3.조치내용 : 뒤쪽 머플러 교체 완료"/>
    <s v="99NSTZ0T"/>
    <m/>
    <s v="Q75"/>
    <s v="2025/06/19"/>
    <s v="2026/01/20"/>
    <s v="2025/08/22"/>
    <n v="5"/>
    <n v="13499"/>
    <s v="            "/>
    <n v="100"/>
    <n v="25.44"/>
    <n v="25.44"/>
    <n v="23441"/>
    <n v="18190"/>
    <n v="0"/>
    <n v="41631"/>
    <s v="SG2 (니로 후속) 21"/>
    <s v="2025-06"/>
    <e v="#N/A"/>
    <s v="소음"/>
    <n v="20000"/>
    <n v="15000"/>
    <n v="6"/>
    <n v="6"/>
    <s v="203"/>
    <s v="한국"/>
    <x v="5"/>
    <x v="1"/>
    <s v="머플러"/>
    <m/>
    <x v="4"/>
    <s v="2026년"/>
    <s v="1분기"/>
  </r>
  <r>
    <s v="기아"/>
    <s v="D"/>
    <s v="2026011WW"/>
    <s v="K"/>
    <s v="R151"/>
    <n v="180"/>
    <s v="2026/01"/>
    <s v="GX00302026W00006700"/>
    <s v="KNARJ81FHTA396876"/>
    <s v="W"/>
    <s v="GZ"/>
    <s v="28710P2470"/>
    <s v="MUFFLER ASSY-RR"/>
    <s v="          "/>
    <s v="1.현상 : 머플러 소음으로 입고_x000a_2.점검내용 및 원인 : 리어 머플러 재질 불량으로 공회전시 소음 발생_x000a_3.조치내용 : 리어 머플러 교환 조치함"/>
    <s v="28700R00"/>
    <m/>
    <s v="Q72"/>
    <s v="2025/11/25"/>
    <s v="2026/01/19"/>
    <s v="2025/11/27"/>
    <n v="2"/>
    <n v="1274"/>
    <s v="            "/>
    <n v="100"/>
    <n v="25.44"/>
    <n v="25.44"/>
    <n v="35913"/>
    <n v="3854"/>
    <n v="0"/>
    <n v="39767"/>
    <s v="MQ4 20"/>
    <s v="2025-11"/>
    <e v="#N/A"/>
    <s v="소음"/>
    <n v="10000"/>
    <n v="5000"/>
    <n v="6"/>
    <n v="3"/>
    <s v="GX0"/>
    <s v="한국"/>
    <x v="5"/>
    <x v="1"/>
    <s v="머플러"/>
    <m/>
    <x v="5"/>
    <s v="2026년"/>
    <s v="1분기"/>
  </r>
  <r>
    <s v="기아"/>
    <s v="D"/>
    <s v="2026011WA"/>
    <s v="K"/>
    <s v="R151"/>
    <n v="1"/>
    <s v="2025/11"/>
    <s v="2070002025W01541200"/>
    <s v="KNANE81BBSS514509"/>
    <s v="W"/>
    <s v="HS"/>
    <s v="28780L6000"/>
    <s v="HANGER"/>
    <s v="          "/>
    <s v="[C]1.현상 : 정차중 진동과다로 입고함 2.점검내용 및 원인 : D레인지 정차시 엔진진동이 차체에 과다하게 올라옴, 머플러 행거 확인시 많이눌려있어 차체로 진동이 올라오는것으로보임 3.조치내용 : 하이테크그룹에 행거 업체직교품 개선품이있어 교환실시, 정위치확인함"/>
    <s v="99HSTZ0T"/>
    <m/>
    <s v="V72"/>
    <s v="2024/11/22"/>
    <s v="2025/11/13"/>
    <s v="2024/11/26"/>
    <n v="12"/>
    <n v="10843"/>
    <s v="            "/>
    <n v="100"/>
    <n v="25.44"/>
    <n v="25.44"/>
    <n v="0"/>
    <n v="8395"/>
    <n v="0"/>
    <n v="8395"/>
    <s v="KA4 (YP 카니발 후속) 20"/>
    <s v="2024-11"/>
    <e v="#N/A"/>
    <s v="떨림"/>
    <n v="20000"/>
    <n v="15000"/>
    <n v="18"/>
    <n v="15"/>
    <s v="207"/>
    <s v="한국"/>
    <x v="8"/>
    <x v="1"/>
    <s v="머플러"/>
    <m/>
    <x v="3"/>
    <s v="2026년"/>
    <s v="1분기"/>
  </r>
  <r>
    <s v="기아"/>
    <s v="E"/>
    <s v="2026011WW"/>
    <s v="K"/>
    <s v="R151"/>
    <n v="1"/>
    <s v="2026/01"/>
    <s v="B28VAWV0162574084-D"/>
    <s v="KNDPRCA64J7376296"/>
    <s v="W"/>
    <s v="D9"/>
    <s v="285102G520"/>
    <s v="MODULE ASSY-WCC"/>
    <s v="          "/>
    <e v="#N/A"/>
    <s v="28511R1A"/>
    <s v="ZZ3"/>
    <s v="I3A"/>
    <s v="2017/08/16"/>
    <s v="2025/12/03"/>
    <s v="2018/04/16"/>
    <n v="92"/>
    <n v="104456"/>
    <s v="            "/>
    <n v="100"/>
    <n v="18.18"/>
    <n v="18.18"/>
    <n v="179022"/>
    <n v="34250"/>
    <n v="0"/>
    <n v="213272"/>
    <s v="스포티지(후속) 16"/>
    <s v="2017-08"/>
    <s v="단품불량"/>
    <s v="경고등 점등"/>
    <s v="≥100000"/>
    <s v="≥100000"/>
    <s v="≥60"/>
    <s v="≥60"/>
    <s v="B28"/>
    <s v="U.S.A"/>
    <x v="0"/>
    <x v="1"/>
    <s v="컨버터"/>
    <s v="쎄타"/>
    <x v="0"/>
    <s v="2026년"/>
    <s v="1분기"/>
  </r>
  <r>
    <s v="기아"/>
    <s v="E"/>
    <s v="2026011WW"/>
    <s v="K"/>
    <s v="R151"/>
    <n v="61"/>
    <s v="2026/01"/>
    <s v="C21VA2282 KM2000025"/>
    <s v="KNACR81EVP5036311"/>
    <s v="W"/>
    <s v="0T"/>
    <s v="2853008460"/>
    <s v="CONVERTER ASSY-W/UP CATALYTIC"/>
    <s v="          "/>
    <s v="[C]PLEASE DIAGNOSE EML ON DASH [R]carried out instillation of ne catalystic convverter including all gaskets. erased all dtc codes. all ok [T]carried out investigation in eml light on. tpms light also on. have inflated tyres to where needs to be 2.5 bar. scanned fault codes one active code: P042000 Catalyst system efficeiency below threshold (bank 1) carried out inspection of cat. no damage visible. potntial internal break up of catalyst"/>
    <s v="28950R00"/>
    <s v="ZZ3"/>
    <s v="W17"/>
    <s v="2022/07/20"/>
    <s v="2025/11/14"/>
    <s v="2023/01/31"/>
    <n v="34"/>
    <n v="25269"/>
    <s v="            "/>
    <n v="100"/>
    <n v="18.18"/>
    <n v="18.18"/>
    <n v="43134"/>
    <n v="46938"/>
    <n v="0"/>
    <n v="90072"/>
    <s v="SG2 (니로 후속) 21"/>
    <s v="2022-07"/>
    <s v="단품불량"/>
    <s v="경고등 점등"/>
    <n v="30000"/>
    <n v="30000"/>
    <n v="36"/>
    <n v="36"/>
    <s v="C21"/>
    <s v="UK"/>
    <x v="0"/>
    <x v="1"/>
    <s v="컨버터"/>
    <s v="카파(KIA)"/>
    <x v="1"/>
    <s v="2026년"/>
    <s v="1분기"/>
  </r>
  <r>
    <s v="기아"/>
    <s v="E"/>
    <s v="2026011WW"/>
    <s v="K"/>
    <s v="R151"/>
    <n v="62"/>
    <s v="2026/01"/>
    <s v="C02VB6371AKM2600001"/>
    <s v="KNACP81EGR5134860"/>
    <s v="W"/>
    <s v="0T"/>
    <s v="2853008460"/>
    <s v="CONVERTER ASSY-W/UP CATALYTIC"/>
    <s v="          "/>
    <s v="[C]LE CLIENT SE PLAINT D UN TEMOIN MOTEUR ALLUMEE [R]REGENERATION FAP + EFFACEMENT CODE DEFAUT + ESSAI OK [T]CONFIRMATION PLAINTE CLIENT MISE SOUS KDS - CODE P226D00 FILTRE A PARTICULE CONTROLE SONDE TEMP DPS OK TEMP 1 1.6V 385C° TEMP 2 1.5V 355C°"/>
    <s v="39210R00"/>
    <s v="ZZ3"/>
    <s v="W17"/>
    <s v="2023/09/14"/>
    <s v="2026/01/05"/>
    <s v="2023/11/13"/>
    <n v="26"/>
    <n v="22459"/>
    <s v="            "/>
    <n v="100"/>
    <n v="18.18"/>
    <n v="18.18"/>
    <n v="0"/>
    <n v="11903"/>
    <n v="0"/>
    <n v="11903"/>
    <s v="SG2 (니로 후속) 21"/>
    <s v="2023-09"/>
    <s v="단품불량"/>
    <s v="경고등 점등"/>
    <n v="30000"/>
    <n v="25000"/>
    <n v="30"/>
    <n v="27"/>
    <s v="C02"/>
    <s v="BELGIUM"/>
    <x v="0"/>
    <x v="1"/>
    <s v="컨버터"/>
    <s v="카파(KIA)"/>
    <x v="1"/>
    <s v="2026년"/>
    <s v="1분기"/>
  </r>
  <r>
    <s v="기아"/>
    <s v="E"/>
    <s v="2026011WW"/>
    <s v="K"/>
    <s v="R151"/>
    <n v="63"/>
    <s v="2026/01"/>
    <s v="C21VA2169 KM2000096"/>
    <s v="KNACU81FVR5164146"/>
    <s v="W"/>
    <s v="0T"/>
    <s v="2853008460"/>
    <s v="CONVERTER ASSY-W/UP CATALYTIC"/>
    <s v="          "/>
    <s v="[C]Engine management light coming on. [R]Replaced CAT/GPF. Reset adaptive values and carried out road test. Checked DTC, no DTC present, all ok. [T]Carried out investigation into EML. Found fault code P042000. Hotline case made 299557. Carried out fault finding and removed exhaust flexi pipe, found damage to the CAT. Requires new CAT to rectify."/>
    <s v="28950R00"/>
    <s v="ZZ2"/>
    <s v="W17"/>
    <s v="2024/01/04"/>
    <s v="2025/12/03"/>
    <s v="2024/04/29"/>
    <n v="20"/>
    <n v="26458"/>
    <s v="            "/>
    <n v="100"/>
    <n v="18.18"/>
    <n v="18.18"/>
    <n v="42769"/>
    <n v="42510"/>
    <n v="0"/>
    <n v="85279"/>
    <s v="SG2 (니로 후속) 21"/>
    <s v="2024-01"/>
    <s v="파손"/>
    <s v="경고등 점등"/>
    <n v="30000"/>
    <n v="30000"/>
    <n v="24"/>
    <n v="21"/>
    <s v="C21"/>
    <s v="UK"/>
    <x v="0"/>
    <x v="1"/>
    <s v="컨버터"/>
    <s v="카파(KIA)"/>
    <x v="1"/>
    <s v="2026년"/>
    <s v="1분기"/>
  </r>
  <r>
    <s v="기아"/>
    <s v="E"/>
    <s v="2026011WW"/>
    <s v="K"/>
    <s v="R151"/>
    <n v="64"/>
    <s v="2026/01"/>
    <s v="C11AB04694250619000"/>
    <s v="KMHHA8111RU011600"/>
    <s v="W"/>
    <s v="1Y"/>
    <s v="2853008500"/>
    <s v="CONVERTER ASSY-W/UP CATALYTIC"/>
    <s v="          "/>
    <e v="#N/A"/>
    <s v="28530R00"/>
    <s v="ZZ4"/>
    <s v="W11"/>
    <s v="2023/06/01"/>
    <s v="2025/10/02"/>
    <s v="2023/09/29"/>
    <n v="25"/>
    <n v="73504"/>
    <s v="            "/>
    <n v="100"/>
    <n v="18.18"/>
    <n v="18.18"/>
    <n v="373153"/>
    <n v="15353"/>
    <n v="0"/>
    <n v="388506"/>
    <s v="SX2(코나 후속) 하이브리드 23"/>
    <s v="2023-06"/>
    <s v="재질불량"/>
    <s v="경고등 점등"/>
    <n v="80000"/>
    <n v="75000"/>
    <n v="30"/>
    <n v="27"/>
    <s v="C11"/>
    <s v="ITALY"/>
    <x v="0"/>
    <x v="1"/>
    <s v="컨버터"/>
    <s v="카파(KIA)"/>
    <x v="1"/>
    <s v="2026년"/>
    <s v="1분기"/>
  </r>
  <r>
    <s v="기아"/>
    <s v="E"/>
    <s v="2026011WW"/>
    <s v="K"/>
    <s v="R151"/>
    <n v="65"/>
    <s v="2026/01"/>
    <s v="C02VB06538KM2000002"/>
    <s v="KNAE351ABL6085975"/>
    <s v="W"/>
    <s v="J5"/>
    <s v="285302C270"/>
    <s v="CONVERTER ASSY-W/UP CATALYTIC"/>
    <s v="          "/>
    <s v="[C]Motorlampje brandt wagen rijdt normaal [R]Vervangen katalysator [T]Motorlampje brandt wagen rijdt normaal. Code P226D00. Controle katalysator met camera = gruis te zien. Overgegaan tot demontage waarbij gruis is waargenomen in uitlaat. Aanmaken Hotline case 2995504. In samenspraak technische dienst overgegaan tot vervangen van katalysator"/>
    <s v="28530R1A"/>
    <s v="ZZ3"/>
    <s v="W17"/>
    <s v="2020/04/22"/>
    <s v="2025/12/26"/>
    <s v="2020/07/27"/>
    <n v="65"/>
    <n v="80776"/>
    <s v="            "/>
    <n v="100"/>
    <n v="18.18"/>
    <n v="18.18"/>
    <n v="108435"/>
    <n v="30213"/>
    <n v="0"/>
    <n v="138648"/>
    <s v="CK 17"/>
    <s v="2020-04"/>
    <s v="단품불량"/>
    <s v="경고등 점등"/>
    <n v="90000"/>
    <n v="85000"/>
    <s v="≥60"/>
    <s v="≥60"/>
    <s v="C02"/>
    <s v="BELGIUM"/>
    <x v="0"/>
    <x v="1"/>
    <s v="컨버터"/>
    <s v="쎄타"/>
    <x v="0"/>
    <s v="2026년"/>
    <s v="1분기"/>
  </r>
  <r>
    <s v="기아"/>
    <s v="E"/>
    <s v="2026011WW"/>
    <s v="K"/>
    <s v="R151"/>
    <n v="66"/>
    <s v="2026/01"/>
    <s v="B28VACA3222532386-C"/>
    <s v="KNAE15LA8J6013210"/>
    <s v="W"/>
    <s v="J5"/>
    <s v="285302C910"/>
    <s v="CONVERTER ASSY-W/UP CATALYTIC"/>
    <s v="          "/>
    <s v="[D]CUSTOMER STATES CHECK ENGINE LIGHT IS ON CHECK AND ADVISE car sounded like it was struggling to hold an idle then later that day it stopped accelerating. kia of visalia attempted to fix it but the car is still struggling to stay idle inspect and report VEHICLE IN. VERIFIED CUSTOMER CONCERN THAT THE CHECK ENGINE LIGHT IS ON. PERFORMED FULL VEHICLE SYSTEM SCAN FOR DIAGNOSTIC TROUBLE CODES. P042000 CATALYST SYSTEM EFFICIENCY BELOW THRESHOLD (BANK 1). PERFORMED INSPECTION. OXYGEN SENSORS ARE GOOD AND CONNECTED. PERFORMED EXHAUST BACK PRESSURE TEST. FOUND THE THAT CATALYST CONVERTER HAS EXCESSIVE BACK PRESSURE. MEASURED 2.5 PSI AT IDLE. SPEC IS 1.2 PSI. RECOMMEND REPLACING CATALYST CONVERTER AND RETEST. REMOVED AND REPLACED CATALYST CONVERTER. CLEARED DIAGNOSTIC TROUBLE CODE. XT:XXT FOR SCAN TOOL-NO RQO ADD WITH THIS OPCODE"/>
    <s v="28530R4A"/>
    <s v="ZZ3"/>
    <s v="W17"/>
    <s v="2017/10/31"/>
    <s v="2025/12/09"/>
    <s v="2018/05/12"/>
    <n v="91"/>
    <n v="127168"/>
    <s v="            "/>
    <n v="100"/>
    <n v="18.18"/>
    <n v="18.18"/>
    <n v="483630"/>
    <n v="195838"/>
    <n v="0"/>
    <n v="679468"/>
    <s v="CK 17"/>
    <s v="2017-10"/>
    <s v="단품불량"/>
    <s v="경고등 점등"/>
    <s v="≥100000"/>
    <s v="≥100000"/>
    <s v="≥60"/>
    <s v="≥60"/>
    <s v="B28"/>
    <s v="U.S.A"/>
    <x v="0"/>
    <x v="1"/>
    <s v="컨버터"/>
    <s v="쎄타"/>
    <x v="0"/>
    <s v="2026년"/>
    <s v="1분기"/>
  </r>
  <r>
    <s v="기아"/>
    <s v="E"/>
    <s v="2026011WW"/>
    <s v="K"/>
    <s v="R151"/>
    <n v="67"/>
    <s v="2026/01"/>
    <s v="B28VACA3352509105-B"/>
    <s v="KNAE15LA6J6023203"/>
    <s v="W"/>
    <s v="J5"/>
    <s v="285302C910"/>
    <s v="CONVERTER ASSY-W/UP CATALYTIC"/>
    <s v="          "/>
    <s v="[D]c/s check engine light is on. tech verified concern, found multiple codes on p209700. tech inspected cat using borescope and found white residue in the cat showing signs of initial deterioration. dpsm approved cat replacement. tech replaced cat and test drove vehicle, verified now operating as designed."/>
    <s v="28530R1A"/>
    <s v="ZZ3"/>
    <s v="W11"/>
    <s v="2017/12/21"/>
    <s v="2025/12/17"/>
    <s v="2018/03/25"/>
    <n v="93"/>
    <n v="90091"/>
    <s v="            "/>
    <n v="100"/>
    <n v="18.18"/>
    <n v="18.18"/>
    <n v="482262"/>
    <n v="81720"/>
    <n v="0"/>
    <n v="563982"/>
    <s v="CK 17"/>
    <s v="2017-12"/>
    <s v="단품불량"/>
    <s v="경고등 점등"/>
    <n v="100000"/>
    <n v="95000"/>
    <s v="≥60"/>
    <s v="≥60"/>
    <s v="B28"/>
    <s v="U.S.A"/>
    <x v="0"/>
    <x v="1"/>
    <s v="컨버터"/>
    <s v="쎄타"/>
    <x v="0"/>
    <s v="2026년"/>
    <s v="1분기"/>
  </r>
  <r>
    <s v="기아"/>
    <s v="E"/>
    <s v="2026011WW"/>
    <s v="K"/>
    <s v="R151"/>
    <n v="68"/>
    <s v="2026/01"/>
    <s v="B28VANJ0662532687-7"/>
    <s v="KNAE15LA1J6034559"/>
    <s v="W"/>
    <s v="J5"/>
    <s v="285302C910"/>
    <s v="CONVERTER ASSY-W/UP CATALYTIC"/>
    <s v="          "/>
    <s v="[D]CUSTOMER STATES CHECK ENGINE LIGHT IS ON. TECH SCANNED VEHICLE AND FOUND CODE P0420 CATALYST SYSTEMEFFICIENCY BELOW THRESHOLD BANK 1 TECH DROPPED CAT DOWN AND FOUND CAT BROKEN UP INSIDE. TECH REPLACED CATALYST CASE ASSY WITH NECESSARY GASKETS, NORMAL OPERATION"/>
    <s v="28530R4A"/>
    <s v="ZZ3"/>
    <s v="I3A"/>
    <s v="2018/04/05"/>
    <s v="2025/10/16"/>
    <s v="2018/09/24"/>
    <n v="85"/>
    <n v="121099"/>
    <s v="            "/>
    <n v="100"/>
    <n v="18.18"/>
    <n v="18.18"/>
    <n v="482262"/>
    <n v="125771"/>
    <n v="0"/>
    <n v="608033"/>
    <s v="CK 17"/>
    <s v="2018-04"/>
    <s v="단품불량"/>
    <s v="경고등 점등"/>
    <s v="≥100000"/>
    <s v="≥100000"/>
    <s v="≥60"/>
    <s v="≥60"/>
    <s v="B28"/>
    <s v="U.S.A"/>
    <x v="0"/>
    <x v="1"/>
    <s v="컨버터"/>
    <s v="쎄타"/>
    <x v="0"/>
    <s v="2026년"/>
    <s v="1분기"/>
  </r>
  <r>
    <s v="기아"/>
    <s v="E"/>
    <s v="2026011WW"/>
    <s v="K"/>
    <s v="R151"/>
    <n v="69"/>
    <s v="2026/01"/>
    <s v="B28VANJ0662532687-N"/>
    <s v="KNAE15LA1J6034559"/>
    <s v="W"/>
    <s v="J5"/>
    <s v="285302C910"/>
    <s v="CONVERTER ASSY-W/UP CATALYTIC"/>
    <s v="          "/>
    <s v="[D]CUSTOMER STATES CHECK ENGINE LIGHT IS ON. TECH SCANNED VEHICLE AND FOUND CODE P0420 CATALYST SYSTEMEFFICIENCY BELOW THRESHOLD BANK 1 TECH DROPPED CAT DOWN AND FOUND CAT BROKEN UP INSIDE. TECH REPLACED CATALYST CASE ASSY WITH NECESSARY GASKETS, NORMAL OPERATION"/>
    <s v="28530RZZ"/>
    <s v="ZZ3"/>
    <s v="I3A"/>
    <s v="2018/04/05"/>
    <s v="2025/10/16"/>
    <s v="2018/09/24"/>
    <n v="85"/>
    <n v="121099"/>
    <s v="            "/>
    <n v="100"/>
    <n v="18.18"/>
    <n v="18.18"/>
    <n v="0"/>
    <n v="0"/>
    <n v="54610"/>
    <n v="54610"/>
    <s v="CK 17"/>
    <s v="2018-04"/>
    <s v="단품불량"/>
    <s v="경고등 점등"/>
    <s v="≥100000"/>
    <s v="≥100000"/>
    <s v="≥60"/>
    <s v="≥60"/>
    <s v="B28"/>
    <s v="U.S.A"/>
    <x v="0"/>
    <x v="1"/>
    <s v="컨버터"/>
    <s v="쎄타"/>
    <x v="0"/>
    <s v="2026년"/>
    <s v="1분기"/>
  </r>
  <r>
    <s v="기아"/>
    <s v="E"/>
    <s v="2026011WW"/>
    <s v="K"/>
    <s v="R151"/>
    <n v="70"/>
    <s v="2026/01"/>
    <s v="B28VAFL0562573478-A"/>
    <s v="KNAE25LA4J6040997"/>
    <s v="W"/>
    <s v="J5"/>
    <s v="285302C910"/>
    <s v="CONVERTER ASSY-W/UP CATALYTIC"/>
    <s v="          "/>
    <s v="[D]GUEST STATES CHECK ENGINE LIGHT IS ON WITH A CODE P2096 - DIAGNOSE DTCs P2096 Post Catalyst Fuel Trim System Too Lean, found catalytic converter causing DTC. catalytic converter efficiency deteriorated, 61058 check engine light on 28560R4A 3.00 DTCs P2096 Post Catalyst Fuel Trim System Too Lean, found catalytic converter causing DTC. catalytic converter efficiency deteriorated, removed and replace catalytic converter(labor op 28530R4A 3.0HRS). in attempt to replacing catalytic converter, mounting studs broken off inside turbo exhaust housing with no way to be removed. turbochager assembly needs to be replaced along with installing new studs for catalytic converterPWA# FL0562510760"/>
    <s v="28530R4A"/>
    <s v="ZZ3"/>
    <s v="I3A"/>
    <s v="2018/05/29"/>
    <s v="2025/12/11"/>
    <s v="2018/12/22"/>
    <n v="84"/>
    <n v="97693"/>
    <s v="            "/>
    <n v="100"/>
    <n v="18.18"/>
    <n v="18.18"/>
    <n v="483630"/>
    <n v="131920"/>
    <n v="0"/>
    <n v="615550"/>
    <s v="CK 17"/>
    <s v="2018-05"/>
    <s v="단품불량"/>
    <s v="경고등 점등"/>
    <n v="100000"/>
    <n v="100000"/>
    <s v="≥60"/>
    <s v="≥60"/>
    <s v="B28"/>
    <s v="U.S.A"/>
    <x v="0"/>
    <x v="1"/>
    <s v="컨버터"/>
    <s v="쎄타"/>
    <x v="0"/>
    <s v="2026년"/>
    <s v="1분기"/>
  </r>
  <r>
    <s v="기아"/>
    <s v="E"/>
    <s v="2026011WW"/>
    <s v="K"/>
    <s v="R151"/>
    <n v="71"/>
    <s v="2026/01"/>
    <s v="B28VANJ074253191000"/>
    <s v="KNDPRCA64L7751302"/>
    <s v="W"/>
    <s v="D9"/>
    <s v="285302GSH0"/>
    <s v="CONVERTER ASSY-W/UP CATALYTIC"/>
    <s v="          "/>
    <e v="#N/A"/>
    <s v="28530R1A"/>
    <s v="ZZ3"/>
    <s v="W17"/>
    <s v="2019/09/03"/>
    <s v="2025/12/16"/>
    <s v="2020/01/09"/>
    <n v="72"/>
    <n v="94530"/>
    <s v="            "/>
    <n v="100"/>
    <n v="18.18"/>
    <n v="18.18"/>
    <n v="224999"/>
    <n v="81603"/>
    <n v="0"/>
    <n v="306602"/>
    <s v="스포티지(후속) 16"/>
    <s v="2019-09"/>
    <s v="단품불량"/>
    <s v="경고등 점등"/>
    <n v="100000"/>
    <n v="95000"/>
    <s v="≥60"/>
    <s v="≥60"/>
    <s v="B28"/>
    <s v="U.S.A"/>
    <x v="0"/>
    <x v="1"/>
    <s v="컨버터"/>
    <s v="쎄타"/>
    <x v="0"/>
    <s v="2026년"/>
    <s v="1분기"/>
  </r>
  <r>
    <s v="기아"/>
    <s v="E"/>
    <s v="2026011WW"/>
    <s v="K"/>
    <s v="R151"/>
    <n v="72"/>
    <s v="2026/01"/>
    <s v="B28VAIL0162557485-2"/>
    <s v="KNDPRCA69L7801000"/>
    <s v="W"/>
    <s v="D9"/>
    <s v="285302GSH0"/>
    <s v="CONVERTER ASSY-W/UP CATALYTIC"/>
    <s v="          "/>
    <e v="#N/A"/>
    <s v="28511R1A"/>
    <s v="ZZ3"/>
    <s v="I3T"/>
    <s v="2020/01/03"/>
    <s v="2025/12/15"/>
    <s v="2020/06/22"/>
    <n v="66"/>
    <n v="109190"/>
    <s v="            "/>
    <n v="100"/>
    <n v="18.18"/>
    <n v="18.18"/>
    <n v="391110"/>
    <n v="203797"/>
    <n v="0"/>
    <n v="594907"/>
    <s v="스포티지(후속) 16"/>
    <s v="2020-01"/>
    <s v="단품불량"/>
    <s v="경고등 점등"/>
    <s v="≥100000"/>
    <s v="≥100000"/>
    <s v="≥60"/>
    <s v="≥60"/>
    <s v="B28"/>
    <s v="U.S.A"/>
    <x v="0"/>
    <x v="1"/>
    <s v="컨버터"/>
    <s v="쎄타"/>
    <x v="0"/>
    <s v="2026년"/>
    <s v="1분기"/>
  </r>
  <r>
    <s v="기아"/>
    <s v="E"/>
    <s v="2026011WW"/>
    <s v="K"/>
    <s v="R151"/>
    <n v="75"/>
    <s v="2026/01"/>
    <s v="D26VBTR162KM2001301"/>
    <s v="KNCSJX768R7764888"/>
    <s v="W"/>
    <s v="HD"/>
    <s v="286004E560"/>
    <s v="MUFFLER COMPLETE-CTR"/>
    <s v="          "/>
    <s v="[C]PARTİKÜL ARIZASI YANIYOR MOTOR ARIZA IŞIĞI YANIYOR [R]DPF ve contalarının değişimi yapıldı. Tanıtımları yapıldı. Sorun giderildi. [T]kds ile yapılan kontrollerde P200300 arızası tespit edildi. Arıza silindi. PM sensörü, üre enjektörü temizlendi. dpf doluluk oranına bakıldı 20,19 gr olduğu görüldü . KDS ile rejerenasyon yapıldı 4,27 gr düştüğü görüldü. Aynı arızayı tekrar verdiği. Arıza tekrarı olduğu tespit edildi. DPF iç arızas"/>
    <s v="28650R00"/>
    <s v="ZZ3"/>
    <s v="W11"/>
    <s v="2024/01/10"/>
    <s v="2025/12/17"/>
    <s v="2024/03/29"/>
    <n v="21"/>
    <n v="50608"/>
    <s v="            "/>
    <n v="100"/>
    <n v="18.18"/>
    <n v="18.18"/>
    <n v="169185"/>
    <n v="4306"/>
    <n v="0"/>
    <n v="173491"/>
    <s v="봉고3 1톤/1.4톤"/>
    <s v="2024-01"/>
    <s v="단품불량"/>
    <s v="경고등 점등"/>
    <n v="60000"/>
    <n v="55000"/>
    <n v="24"/>
    <n v="24"/>
    <s v="D26"/>
    <s v="TURKEY"/>
    <x v="1"/>
    <x v="1"/>
    <s v="컨버터"/>
    <s v="PU SDPF"/>
    <x v="6"/>
    <s v="2026년"/>
    <s v="1분기"/>
  </r>
  <r>
    <s v="기아"/>
    <s v="E"/>
    <s v="2026011WW"/>
    <s v="K"/>
    <s v="R151"/>
    <n v="76"/>
    <s v="2026/01"/>
    <s v="D26VBTR184KM2500012"/>
    <s v="KNCSJX763R7771313"/>
    <s v="W"/>
    <s v="HD"/>
    <s v="286004E560"/>
    <s v="MUFFLER COMPLETE-CTR"/>
    <s v="          "/>
    <s v="[C]MOTOR ARIZA LAMBASI YANDI KONTROL [R]ARACIN DPF DEGİŞTİ ARIZA GİDERİLDİ ESKİ LOT:10155 YENİ LOT:10236 [T]ARAÇ EKRANDA MOTOR ARIZA LAMBASI YANDI ŞİKAYETİ İLE GELDİ ARACA YAPILAN İNCELEME VE KONTROLLERDE KDS TEST CİHAZINDA P200300 ARIZA KODU VERİYORDU ARACIN TESİSAT KONTROLÜ YAPILDI DPF KURUM MİKTARI KONTROLÜ YAPILDI RJENALASYON İŞLEMİ YAPILDI ARACIN RJENALASYON YAPMADIGI GÖMÖRÜLDÜ ARACIN ARACIN PM SENS [L]NOT: BU ARAÇ 11.25.2025 TARİHİNDE AYNI ŞİKAYETTEN GELMİŞTİ ARACA AYNI İŞLEMLER YAPILDI TEST AMAÇLI TESLİM EDİLMİŞTİ 26.12.2025 İTİBARİYLE TEKRAR AYNI ŞİKAYETLE GELDİ [D]Claime susturucunun iç, dış ve lot numarası fotoğraflarını ekleyiniz."/>
    <s v="28650R00"/>
    <s v="ZZ2"/>
    <s v="B31"/>
    <s v="2024/02/01"/>
    <s v="2025/12/26"/>
    <s v="2024/04/30"/>
    <n v="20"/>
    <n v="87955"/>
    <s v="            "/>
    <n v="100"/>
    <n v="18.18"/>
    <n v="18.18"/>
    <n v="169185"/>
    <n v="4306"/>
    <n v="0"/>
    <n v="173491"/>
    <s v="봉고3 1톤/1.4톤"/>
    <s v="2024-02"/>
    <s v="파손"/>
    <s v="조립 불량"/>
    <n v="90000"/>
    <n v="90000"/>
    <n v="24"/>
    <n v="21"/>
    <s v="D26"/>
    <s v="TURKEY"/>
    <x v="1"/>
    <x v="1"/>
    <s v="컨버터"/>
    <s v="PU SDPF"/>
    <x v="6"/>
    <s v="2026년"/>
    <s v="1분기"/>
  </r>
  <r>
    <s v="기아"/>
    <s v="E"/>
    <s v="2026011WW"/>
    <s v="K"/>
    <s v="R151"/>
    <n v="77"/>
    <s v="2026/01"/>
    <s v="D26VBTR021KM2004106"/>
    <s v="KNCSJX767R7773078"/>
    <s v="W"/>
    <s v="HD"/>
    <s v="286004E560"/>
    <s v="MUFFLER COMPLETE-CTR"/>
    <s v="          "/>
    <s v="[C]ARIZA LAMBASI YANIYOR KONTROL [R]PARTİKÜL FİLTRESİNİN DEĞİŞİMİ SIRASINDA FİLTRE ÜZERİNDE BULUNAN ISI SENSÖRÜ SÖKÜLÜRKEN KAYNAMA YAPTIĞI GÖRÜLDÜ SENSÖR ZOR SÖKÜLDÜ İNCELEME SENSÖRÜN DİŞ KISIMLARININ SIYIRMA YAPTIĞI GÖRÜLDÜ TEKRAR TAKIMI MÜMKÜN DEĞİLDİR, SENSÖR VE PARTİKÜL FİLTRESİ DEĞİŞTİRİLDİ SORUN GİDERİLDİ [T]ARAÇ SERVİSİMİZE ARIZA LAMBASI YANIYOR ŞİKAYETİ İLE GELDİ KDS KONTROLLERİNDE ARACIN P200300 PARTİKÜL FİLTRESİ İÇ HASARI ARIZASI VERDİĞİ GÖRÜLDÜ ARACA REJENERASYON İŞLEMİ SAĞLANILDI VE TAKİBE ALINDI, ARAÇ 19.12.2025 TARİHİNDE TEKRAR ARIZA LAMBASI YANIYOR ŞİKAYETİ İLE GELDİ İNCELEMEDE P200300 PARTİKÜL [D]Claime DPF''in iç ve dış kısmının + lot numarasının fotoğrafı eklenmelidir"/>
    <s v="28650R00"/>
    <s v="ZZ3"/>
    <s v="W11"/>
    <s v="2024/02/07"/>
    <s v="2025/12/10"/>
    <s v="2024/05/31"/>
    <n v="19"/>
    <n v="25789"/>
    <s v="            "/>
    <n v="100"/>
    <n v="18.18"/>
    <n v="18.18"/>
    <n v="173676"/>
    <n v="4306"/>
    <n v="0"/>
    <n v="177982"/>
    <s v="봉고3 1톤/1.4톤"/>
    <s v="2024-02"/>
    <s v="단품불량"/>
    <s v="경고등 점등"/>
    <n v="30000"/>
    <n v="30000"/>
    <n v="24"/>
    <n v="21"/>
    <s v="D26"/>
    <s v="TURKEY"/>
    <x v="1"/>
    <x v="1"/>
    <s v="컨버터"/>
    <s v="PU SDPF"/>
    <x v="6"/>
    <s v="2026년"/>
    <s v="1분기"/>
  </r>
  <r>
    <s v="기아"/>
    <s v="E"/>
    <s v="2026011WW"/>
    <s v="K"/>
    <s v="R151"/>
    <n v="78"/>
    <s v="2026/01"/>
    <s v="D26VBTR162KM2001303"/>
    <s v="KNCSJX760R7780194"/>
    <s v="W"/>
    <s v="HD"/>
    <s v="286004E560"/>
    <s v="MUFFLER COMPLETE-CTR"/>
    <s v="          "/>
    <s v="[C]motor arıza lambası yanıyor araç beyaz duman atıyor [R]DPF ve contalarının değişimi yapıldı. Tanıtımları yapıldı. Sorun giderildi. [T]kds ile yapılan kontrollerde P200300 arızası tespit edildi. Arıza silindi. PM sensörü, üre enjektörü temizlendi. dpf doluluk oranına bakıldı 7,77 gr olduğu görüldü . KDS ile rejerenasyon yapıldı 0,00 gr düştüğü görüldü. Aynı arızayı tekrar verdiği. Arıza tekrarı olduğu tespit edildi. DPF iç arızası [D]Claime DPF''in iç ve dış kısmının + lot numarasının fotoğrafı eklenmelidir."/>
    <s v="28650R00"/>
    <s v="ZZ3"/>
    <s v="W11"/>
    <s v="2024/03/13"/>
    <s v="2025/12/22"/>
    <s v="2024/06/28"/>
    <n v="18"/>
    <n v="48876"/>
    <s v="            "/>
    <n v="100"/>
    <n v="18.18"/>
    <n v="18.18"/>
    <n v="169185"/>
    <n v="4306"/>
    <n v="0"/>
    <n v="173491"/>
    <s v="봉고3 1톤/1.4톤"/>
    <s v="2024-03"/>
    <s v="단품불량"/>
    <s v="경고등 점등"/>
    <n v="50000"/>
    <n v="50000"/>
    <n v="24"/>
    <n v="21"/>
    <s v="D26"/>
    <s v="TURKEY"/>
    <x v="1"/>
    <x v="1"/>
    <s v="컨버터"/>
    <s v="PU SDPF"/>
    <x v="6"/>
    <s v="2026년"/>
    <s v="1분기"/>
  </r>
  <r>
    <s v="기아"/>
    <s v="E"/>
    <s v="2026011WW"/>
    <s v="K"/>
    <s v="R151"/>
    <n v="79"/>
    <s v="2026/01"/>
    <s v="D26VBTR126KM2001081"/>
    <s v="KNCSJX768R7781545"/>
    <s v="W"/>
    <s v="HD"/>
    <s v="286004E560"/>
    <s v="MUFFLER COMPLETE-CTR"/>
    <s v="          "/>
    <s v="[C]MÜŞTERİ BEYANINA GÖRE ARACIN EGZOZ UYARIS LAMBASI YANIYOR MÜŞTERİ BEYANINA GÖRE ARACIN MOTOR ARIZA LAMBASI YANIYOR [R]DPF DEĞİŞİMİ GEREKMEKTEDİR.DPF DEĞİŞİM YAPILDI [T]YAPILAN KONTROLLERDE ARACIN ARIZA LAMBASININ YANDIĞI GÖRÜLDÜ.KDS İLE YAPILAN KONTROLLERDE P200300 ARIZA KODU GÖRÜLDÜ.ARACA REJENERASYON UYGULANDI ARAÇ TEST EDİLDİ FAKAT ARIZANIN DEVAM ETTİĞİ GÖRÜLDÜ.NOX VE PM SENSÖR TEMİZLİĞİ VE KONTROLLER YAPILDI SORUN GÖRÜLMEDİ.ARIZANIN DPF TEN KAYNAKLANDIĞI TESPİ [L]Parça lot numaralar eklenecektir. Kurum mikterı düzeltilmiştir. [D]Claime DFP lot + iç dış eklemeyi unutmayınız. KURUM ekran görüntüsü hatalı alınmış. Düzeltiniz."/>
    <s v="28650R00"/>
    <s v="ZZ3"/>
    <s v="B31"/>
    <s v="2024/03/19"/>
    <s v="2025/12/04"/>
    <s v="2024/07/06"/>
    <n v="17"/>
    <n v="10771"/>
    <s v="            "/>
    <n v="100"/>
    <n v="18.18"/>
    <n v="18.18"/>
    <n v="169185"/>
    <n v="4306"/>
    <n v="0"/>
    <n v="173491"/>
    <s v="봉고3 1톤/1.4톤"/>
    <s v="2024-03"/>
    <s v="단품불량"/>
    <s v="조립 불량"/>
    <n v="20000"/>
    <n v="15000"/>
    <n v="18"/>
    <n v="18"/>
    <s v="D26"/>
    <s v="TURKEY"/>
    <x v="1"/>
    <x v="1"/>
    <s v="컨버터"/>
    <s v="PU SDPF"/>
    <x v="6"/>
    <s v="2026년"/>
    <s v="1분기"/>
  </r>
  <r>
    <s v="기아"/>
    <s v="E"/>
    <s v="2026011WW"/>
    <s v="K"/>
    <s v="R151"/>
    <n v="80"/>
    <s v="2026/01"/>
    <s v="C11VC02253KM2000007"/>
    <s v="KNAB2518APT191364"/>
    <s v="W"/>
    <s v="G6"/>
    <s v="28600G6720"/>
    <s v="MUFFLER COMPLETE-CTR"/>
    <s v="          "/>
    <s v="[C]IL CLIENTE LAMENTA RUMORE METALLICO PROVENIENTE DALLA PARTE INFERIORE DELLA VETTURA DURANTE LA MARCIA E ACCENSIONE SPIA MOTORE [R]SI PROCEDE CON LO SMONTAGGIO E LA SOSTITUZIONE DEL CATALIZZATORE E DELLA MARMITTA TERMINALE E AQZZERAMENTO GUASTI. [T]DA CONTROLLO E RPOVA DELLA VETTURA SI RISCONTRA RUMORE METALLICO PROVIENTE DALLA PARTE INFERIORE DELLA VETTURA E SPIA MOTORE ACCESA. DOPO VERIFICA E CONTROLLO SI RISCONTRA CHE LA RUMOROSITA' PROVIENE DALL'INTERNO DEL CATALIZZATORE E DALLA PARTE TERMINALE DELLA MARMITTA. SI RISCONTRA IL DTC P042000 E [L]19/01/2026 ALLEGATO VIDEO DEL GUASTO E DTC"/>
    <s v="28650R00"/>
    <s v="ZZ4"/>
    <s v="Q55"/>
    <s v="2023/10/19"/>
    <s v="2025/09/26"/>
    <s v="2024/02/29"/>
    <n v="19"/>
    <n v="26023"/>
    <s v="            "/>
    <n v="100"/>
    <n v="18.18"/>
    <n v="18.18"/>
    <n v="35688"/>
    <n v="4937"/>
    <n v="0"/>
    <n v="40625"/>
    <s v="JA 17"/>
    <s v="2023-10"/>
    <s v="재질불량"/>
    <s v="소음"/>
    <n v="30000"/>
    <n v="30000"/>
    <n v="24"/>
    <n v="21"/>
    <s v="C11"/>
    <s v="ITALY"/>
    <x v="1"/>
    <x v="1"/>
    <s v="머플러"/>
    <m/>
    <x v="9"/>
    <s v="2026년"/>
    <s v="1분기"/>
  </r>
  <r>
    <s v="기아"/>
    <s v="E"/>
    <s v="2026011WW"/>
    <s v="K"/>
    <s v="R151"/>
    <n v="85"/>
    <s v="2026/01"/>
    <s v="B06VA620692583178A "/>
    <s v="KNDNB5H34N6062842"/>
    <s v="W"/>
    <s v="HS"/>
    <s v="28600R0120"/>
    <s v="MUFFLER COMPLETE-CTR"/>
    <s v="플랜지 누기"/>
    <s v="[C]CLIENTE MENTIONNE UNE PERTE D ECHAPPEMENT ENTRE LE GENERATEUR ET LE SOUFFLEUR ( DIAG FAIT DANS UN AUTRE GARAGE) [R]doit changer silencieux arriere et partie central c: correction Sorti estimé retirer la ligne d'echappement, nettoyer et remplacer les 2 parties avec des nouveaux gasket. essayer, ok [T]c: cause Constater fuite d'echappement, verifier flange casser parti ou le resonateur et le silencieux arriere pas etanche.c: cause Constater fuite d'echappement, verifier flange casser parti ou le resonateur et le silencieux arriere pas etanche."/>
    <s v="28650R00"/>
    <s v="ZZ3"/>
    <s v="Q55"/>
    <s v="2021/02/01"/>
    <s v="2025/12/11"/>
    <s v="2021/08/17"/>
    <n v="52"/>
    <n v="64171"/>
    <s v="            "/>
    <n v="100"/>
    <n v="18.18"/>
    <n v="18.18"/>
    <n v="86158"/>
    <n v="19807"/>
    <n v="0"/>
    <n v="105965"/>
    <s v="KA4 (YP 카니발 후속) 20"/>
    <s v="2021-02"/>
    <s v="단품불량"/>
    <s v="소음"/>
    <n v="70000"/>
    <n v="65000"/>
    <n v="54"/>
    <n v="54"/>
    <s v="B06"/>
    <s v="CANADA"/>
    <x v="1"/>
    <x v="1"/>
    <s v="머플러"/>
    <m/>
    <x v="3"/>
    <s v="2026년"/>
    <s v="1분기"/>
  </r>
  <r>
    <s v="기아"/>
    <s v="E"/>
    <s v="2026011WW"/>
    <s v="K"/>
    <s v="R151"/>
    <n v="86"/>
    <s v="2026/01"/>
    <s v="B06VA531122632072A "/>
    <s v="KNDNC5H32N6072816"/>
    <s v="W"/>
    <s v="HS"/>
    <s v="28600R0120"/>
    <s v="MUFFLER COMPLETE-CTR"/>
    <s v="플랜지 누기"/>
    <s v="[C]DURING SAFETY INSPECTION FOUND EXHAUST FLANGE CRACKED ** SOP PARTS HERE AS PER TECH 113 INSP ON PREV RO ** [R]REMOVED THE OLD CENTER PIPE AND INSTALLED NEW PIPE WITH GASKETS AND TESTED OK [T]EXHAUST FLANGE CRACKED AND LEAKING"/>
    <s v="28650R00"/>
    <s v="ZZ3"/>
    <s v="A32"/>
    <s v="2021/03/02"/>
    <s v="2026/01/26"/>
    <s v="2021/05/24"/>
    <n v="57"/>
    <n v="75023"/>
    <s v="            "/>
    <n v="100"/>
    <n v="18.18"/>
    <n v="18.18"/>
    <n v="77297"/>
    <n v="10289"/>
    <n v="0"/>
    <n v="87586"/>
    <s v="KA4 (YP 카니발 후속) 20"/>
    <s v="2021-03"/>
    <s v="단품불량"/>
    <s v="외관 불량"/>
    <n v="80000"/>
    <n v="80000"/>
    <n v="60"/>
    <n v="60"/>
    <s v="B06"/>
    <s v="CANADA"/>
    <x v="1"/>
    <x v="1"/>
    <s v="머플러"/>
    <m/>
    <x v="3"/>
    <s v="2026년"/>
    <s v="1분기"/>
  </r>
  <r>
    <s v="기아"/>
    <s v="E"/>
    <s v="2026011WW"/>
    <s v="K"/>
    <s v="R151"/>
    <n v="87"/>
    <s v="2026/01"/>
    <s v="B28VAIN0332690511-A"/>
    <s v="KNDCR3LE6P5115856"/>
    <s v="W"/>
    <s v="0T"/>
    <s v="28601AT600"/>
    <s v="MUFFLER COMPLETE-CTR &amp; SENSOR"/>
    <s v="          "/>
    <s v="[D]CONDITION: REPLACE SOP PARTS FOR COOLANT LEAK CORRECTION: COOLANT LEAK 28673R1H TECH REPLACED COOLANT HEATER MUFFLER PER TECH 2354, TECH PRESSURE TESTED SYSTEM AND NO LEAK FOUND AFTER REPAIR CUSTOMERSTATES CHECK FOR COOLANT LEAK TECH FOUND COOLANT LEAKING FROM EXHUAST ASSY TECH REMOVED AND REPLACED EXHUAST ASSY DUE TO COOLANT LEAK, TECH PRESSURE TESTED AFTERWARD AND FOUND LEAK IS RESOLVED"/>
    <s v="28673R1H"/>
    <s v="ZZ3"/>
    <s v="L33"/>
    <s v="2023/06/22"/>
    <s v="2026/01/02"/>
    <s v="2023/09/02"/>
    <n v="29"/>
    <n v="67467"/>
    <s v="            "/>
    <n v="100"/>
    <n v="18.18"/>
    <n v="18.18"/>
    <n v="64140"/>
    <n v="44181"/>
    <n v="0"/>
    <n v="108321"/>
    <s v="SG2 (니로 후속) 21"/>
    <s v="2023-06"/>
    <s v="단품불량"/>
    <s v="냉각수 문제"/>
    <n v="70000"/>
    <n v="70000"/>
    <n v="30"/>
    <n v="30"/>
    <s v="B28"/>
    <s v="U.S.A"/>
    <x v="2"/>
    <x v="1"/>
    <s v="머플러"/>
    <m/>
    <x v="4"/>
    <s v="2026년"/>
    <s v="1분기"/>
  </r>
  <r>
    <s v="기아"/>
    <s v="E"/>
    <s v="2026011WW"/>
    <s v="K"/>
    <s v="R151"/>
    <n v="88"/>
    <s v="2026/01"/>
    <s v="B28VAKS019252156003"/>
    <s v="KNDCT3LE6R5128028"/>
    <s v="W"/>
    <s v="0T"/>
    <s v="28601AT600"/>
    <s v="MUFFLER COMPLETE-CTR &amp; SENSOR"/>
    <s v="          "/>
    <s v="[D]CONDITION: customer states that about a month ago had to add coolant and for a few months has smelled a sweet smell like coolant burning check and adivse vehicle has not overheated CAUSE: Found cooling system to be leaking coolant internally in exhaust heater CORRECTION: Drain coolant remove midpipe and replace cat and heater assembly. Bleed cooling system and test drive. .25467R1H 1.9"/>
    <s v="25467R1H"/>
    <s v="ZZ3"/>
    <s v="I11"/>
    <s v="2023/08/17"/>
    <s v="2025/12/16"/>
    <s v="2023/11/30"/>
    <n v="25"/>
    <n v="33712"/>
    <s v="            "/>
    <n v="100"/>
    <n v="18.18"/>
    <n v="18.18"/>
    <n v="62763"/>
    <n v="84633"/>
    <n v="0"/>
    <n v="147396"/>
    <s v="SG2 (니로 후속) 21"/>
    <s v="2023-08"/>
    <s v="단품불량"/>
    <s v="작동불량"/>
    <n v="40000"/>
    <n v="35000"/>
    <n v="30"/>
    <n v="27"/>
    <s v="B28"/>
    <s v="U.S.A"/>
    <x v="2"/>
    <x v="1"/>
    <s v="머플러"/>
    <m/>
    <x v="4"/>
    <s v="2026년"/>
    <s v="1분기"/>
  </r>
  <r>
    <s v="기아"/>
    <s v="E"/>
    <s v="2026011WW"/>
    <s v="K"/>
    <s v="R151"/>
    <n v="89"/>
    <s v="2026/01"/>
    <s v="B06VA611352626515A "/>
    <s v="KNDCR3LE6R5152022"/>
    <s v="W"/>
    <s v="0T"/>
    <s v="28601AT600"/>
    <s v="MUFFLER COMPLETE-CTR &amp; SENSOR"/>
    <s v="          "/>
    <s v="[C]verification CLIENTE MENTIONNE QUE LIQUIDE ROSE EST MOINS QUE LA MOITIÉ [R]retirer undercover vider systeme anti gel remplacer exgauste heater remonter le tout rempli et bleeder sytrem antigel [T]verification liquide rose ( antigel ) niveau bas inspection fuites aucune fuite trouve remplissage au niveau inspection remarque legere fumee rose proche du recuperateur de la chaleur des gaz d'echappement le recuperateur de chaleur des gaz d'echappement est a remplacer car il brule l'antigel a caus"/>
    <s v="28607R00"/>
    <s v="ZZ3"/>
    <s v="B33"/>
    <s v="2023/11/21"/>
    <s v="2026/01/19"/>
    <s v="2024/01/31"/>
    <n v="24"/>
    <n v="37626"/>
    <s v="            "/>
    <n v="100"/>
    <n v="18.18"/>
    <n v="18.18"/>
    <n v="48279"/>
    <n v="20710"/>
    <n v="0"/>
    <n v="68989"/>
    <s v="SG2 (니로 후속) 21"/>
    <s v="2023-11"/>
    <s v="단품불량"/>
    <s v="누기"/>
    <n v="40000"/>
    <n v="40000"/>
    <n v="30"/>
    <n v="27"/>
    <s v="B06"/>
    <s v="CANADA"/>
    <x v="2"/>
    <x v="1"/>
    <s v="머플러"/>
    <m/>
    <x v="4"/>
    <s v="2026년"/>
    <s v="1분기"/>
  </r>
  <r>
    <s v="기아"/>
    <s v="E"/>
    <s v="2026011WW"/>
    <s v="K"/>
    <s v="R151"/>
    <n v="90"/>
    <s v="2026/01"/>
    <s v="B28VACA3362524434-2"/>
    <s v="KNDCR3LE9S5223252"/>
    <s v="W"/>
    <s v="0T"/>
    <s v="28601AT600"/>
    <s v="MUFFLER COMPLETE-CTR &amp; SENSOR"/>
    <s v="          "/>
    <s v="[D]CONDITION: found the EHRS exhaust heat recovery system found leaking in too exhaust for correction well need to be replaced CAUSE: upon inspection confirmed low coolant in reservoir check all hoses for leaks no leaks found CORRECTION: CUSTOMER STATES COOLANT IS LOW CHECK AND ADVISE EHRS 28672R1HEHRS Hose &amp; Tube Assy (HEV) R&amp;R1.10.performed replacementand topped off coolant to proper spec levels"/>
    <s v="28672R1H"/>
    <s v="ZZ3"/>
    <s v="I3N"/>
    <s v="2024/08/20"/>
    <s v="2025/12/17"/>
    <s v="2024/11/10"/>
    <n v="14"/>
    <n v="25918"/>
    <s v="            "/>
    <n v="100"/>
    <n v="18.18"/>
    <n v="18.18"/>
    <n v="62763"/>
    <n v="67861"/>
    <n v="0"/>
    <n v="130624"/>
    <s v="SG2 (니로 후속) 21"/>
    <s v="2024-08"/>
    <s v="단품불량"/>
    <s v="경고등 점등"/>
    <n v="30000"/>
    <n v="30000"/>
    <n v="18"/>
    <n v="15"/>
    <s v="B28"/>
    <s v="U.S.A"/>
    <x v="2"/>
    <x v="1"/>
    <s v="머플러"/>
    <m/>
    <x v="4"/>
    <s v="2026년"/>
    <s v="1분기"/>
  </r>
  <r>
    <s v="기아"/>
    <s v="E"/>
    <s v="2026011WW"/>
    <s v="K"/>
    <s v="R151"/>
    <n v="91"/>
    <s v="2026/01"/>
    <s v="B28VACA3362524434-N"/>
    <s v="KNDCR3LE9S5223252"/>
    <s v="W"/>
    <s v="0T"/>
    <s v="28601AT600"/>
    <s v="MUFFLER COMPLETE-CTR &amp; SENSOR"/>
    <s v="          "/>
    <s v="[D]CONDITION: found the EHRS exhaust heat recovery system found leaking in too exhaust for correction well need to be replaced CAUSE: upon inspection confirmed low coolant in reservoir check all hoses for leaks no leaks found CORRECTION: CUSTOMER STATES COOLANT IS LOW CHECK AND ADVISE EHRS 28672R1HEHRS Hose &amp; Tube Assy (HEV) R&amp;R1.10.performed replacementand topped off coolant to proper spec levels"/>
    <s v="28672RZZ"/>
    <s v="ZZ3"/>
    <s v="I3N"/>
    <s v="2024/08/20"/>
    <s v="2025/12/17"/>
    <s v="2024/11/10"/>
    <n v="14"/>
    <n v="25918"/>
    <s v="            "/>
    <n v="100"/>
    <n v="18.18"/>
    <n v="18.18"/>
    <n v="0"/>
    <n v="0"/>
    <n v="81720"/>
    <n v="81720"/>
    <s v="SG2 (니로 후속) 21"/>
    <s v="2024-08"/>
    <s v="단품불량"/>
    <s v="경고등 점등"/>
    <n v="30000"/>
    <n v="30000"/>
    <n v="18"/>
    <n v="15"/>
    <s v="B28"/>
    <s v="U.S.A"/>
    <x v="2"/>
    <x v="1"/>
    <s v="머플러"/>
    <m/>
    <x v="4"/>
    <s v="2026년"/>
    <s v="1분기"/>
  </r>
  <r>
    <s v="기아"/>
    <s v="E"/>
    <s v="2026011WW"/>
    <s v="K"/>
    <s v="R151"/>
    <n v="92"/>
    <s v="2026/01"/>
    <s v="B28VAAZ0012503694-N"/>
    <s v="KNDCR3LE2S5260501"/>
    <s v="W"/>
    <s v="0T"/>
    <s v="28601AT600"/>
    <s v="MUFFLER COMPLETE-CTR &amp; SENSOR"/>
    <s v="          "/>
    <s v="[D]CONDITION: CUSTOMER STATES ENGINE COOLANT LEVEL KEEPS DROPPING AFTER EVERY DRIVE. NO SIGNS OF LEAKAGE ANYWHERE. YOU CAN SMELL BURNING COOLANT AFTER DRIVING. CUSTOMER WAS HERE 11/5/25, REFER TO RO 4302716, WE DID A PRESSURE TEST FOR 15 MINUTES AND FOUND NO LEAKS. CHE CAUSE: mechanical failure- FOUNDCOOLANT LEAKAGE FROM EXHAUST HEAT RECOVERY SYSTEM PIPE CORRECTION: VERIFIED CUST CONCERN FOUND COOLANT LEVEL LOW. PERFORM PRESSURE TEST OVERNIGHT AND FOUND PRESSURE TO STAY AT 14PSI. REMOVE SPARK PLUGS AND INSPECT CYLINDERS FOR LEAKAGE AND FOUND NONE. REMOVE EXHAUST PIPE AND FOUND DRIED COOLANT PRESENT FROM THE EHRS. REMOVE AND REPLACE EXHAUST HEATER 25467R1H 1.9"/>
    <s v="25467RZZ"/>
    <s v="ZZ3"/>
    <s v="L31"/>
    <s v="2024/12/30"/>
    <s v="2025/11/20"/>
    <s v="2025/04/24"/>
    <n v="7"/>
    <n v="10462"/>
    <s v="            "/>
    <n v="100"/>
    <n v="18.18"/>
    <n v="18.18"/>
    <n v="0"/>
    <n v="0"/>
    <n v="40471"/>
    <n v="40471"/>
    <s v="SG2 (니로 후속) 21"/>
    <s v="2024-12"/>
    <s v="단품불량"/>
    <s v="냉각수 문제"/>
    <n v="20000"/>
    <n v="15000"/>
    <n v="12"/>
    <n v="9"/>
    <s v="B28"/>
    <s v="U.S.A"/>
    <x v="2"/>
    <x v="1"/>
    <s v="머플러"/>
    <m/>
    <x v="4"/>
    <s v="2026년"/>
    <s v="1분기"/>
  </r>
  <r>
    <s v="기아"/>
    <s v="E"/>
    <s v="2026011WW"/>
    <s v="K"/>
    <s v="R151"/>
    <n v="93"/>
    <s v="2026/01"/>
    <s v="B28VAAZ0012503694-A"/>
    <s v="KNDCR3LE2S5260501"/>
    <s v="W"/>
    <s v="0T"/>
    <s v="28601AT600"/>
    <s v="MUFFLER COMPLETE-CTR &amp; SENSOR"/>
    <s v="          "/>
    <s v="[D]CONDITION: CUSTOMER STATES ENGINE COOLANT LEVEL KEEPS DROPPING AFTER EVERY DRIVE. NO SIGNS OF LEAKAGE ANYWHERE. YOU CAN SMELL BURNING COOLANT AFTER DRIVING. CUSTOMER WAS HERE 11/5/25, REFER TO RO 4302716, WE DID A PRESSURE TEST FOR 15 MINUTES AND FOUND NO LEAKS. CHE CAUSE: mechanical failure- FOUNDCOOLANT LEAKAGE FROM EXHAUST HEAT RECOVERY SYSTEM PIPE CORRECTION: VERIFIED CUST CONCERN FOUND COOLANT LEVEL LOW. PERFORM PRESSURE TEST OVERNIGHT AND FOUND PRESSURE TO STAY AT 14PSI. REMOVE SPARK PLUGS AND INSPECT CYLINDERS FOR LEAKAGE AND FOUND NONE. REMOVE EXHAUST PIPE AND FOUND DRIED COOLANT PRESENT FROM THE EHRS. REMOVE AND REPLACE EXHAUST HEATER 25467R1H 1.9"/>
    <s v="25467R1H"/>
    <s v="ZZ3"/>
    <s v="L31"/>
    <s v="2024/12/30"/>
    <s v="2025/11/20"/>
    <s v="2025/04/24"/>
    <n v="7"/>
    <n v="10462"/>
    <s v="            "/>
    <n v="100"/>
    <n v="18.18"/>
    <n v="18.18"/>
    <n v="60257"/>
    <n v="80542"/>
    <n v="0"/>
    <n v="140799"/>
    <s v="SG2 (니로 후속) 21"/>
    <s v="2024-12"/>
    <s v="단품불량"/>
    <s v="냉각수 문제"/>
    <n v="20000"/>
    <n v="15000"/>
    <n v="12"/>
    <n v="9"/>
    <s v="B28"/>
    <s v="U.S.A"/>
    <x v="2"/>
    <x v="1"/>
    <s v="머플러"/>
    <m/>
    <x v="4"/>
    <s v="2026년"/>
    <s v="1분기"/>
  </r>
  <r>
    <s v="기아"/>
    <s v="E"/>
    <s v="2026011WW"/>
    <s v="K"/>
    <s v="R151"/>
    <n v="94"/>
    <s v="2026/01"/>
    <s v="C07VA2644AKM2000074"/>
    <s v="KNARH81BHP5187105"/>
    <s v="W"/>
    <s v="GZ"/>
    <s v="28607P2580"/>
    <s v="MUFFLER COMPLETE-CHMBR &amp; CONV"/>
    <s v="          "/>
    <s v="[C]Auto ruckelt beim Fahren [R]Katalysatoreinheit laut WHB ersetzt [T]Fehlerspeicher ausgelesen, KAT ausgebaut und geprüft Kat hat ein Loch"/>
    <s v="28620R00"/>
    <s v="ZZ4"/>
    <s v="DK4"/>
    <s v="2022/10/20"/>
    <s v="2026/01/09"/>
    <s v="2023/01/26"/>
    <n v="36"/>
    <n v="74013"/>
    <s v="            "/>
    <n v="100"/>
    <n v="18.18"/>
    <n v="18.18"/>
    <n v="94052"/>
    <n v="18925"/>
    <n v="0"/>
    <n v="112977"/>
    <s v="MQ4 20"/>
    <s v="2022-10"/>
    <s v="재질불량"/>
    <s v="엔진 출력부족"/>
    <n v="80000"/>
    <n v="75000"/>
    <n v="42"/>
    <n v="39"/>
    <s v="C07"/>
    <s v="GERMANY"/>
    <x v="3"/>
    <x v="1"/>
    <s v="컨버터"/>
    <s v="MQ4 DPF"/>
    <x v="5"/>
    <s v="2026년"/>
    <s v="1분기"/>
  </r>
  <r>
    <s v="기아"/>
    <s v="E"/>
    <s v="2026011WW"/>
    <s v="K"/>
    <s v="R151"/>
    <n v="96"/>
    <s v="2026/01"/>
    <s v="B22VB00000AU-300624"/>
    <s v="KNAB2512ATT337923"/>
    <s v="W"/>
    <s v="G6"/>
    <s v="28610G6BA0"/>
    <s v="MUFFLER ASSY-FR"/>
    <s v="          "/>
    <s v="[C]Cliente reporta que siente una vibración debajo de la carroceria . [R]Cambio de mofle . [T]Se procede revisar encontrando que la carroceria presenta degaste prematuro ."/>
    <s v="28610R00"/>
    <s v="ZZ2"/>
    <s v="V96"/>
    <s v="2024/12/10"/>
    <s v="2026/01/07"/>
    <s v="2025/03/25"/>
    <n v="10"/>
    <n v="11132"/>
    <s v="            "/>
    <n v="100"/>
    <n v="18.18"/>
    <n v="18.18"/>
    <n v="13842"/>
    <n v="3341"/>
    <n v="0"/>
    <n v="17183"/>
    <s v="JA 17"/>
    <s v="2024-12"/>
    <s v="파손"/>
    <s v="떨림"/>
    <n v="20000"/>
    <n v="15000"/>
    <n v="12"/>
    <n v="12"/>
    <s v="B22"/>
    <s v="PANAMA"/>
    <x v="4"/>
    <x v="1"/>
    <s v="머플러"/>
    <m/>
    <x v="9"/>
    <s v="2026년"/>
    <s v="1분기"/>
  </r>
  <r>
    <s v="기아"/>
    <s v="E"/>
    <s v="2026011WW"/>
    <s v="K"/>
    <s v="R151"/>
    <n v="106"/>
    <s v="2026/01"/>
    <s v="A06VBA06VBA06B26A32"/>
    <s v="KNANC81BBP6389033"/>
    <s v="W"/>
    <s v="HS"/>
    <s v="28650R0540"/>
    <s v="MUFFLER ASSY-CTR"/>
    <s v="소음"/>
    <s v="[C]Check on Muffler when driving had loud noise from that [R]need to replace new muffler center assy. [T]verified customer concern, performed KDS scan and no fault code found, and then starting engine to found out the sound from and we heard a loud noise inside muffler center, we remove the muffler center out and we also testing more noise from exhaust, it was no noise at all. Assumed that noise from M"/>
    <s v="28650R00"/>
    <s v="ZZ4"/>
    <s v="Q55"/>
    <s v="2023/09/21"/>
    <s v="2026/01/19"/>
    <s v="2023/12/30"/>
    <n v="25"/>
    <n v="31322"/>
    <s v="            "/>
    <n v="100"/>
    <n v="18.18"/>
    <n v="18.18"/>
    <n v="31068"/>
    <n v="623"/>
    <n v="0"/>
    <n v="31691"/>
    <s v="KA4 (YP 카니발 후속) 20"/>
    <s v="2023-09"/>
    <s v="재질불량"/>
    <s v="소음"/>
    <n v="40000"/>
    <n v="35000"/>
    <n v="30"/>
    <n v="27"/>
    <s v="A06"/>
    <s v="CAMBODIA"/>
    <x v="1"/>
    <x v="1"/>
    <s v="머플러"/>
    <m/>
    <x v="3"/>
    <s v="2026년"/>
    <s v="1분기"/>
  </r>
  <r>
    <s v="기아"/>
    <s v="E"/>
    <s v="2026011WW"/>
    <s v="K"/>
    <s v="R151"/>
    <n v="107"/>
    <s v="2026/01"/>
    <s v="B13VA00000361755000"/>
    <s v="KNCWJX72AS7781937"/>
    <s v="W"/>
    <s v="HD"/>
    <s v="287004E960"/>
    <s v="MUFFLER ASSY-MAIN"/>
    <s v="          "/>
    <e v="#N/A"/>
    <s v="28650R00"/>
    <s v="ZZ3"/>
    <s v="Q57"/>
    <s v="2024/03/20"/>
    <s v="2025/12/09"/>
    <s v="2024/05/30"/>
    <n v="19"/>
    <n v="46290"/>
    <s v="            "/>
    <n v="100"/>
    <n v="18.18"/>
    <n v="18.18"/>
    <n v="11213"/>
    <n v="2498"/>
    <n v="0"/>
    <n v="13711"/>
    <s v="봉고3 1톤/1.4톤"/>
    <s v="2024-03"/>
    <s v="단품불량"/>
    <s v="소음"/>
    <n v="50000"/>
    <n v="50000"/>
    <n v="24"/>
    <n v="21"/>
    <s v="B13"/>
    <s v="EL SALVADOR"/>
    <x v="5"/>
    <x v="1"/>
    <s v="머플러"/>
    <m/>
    <x v="6"/>
    <s v="2026년"/>
    <s v="1분기"/>
  </r>
  <r>
    <s v="기아"/>
    <s v="E"/>
    <s v="2026011WW"/>
    <s v="K"/>
    <s v="R151"/>
    <n v="108"/>
    <s v="2026/01"/>
    <s v="B28VAUT0132617895-1"/>
    <s v="KNDCR3LE8P5061475"/>
    <s v="W"/>
    <s v="0T"/>
    <s v="28710AT100"/>
    <s v="MUFFLER ASSY-RR"/>
    <s v="          "/>
    <s v="[D]C/S MUFFLER PART IS IN P ER SWASEY. WE DIAGNOSED LAST RO. Customer stated that there was a leak coming from the muffler of the vehicle. Verified customer concern of a leak coming from the mufflerTECH INSEPCTED REAR MUFFLER AND VERIFIED CUSTOMER CONCERN OF THE LEAK IN REAR MUFFLER LEAKING ON DRIVER SIDE CREASE, RECOMMEND ERPLACING MUFFLER. TECH REMOVED AND REPLACED MUFFLER AND GASKET."/>
    <s v="28700R00"/>
    <s v="ZZ7"/>
    <s v="B21"/>
    <s v="2022/10/31"/>
    <s v="2026/01/06"/>
    <s v="2022/12/30"/>
    <n v="37"/>
    <n v="75699"/>
    <s v="            "/>
    <n v="100"/>
    <n v="18.18"/>
    <n v="18.18"/>
    <n v="30995"/>
    <n v="13363"/>
    <n v="0"/>
    <n v="44358"/>
    <s v="SG2 (니로 후속) 21"/>
    <s v="2022-10"/>
    <s v="조립불량,연결불량"/>
    <s v="누기"/>
    <n v="80000"/>
    <n v="80000"/>
    <n v="42"/>
    <n v="39"/>
    <s v="B28"/>
    <s v="U.S.A"/>
    <x v="5"/>
    <x v="1"/>
    <s v="머플러"/>
    <m/>
    <x v="4"/>
    <s v="2026년"/>
    <s v="1분기"/>
  </r>
  <r>
    <s v="기아"/>
    <s v="E"/>
    <s v="2026011WW"/>
    <s v="K"/>
    <s v="R151"/>
    <n v="109"/>
    <s v="2026/01"/>
    <s v="B18VA00003CH-659000"/>
    <s v="KNCWJX72AS7797878"/>
    <s v="W"/>
    <s v="HD"/>
    <s v="287504E960"/>
    <s v="MUFFLER ASSY-TAIL"/>
    <s v="          "/>
    <s v="[C]Customer reported an abnormal noise coming from the underbody. [R]Replace the part. [T]Technician verified that the exhaust tail pipe was broken."/>
    <s v="40700R00"/>
    <s v="ZZ2"/>
    <s v="Q57"/>
    <s v="2024/05/24"/>
    <s v="2026/01/05"/>
    <s v="2024/11/28"/>
    <n v="14"/>
    <n v="50478"/>
    <s v="            "/>
    <n v="100"/>
    <n v="18.18"/>
    <n v="18.18"/>
    <n v="7398"/>
    <n v="644"/>
    <n v="0"/>
    <n v="8042"/>
    <s v="봉고3 1톤/1.4톤"/>
    <s v="2024-05"/>
    <s v="파손"/>
    <s v="소음"/>
    <n v="60000"/>
    <n v="55000"/>
    <n v="18"/>
    <n v="15"/>
    <s v="B18"/>
    <s v="HONDURAS"/>
    <x v="6"/>
    <x v="1"/>
    <s v="머플러"/>
    <m/>
    <x v="6"/>
    <s v="2026년"/>
    <s v="1분기"/>
  </r>
  <r>
    <s v="기아"/>
    <s v="E"/>
    <s v="2026011WW"/>
    <s v="K"/>
    <s v="R151"/>
    <n v="110"/>
    <s v="2026/01"/>
    <s v="C06VAFR063KM2001133"/>
    <s v="KNACR81FGP5061626"/>
    <s v="W"/>
    <s v="0T"/>
    <s v="289G008020"/>
    <s v="CONVERTER ASSY-GPF"/>
    <s v="          "/>
    <s v="[C]VOYANT MOTEUR QUI REVIENT LA VOITURE NE SE MET JAMAIS EN ÉLECTRIQUE ALORS QU ELLE A ÉTÉ CHARGER TOUTE LA NUIT BRUIT DE FROTTEMENT A L AVANT SUR LE PASSAGE DES DODANNES OU ROUTES ABIMÉES [R]DEMANDE D ACCORD [T]PASSAGE AU TESTEUR DEFAUT P20800 SONDE DEJA REMPLACÉE CONTROLE TESTEUR SONDE AV 1.5V AR 1.5 V OK CONTROLE DONNEES COURANTES SONDE AV 584°C AR 360°C FAP BOUCHER PRÉVOIR LE REMPLACEMENT [D]19/12 Bonjour, demande approuvée, cdt AP 15/12 Bonjour veuillez joindre l''OR en PJ, cdt AP"/>
    <s v="28950R00"/>
    <s v="ZZ3"/>
    <s v="I51"/>
    <s v="2022/10/31"/>
    <s v="2025/12/09"/>
    <s v="2023/05/10"/>
    <n v="31"/>
    <n v="42047"/>
    <s v="            "/>
    <n v="100"/>
    <n v="18.18"/>
    <n v="18.18"/>
    <n v="52475"/>
    <n v="44549"/>
    <n v="0"/>
    <n v="97024"/>
    <s v="SG2 (니로 후속) 21"/>
    <s v="2022-10"/>
    <s v="단품불량"/>
    <s v="막힘"/>
    <n v="50000"/>
    <n v="45000"/>
    <n v="36"/>
    <n v="33"/>
    <s v="C06"/>
    <s v="FRANCE"/>
    <x v="9"/>
    <x v="1"/>
    <s v="컨버터"/>
    <s v="카파UCC"/>
    <x v="14"/>
    <s v="2026년"/>
    <s v="1분기"/>
  </r>
  <r>
    <s v="기아"/>
    <s v="E"/>
    <s v="2026011WW"/>
    <s v="K"/>
    <s v="R151"/>
    <n v="111"/>
    <s v="2026/01"/>
    <s v="C17VC00159KM2600009"/>
    <s v="KNACR81EGR5110122"/>
    <s v="W"/>
    <s v="0T"/>
    <s v="289G008020"/>
    <s v="CONVERTER ASSY-GPF"/>
    <s v="          "/>
    <s v="[C]CLIENTE INDICA PILOTO AVERÍA MOTOR ENCENDIDO FIJO EN CUADRO [R]SUSTITUIR 2º CATALIZADOR Y COMPROBAR EL BUEN FUNCIONAMIENTO, OK. [T]DTC: P040100 SE DETECTÓ FLUJO INSUFICIENTE EGR ''A''. SE COMPRUEBA FUNCIONAMIENTO DE EGR, OK. SE DESMONTA ENFRIADOR EGR PARA VER SI ESTÁ CIEGO; NO ESTA CIEGO. SE DESMONTAN LOS DOS CATALIZADORES PARA VER ALGÚN DAÑO. SE VE EN CATALIZADOR 2º QUE HAY TROZOS EN FORMA DE POLVO DE MATERIAL CATALITICO. HAY"/>
    <s v="28416R00"/>
    <s v="ZZ3"/>
    <s v="W17"/>
    <s v="2023/05/26"/>
    <s v="2025/12/09"/>
    <s v="2023/10/27"/>
    <n v="26"/>
    <n v="41762"/>
    <s v="            "/>
    <n v="100"/>
    <n v="18.18"/>
    <n v="18.18"/>
    <n v="50641"/>
    <n v="51979"/>
    <n v="0"/>
    <n v="102620"/>
    <s v="SG2 (니로 후속) 21"/>
    <s v="2023-05"/>
    <s v="단품불량"/>
    <s v="경고등 점등"/>
    <n v="50000"/>
    <n v="45000"/>
    <n v="30"/>
    <n v="27"/>
    <s v="C17"/>
    <s v="SPAIN"/>
    <x v="9"/>
    <x v="1"/>
    <s v="컨버터"/>
    <s v="카파UCC"/>
    <x v="14"/>
    <s v="2026년"/>
    <s v="1분기"/>
  </r>
  <r>
    <s v="기아"/>
    <s v="E"/>
    <s v="2026011WW"/>
    <s v="K"/>
    <s v="R151"/>
    <n v="112"/>
    <s v="2026/01"/>
    <s v="C06VAFR144KM2000004"/>
    <s v="KNACR81EGS5252211"/>
    <s v="W"/>
    <s v="0T"/>
    <s v="289G008020"/>
    <s v="CONVERTER ASSY-GPF"/>
    <s v="          "/>
    <s v="[C]LE VOYANT MOTEUR EST ALLUME SUR MON VEHICULE [R]CATA + FAP + JOINT A REMPLACER REMPLACEMENT CATA + FAP EFFACEMENT DEFAUT REINITIALISATION VALEUR ESSAI PROBLEME RESOLU [T]VOYANT MOTEUR ALLUME LECTURE DEFAUT P226D CONTROLE FAP - ANORMALEMENT ENDOMMAGE CONTROLE CATA - ANORMALEMENT ENDOMMAGE TEST CARBURANT OK TEST INJECTEUR OK [D]07/01 Bonjour, demande approuvée. Cdlt EC 06/01 Bonjour, veuillez retirer l''or non rgpd, joindre l''or signé par le client, retirer le test ev qui ne correspond pas à ce véhicule, joindre des photos du test injecteurs et du test carburant. Cdlt EC 05/01 Bonjour, veuillez remplacer l''OR par l''OR RGPD et joindre la photo du silencieux. Cdlt MP"/>
    <s v="28950R00"/>
    <s v="ZZ3"/>
    <s v="W17"/>
    <s v="2024/11/27"/>
    <s v="2025/12/30"/>
    <s v="2025/02/25"/>
    <n v="11"/>
    <n v="16002"/>
    <s v="            "/>
    <n v="100"/>
    <n v="18.18"/>
    <n v="18.18"/>
    <n v="99417"/>
    <n v="62354"/>
    <n v="0"/>
    <n v="161771"/>
    <s v="SG2 (니로 후속) 21"/>
    <s v="2024-11"/>
    <s v="단품불량"/>
    <s v="경고등 점등"/>
    <n v="20000"/>
    <n v="20000"/>
    <n v="12"/>
    <n v="12"/>
    <s v="C06"/>
    <s v="FRANCE"/>
    <x v="9"/>
    <x v="1"/>
    <s v="컨버터"/>
    <s v="카파UCC"/>
    <x v="14"/>
    <s v="2026년"/>
    <s v="1분기"/>
  </r>
  <r>
    <s v="기아"/>
    <s v="E"/>
    <s v="2026011WA"/>
    <s v="K"/>
    <s v="R151"/>
    <n v="1"/>
    <s v="2025/12"/>
    <s v="A08VGC0031W25120002"/>
    <s v="KNCSHX76CS7843006"/>
    <s v="W"/>
    <s v="HD"/>
    <s v="286004E850"/>
    <s v="MUFFLER COMPLETE-CTR"/>
    <s v="          "/>
    <s v="[C]客戶進廠反應儀表板故障燈會一直亮起，服務廠檢查後確認有此情況 [R]更換新品零件後故障排除 [T]技師檢查KDS讀取故障碼為P200300微粒濾清器效率低於極限值，查詢GSW故障碼為顆粒過濾器效率低於閾值。 先清除故障碼嘗試重現故障，發現進行路試約30-40分鐘即會亮起故障燈。拆卸DPF檢查，發現內部碳灰過多。判定需更換中段消音器總成及後差壓感知器"/>
    <s v="28650R00"/>
    <s v="ZZ3"/>
    <s v="W17"/>
    <s v="2025/02/07"/>
    <s v="2025/12/04"/>
    <s v="2025/09/19"/>
    <n v="3"/>
    <n v="361"/>
    <s v="            "/>
    <n v="100"/>
    <n v="18.18"/>
    <n v="18.18"/>
    <n v="180105"/>
    <n v="4174"/>
    <n v="0"/>
    <n v="184279"/>
    <s v="봉고3 1톤/1.4톤"/>
    <s v="2025-02"/>
    <s v="단품불량"/>
    <s v="경고등 점등"/>
    <n v="10000"/>
    <n v="5000"/>
    <n v="6"/>
    <n v="6"/>
    <s v="A08"/>
    <s v="TAIWAN"/>
    <x v="1"/>
    <x v="1"/>
    <s v="컨버터"/>
    <s v="PU SDPF"/>
    <x v="6"/>
    <s v="2026년"/>
    <s v="1분기"/>
  </r>
  <r>
    <s v="WIA"/>
    <s v="D"/>
    <s v="2026011WW"/>
    <s v="K"/>
    <s v="R151"/>
    <n v="21"/>
    <s v="2026/01"/>
    <s v="JK42702026W00007500"/>
    <s v="KNACJ911BPT347921"/>
    <s v="W"/>
    <s v="A3"/>
    <s v="2853004GJ1"/>
    <s v="CONVERTER ASSY-W/UP CATALYTIC"/>
    <m/>
    <e v="#N/A"/>
    <s v="28530RQ0"/>
    <s v="ALL"/>
    <s v="W17"/>
    <s v="20230328"/>
    <s v="20260122"/>
    <s v="20230406"/>
    <n v="34"/>
    <n v="23475"/>
    <m/>
    <n v="100"/>
    <n v="25.44"/>
    <n v="25.44"/>
    <n v="118933"/>
    <n v="31418"/>
    <n v="0"/>
    <n v="150351"/>
    <s v="레이 11"/>
    <s v="2023-03"/>
    <e v="#N/A"/>
    <s v="경고등 점등"/>
    <n v="30000"/>
    <n v="25000"/>
    <n v="36"/>
    <n v="36"/>
    <s v="JK4"/>
    <s v="한국"/>
    <x v="0"/>
    <x v="1"/>
    <s v="컨버터"/>
    <s v="카파(WIA)"/>
    <x v="13"/>
    <s v="2026년"/>
    <s v="1분기"/>
  </r>
  <r>
    <s v="WIA"/>
    <s v="D"/>
    <s v="2026011WW"/>
    <s v="K"/>
    <s v="R151"/>
    <n v="22"/>
    <s v="2026/01"/>
    <s v="GX03002025W00168300"/>
    <s v="KNACJ911BST427010"/>
    <s v="W"/>
    <s v="A3"/>
    <s v="2853004GJ1"/>
    <s v="CONVERTER ASSY-W/UP CATALYTIC"/>
    <m/>
    <e v="#N/A"/>
    <s v="28530RQ0"/>
    <s v="ALL"/>
    <s v="W11"/>
    <s v="20250207"/>
    <s v="20251224"/>
    <s v="20250210"/>
    <n v="11"/>
    <n v="9618"/>
    <m/>
    <n v="100"/>
    <n v="25.44"/>
    <n v="25.44"/>
    <n v="118933"/>
    <n v="23443"/>
    <n v="0"/>
    <n v="142376"/>
    <s v="레이 11"/>
    <s v="2025-02"/>
    <e v="#N/A"/>
    <s v="경고등 점등"/>
    <n v="10000"/>
    <n v="10000"/>
    <n v="12"/>
    <n v="12"/>
    <s v="GX0"/>
    <s v="한국"/>
    <x v="0"/>
    <x v="1"/>
    <s v="컨버터"/>
    <s v="카파(WIA)"/>
    <x v="13"/>
    <s v="2026년"/>
    <s v="1분기"/>
  </r>
  <r>
    <s v="WIA"/>
    <s v="E"/>
    <s v="2026011WW"/>
    <s v="K"/>
    <s v="R151"/>
    <n v="51"/>
    <s v="2026/01"/>
    <s v="C06VAFR723KM2000037"/>
    <s v="KNAB2511AKT376156"/>
    <s v="W"/>
    <s v="G6"/>
    <s v="2853004GG2"/>
    <s v="CONVERTER ASSY-W/UP CATALYTIC"/>
    <m/>
    <s v="[C]Le client se plaint d'un voyant moteur [R]Remplacement du catalyseur - essai ok [T]Confirmation plainte client - passage kds dtc p209600 - contrôle alimentation lambda ok - contrôle valeurs lambda ok - fusibles ok - dépose tresse échappement pour contrôle catalyseur - morceaux se détachent - catalyseur présente un défaut interne"/>
    <s v="28530R1K"/>
    <s v="ZZ3"/>
    <s v="W17"/>
    <s v="20180907"/>
    <s v="20251125"/>
    <s v="20190109"/>
    <n v="83"/>
    <n v="103075"/>
    <m/>
    <n v="100"/>
    <n v="18.18"/>
    <n v="18.18"/>
    <n v="144937"/>
    <n v="25252"/>
    <n v="0"/>
    <n v="170189"/>
    <s v="JA 17"/>
    <s v="2018-09"/>
    <s v="단품불량"/>
    <s v="경고등 점등"/>
    <s v="≥100000"/>
    <s v="≥100000"/>
    <s v="≥60"/>
    <s v="≥60"/>
    <s v="C06"/>
    <s v="FRANCE"/>
    <x v="0"/>
    <x v="1"/>
    <s v="컨버터"/>
    <s v="카파(WIA)"/>
    <x v="13"/>
    <s v="2026년"/>
    <s v="1분기"/>
  </r>
  <r>
    <s v="WIA"/>
    <s v="D"/>
    <s v="2026011WW"/>
    <s v="K"/>
    <s v="R151"/>
    <n v="23"/>
    <s v="2026/01"/>
    <s v="JK42302026W00016700"/>
    <s v="KNAB3518BST341956"/>
    <s v="W"/>
    <s v="G6"/>
    <s v="2853007035"/>
    <s v="CONVERTER ASSY-W/UP CATALYTIC"/>
    <m/>
    <s v="[C]1.현상 : 엔진 경고등 점등 및 주행중 가속시 출력 부족으로 입고 2.점검내용 및 원인 : 주행중 간헐적 실화 경고등 발생 확인 동일 현상 발생 3번 실린더 점화 플러그 이그니션 코일 및 연료 인젝터 교환 이력 있음 1번 3번 점화 플러그 및 이그니션 코일 교환 후 시운전 시 간헐적 엔진 경고등 점멸 확인 촉매 탈거 후 점검시 촉매 손상 확인 3.조치내용 : 촉매 신품으로 교환 및 프론트/리어 산소센서 고착으로 동시 교환 조치함"/>
    <s v="00001A0F"/>
    <s v="ALL"/>
    <s v="W17"/>
    <s v="20241220"/>
    <s v="20260115"/>
    <s v="20241223"/>
    <n v="13"/>
    <n v="9010"/>
    <m/>
    <n v="100"/>
    <n v="25.44"/>
    <n v="25.44"/>
    <n v="120173"/>
    <n v="31139"/>
    <n v="0"/>
    <n v="151312"/>
    <s v="JA 17"/>
    <s v="2024-12"/>
    <e v="#N/A"/>
    <s v="경고등 점등"/>
    <n v="10000"/>
    <n v="10000"/>
    <n v="18"/>
    <n v="15"/>
    <s v="JK4"/>
    <s v="한국"/>
    <x v="0"/>
    <x v="1"/>
    <s v="컨버터"/>
    <s v="카파(WIA)"/>
    <x v="13"/>
    <s v="2026년"/>
    <s v="1분기"/>
  </r>
  <r>
    <s v="WIA"/>
    <s v="E"/>
    <s v="2026011WW"/>
    <s v="K"/>
    <s v="R151"/>
    <n v="52"/>
    <s v="2026/01"/>
    <s v="C21VA2028 KM2000121"/>
    <s v="KNAB3511LKT415429"/>
    <s v="W"/>
    <s v="G6"/>
    <s v="2853004GG2"/>
    <s v="CONVERTER ASSY-W/UP CATALYTIC"/>
    <m/>
    <s v="[C]Customer complaint engine warning light on please check &amp; advise. [R]Replace Cat converter as required. Ive inspected and confirm previous diagnosis and as required ive r+r the catalyst converter as per workshop manual and all is good. Ive carry out the road test drive and all is good. Ive re-scanned vehicle using KDS2 and find no fault code all is good. [T]Checked and confirm EML light on dash, code read vehicle to find history code p209600 in the engine system. looked at live data for 02 sensor dropping out and all is okay. Numerous cases relating to a cat issue internally. due to an internal failure of cat will require new to rectify."/>
    <s v="28530R1K"/>
    <s v="ZZ3"/>
    <s v="W17"/>
    <s v="20181112"/>
    <s v="20260122"/>
    <s v="20190314"/>
    <n v="83"/>
    <n v="28971"/>
    <m/>
    <n v="100"/>
    <n v="18.18"/>
    <n v="18.18"/>
    <n v="146359"/>
    <n v="29427"/>
    <n v="0"/>
    <n v="175786"/>
    <s v="JA 17"/>
    <s v="2018-11"/>
    <s v="단품불량"/>
    <s v="경고등 점등"/>
    <n v="30000"/>
    <n v="30000"/>
    <s v="≥60"/>
    <s v="≥60"/>
    <s v="C21"/>
    <s v="UK"/>
    <x v="0"/>
    <x v="1"/>
    <s v="컨버터"/>
    <s v="카파(WIA)"/>
    <x v="13"/>
    <s v="2026년"/>
    <s v="1분기"/>
  </r>
  <r>
    <s v="WIA"/>
    <s v="E"/>
    <s v="2026011WW"/>
    <s v="K"/>
    <s v="R151"/>
    <n v="53"/>
    <s v="2026/01"/>
    <s v="C21VA2211 KM2000017"/>
    <s v="KNAB2511LLT605433"/>
    <s v="W"/>
    <s v="G6"/>
    <s v="2853004GG2"/>
    <s v="CONVERTER ASSY-W/UP CATALYTIC"/>
    <m/>
    <s v="[C]Inspect and advise on MIL on, vehicle has had 1 x coil replaced at Cit care-she has been told Cat failed? [R]replace damaged Cat converter and drop centre section of exhaust and remove debris [T]check and confirm MIL is on carry out DTC check and report P209600 Cat fuel trim system too lean Bnk 1 check live data and find both up and down streamsensors reading but are mirroring each other, indicating a catalyst fault, requires new Cat converter and re test check and find both o2 heater circu [L]clear DTC and road test, all ok"/>
    <s v="28530R1K"/>
    <s v="ZZ3"/>
    <s v="W17"/>
    <s v="20191028"/>
    <s v="20260107"/>
    <s v="20200116"/>
    <n v="72"/>
    <n v="41469"/>
    <m/>
    <n v="100"/>
    <n v="18.18"/>
    <n v="18.18"/>
    <n v="146472"/>
    <n v="29479"/>
    <n v="0"/>
    <n v="175951"/>
    <s v="JA 17"/>
    <s v="2019-10"/>
    <s v="단품불량"/>
    <s v="경고등 점등"/>
    <n v="50000"/>
    <n v="45000"/>
    <s v="≥60"/>
    <s v="≥60"/>
    <s v="C21"/>
    <s v="UK"/>
    <x v="0"/>
    <x v="1"/>
    <s v="컨버터"/>
    <s v="카파(WIA)"/>
    <x v="13"/>
    <s v="2026년"/>
    <s v="1분기"/>
  </r>
  <r>
    <s v="WIA"/>
    <s v="E"/>
    <s v="2026011WW"/>
    <s v="K"/>
    <s v="R151"/>
    <n v="54"/>
    <s v="2026/01"/>
    <s v="C06VAFR637KM2000041"/>
    <s v="KNAB2511ALT635306"/>
    <s v="W"/>
    <s v="G6"/>
    <s v="2853004GG2"/>
    <s v="CONVERTER ASSY-W/UP CATALYTIC"/>
    <m/>
    <s v="[C]Le client se plaint d'un temoin moteur sans perte de puissance [R]remplacement du FAP [T]Voyant moteur sans perte de puissance - KDS P042000 - Dépose du catalyseur et du FAP pour constatation. le FAP et le Catalyseur sont endommagés- controle bougies ras- controle qualité et pression de carburant ras- controle injecteurs ras-"/>
    <s v="28530R1K"/>
    <s v="ZZ3"/>
    <s v="W11"/>
    <s v="20191217"/>
    <s v="20251209"/>
    <s v="20200310"/>
    <n v="69"/>
    <n v="52219"/>
    <m/>
    <n v="100"/>
    <n v="18.18"/>
    <n v="18.18"/>
    <n v="143576"/>
    <n v="25609"/>
    <n v="0"/>
    <n v="169185"/>
    <s v="JA 17"/>
    <s v="2019-12"/>
    <s v="단품불량"/>
    <s v="경고등 점등"/>
    <n v="60000"/>
    <n v="55000"/>
    <s v="≥60"/>
    <s v="≥60"/>
    <s v="C06"/>
    <s v="FRANCE"/>
    <x v="0"/>
    <x v="1"/>
    <s v="컨버터"/>
    <s v="카파(WIA)"/>
    <x v="13"/>
    <s v="2026년"/>
    <s v="1분기"/>
  </r>
  <r>
    <s v="WIA"/>
    <s v="E"/>
    <s v="2026011WA"/>
    <s v="K"/>
    <s v="R151"/>
    <n v="133"/>
    <s v="2026/01"/>
    <s v="C21VA2263 KM2002164"/>
    <s v="KNAB3518LNT936981"/>
    <s v="W"/>
    <s v="G6"/>
    <s v="2853007031"/>
    <s v="CONVERTER ASSY-W/UP CATALYTIC"/>
    <m/>
    <s v="[C]INVESTIGATE WARNING LIGHT ON DASH [R]REPLACED CATALYTIC CONVERTER, TEST OPERATIOIN AND FAULT RECTIFIED. [T]HISTORICE FAULT CODE FOR CATALYST SYSTEM EFF BELOW THRESHOLD BANK 1 PRESENT. CARRIED OUT DATA ANALYSIS FOLLOWING DTC GUIDE AND SENSOR READING OK. REMOVED EXHAUST TO INSPECT CATALYTIC CONVERTER, FOUND HONEYCOMB FILTER DISTORTED. ADVISE REPLACING CATALYTIC CONVERTER"/>
    <s v="28530R1K"/>
    <s v="ZZ3"/>
    <s v="W11"/>
    <s v="20220218"/>
    <s v="20250920"/>
    <s v="20220429"/>
    <n v="41"/>
    <n v="31125"/>
    <m/>
    <n v="100"/>
    <n v="18.18"/>
    <n v="18.18"/>
    <n v="64428"/>
    <n v="29094"/>
    <n v="0"/>
    <n v="93522"/>
    <s v="JA 17"/>
    <s v="2022-02"/>
    <s v="단품불량"/>
    <s v="경고등 점등"/>
    <n v="40000"/>
    <n v="35000"/>
    <n v="42"/>
    <n v="42"/>
    <s v="C21"/>
    <s v="UK"/>
    <x v="0"/>
    <x v="1"/>
    <s v="컨버터"/>
    <s v="카파(WIA)"/>
    <x v="13"/>
    <s v="2026년"/>
    <s v="1분기"/>
  </r>
  <r>
    <s v="WIA"/>
    <s v="E"/>
    <s v="2026011WA"/>
    <s v="K"/>
    <s v="R151"/>
    <n v="134"/>
    <s v="2026/01"/>
    <s v="C09VB000005120216"/>
    <s v="KNAB3518APT066471"/>
    <s v="W"/>
    <s v="G6"/>
    <s v="2853007031"/>
    <s v="CONVERTER ASSY-W/UP CATALYTIC"/>
    <m/>
    <s v="[C]Check engine light in instrument clauster. [R]Replaced GPF. Reset adaption valued. Regen performed to clear soot in system. Testdrive &gt; OK [T]DTC read : P042000Catalyst System Efficiency Below Threshold (Bank 1). Catalyst inspected &gt; element is not damaged, but too much soot is passing through. Heavy sooting on O2 sensor. Need to replace catalyst."/>
    <s v="28530R1K"/>
    <s v="ZZ3"/>
    <s v="W17"/>
    <s v="20221226"/>
    <s v="20251023"/>
    <s v="20230306"/>
    <n v="32"/>
    <n v="53910"/>
    <m/>
    <n v="100"/>
    <n v="18.18"/>
    <n v="18.18"/>
    <n v="75762"/>
    <n v="56605"/>
    <n v="0"/>
    <n v="132367"/>
    <s v="JA 17"/>
    <s v="2022-12"/>
    <s v="단품불량"/>
    <s v="경고등 점등"/>
    <n v="60000"/>
    <n v="55000"/>
    <n v="36"/>
    <n v="33"/>
    <s v="C09"/>
    <s v="ICELAND"/>
    <x v="0"/>
    <x v="1"/>
    <s v="컨버터"/>
    <s v="카파(WIA)"/>
    <x v="13"/>
    <s v="2026년"/>
    <s v="1분기"/>
  </r>
  <r>
    <s v="WIA"/>
    <s v="E"/>
    <s v="2026011WA"/>
    <s v="K"/>
    <s v="R151"/>
    <n v="135"/>
    <s v="2026/01"/>
    <s v="C16VCP1822KM2500020"/>
    <s v="KNAB3518JPT231092"/>
    <s v="W"/>
    <s v="G6"/>
    <s v="2853007031"/>
    <s v="CONVERTER ASSY-W/UP CATALYTIC"/>
    <m/>
    <s v="[C]VIATURA CHEGOU ÀS NOSSAS INSTALAÇÕES COM LUZ DE MOTOR ACESA E A PERDER ÓLEO [R]Substituir catalisador e material necessário. [T]Depois dos testes e da leitura de dtcs verificamos que é necessário substituir o catalisador, dtc- p042000, deformação interna no catalisador."/>
    <s v="28950R1K"/>
    <s v="ZZ3"/>
    <s v="W17"/>
    <s v="20240219"/>
    <s v="20251110"/>
    <s v="20240418"/>
    <n v="19"/>
    <n v="25652"/>
    <m/>
    <n v="100"/>
    <n v="18.18"/>
    <n v="18.18"/>
    <n v="68850"/>
    <n v="11600"/>
    <n v="0"/>
    <n v="80450"/>
    <s v="JA 17"/>
    <s v="2024-02"/>
    <s v="단품불량"/>
    <s v="경고등 점등"/>
    <n v="30000"/>
    <n v="30000"/>
    <n v="24"/>
    <n v="21"/>
    <s v="C16"/>
    <s v="PORTUGAL"/>
    <x v="0"/>
    <x v="1"/>
    <s v="컨버터"/>
    <s v="카파(WIA)"/>
    <x v="13"/>
    <s v="2026년"/>
    <s v="1분기"/>
  </r>
  <r>
    <s v="WIA"/>
    <s v="E"/>
    <s v="2026011WA"/>
    <s v="K"/>
    <s v="R151"/>
    <n v="136"/>
    <s v="2026/01"/>
    <s v="C24VACZ062KM2000428"/>
    <s v="KNAB3518JST276995"/>
    <s v="W"/>
    <s v="G6"/>
    <s v="2853007031"/>
    <s v="CONVERTER ASSY-W/UP CATALYTIC"/>
    <m/>
    <s v="[C]svítí kontrolka motoru - check Převedeno z KB023830 [R]DOŠLO K VÝMĚNĚ KATALIZÁTORU A OBOU LAMDASOND + VYFOUKÁNÍ PŘÍDAVNÉHO KATALIZÁTORU [T]- STÍŽNOST ZÁKAZNÍKA OPAKOVANĚ POTVRZENA. - KONTROLA DIAGNOSTIKOU - P042000 - KONTROLA KATALIZÁTORU VYKÁZALA POPRASKANÝ A ZAPEČENÝ - SEPSÁN HOTLINE-2981604. - PO KONTROLE PALIVA,KOMPRESE,VÁLCŮ KAMEROU,LAMDASOND A VSTŘIKOVAČŮ DOŠLO K VÝMĚNĚ KATALIZÁTORU A OBOU LAMDASOND + VYFOUKÁNÍ PŘÍDAVNÉHO [L]- SEPSÁN HOTLINE-2981604. [D]Hotline 2981604|C24VACZ062(Blaha) potvrzen a nutno jej dokončit! Oprava schválena. LS 16.12.2025"/>
    <s v="28950R1K"/>
    <s v="ZZ3"/>
    <s v="W17"/>
    <s v="20240624"/>
    <s v="20251125"/>
    <s v="20241031"/>
    <n v="13"/>
    <n v="15390"/>
    <m/>
    <n v="100"/>
    <n v="18.18"/>
    <n v="18.18"/>
    <n v="71631"/>
    <n v="5715"/>
    <n v="0"/>
    <n v="77346"/>
    <s v="JA 17"/>
    <s v="2024-06"/>
    <s v="단품불량"/>
    <s v="경고등 점등"/>
    <n v="20000"/>
    <n v="20000"/>
    <n v="18"/>
    <n v="15"/>
    <s v="C24"/>
    <s v="CZECH"/>
    <x v="0"/>
    <x v="1"/>
    <s v="컨버터"/>
    <s v="카파(WIA)"/>
    <x v="13"/>
    <s v="2026년"/>
    <s v="1분기"/>
  </r>
  <r>
    <s v="WIA"/>
    <s v="E"/>
    <s v="2026011WA"/>
    <s v="K"/>
    <s v="R151"/>
    <n v="137"/>
    <s v="2026/01"/>
    <s v="B52VA00000906622000"/>
    <s v="KNAB351AANT848040"/>
    <s v="W"/>
    <s v="G6"/>
    <s v="2853008220"/>
    <s v="CONVERTER ASSY-W/UP CATALYTIC"/>
    <m/>
    <s v="[C]le client se plaint d'un voyant moteur qui allume [R]remplacement echapp. catalyseur [T]le technicien a diagnostiqué trop de suie dans le catalyseur"/>
    <s v="28950R1K"/>
    <s v="ZZ3"/>
    <s v="W17"/>
    <s v="20210707"/>
    <s v="20251016"/>
    <s v="20211022"/>
    <n v="48"/>
    <n v="58656"/>
    <m/>
    <n v="100"/>
    <n v="18.18"/>
    <n v="18.18"/>
    <n v="114017"/>
    <n v="4382"/>
    <n v="0"/>
    <n v="118399"/>
    <s v="JA 17"/>
    <s v="2021-07"/>
    <s v="단품불량"/>
    <s v="경고등 점등"/>
    <n v="60000"/>
    <n v="60000"/>
    <n v="54"/>
    <n v="51"/>
    <s v="B52"/>
    <s v="MARTINIQUE"/>
    <x v="0"/>
    <x v="1"/>
    <s v="컨버터"/>
    <s v="카파(WIA)"/>
    <x v="13"/>
    <s v="2026년"/>
    <s v="1분기"/>
  </r>
  <r>
    <s v="WIA"/>
    <s v="E"/>
    <s v="2026011WA"/>
    <s v="K"/>
    <s v="R151"/>
    <n v="138"/>
    <s v="2026/01"/>
    <s v="C06VAFR144KM2003909"/>
    <s v="KNADB518AN6769658"/>
    <s v="W"/>
    <s v="H8"/>
    <s v="2853008220"/>
    <s v="CONVERTER ASSY-W/UP CATALYTIC"/>
    <m/>
    <e v="#N/A"/>
    <s v="28950R4K"/>
    <s v="ZZ3"/>
    <s v="I13"/>
    <s v="20221108"/>
    <s v="20251216"/>
    <s v="20230117"/>
    <n v="35"/>
    <n v="51869"/>
    <m/>
    <n v="100"/>
    <n v="18.18"/>
    <n v="18.18"/>
    <n v="210773"/>
    <n v="81609"/>
    <n v="0"/>
    <n v="292382"/>
    <s v="YB 17"/>
    <s v="2022-11"/>
    <s v="단품불량"/>
    <s v="작동불량"/>
    <n v="60000"/>
    <n v="55000"/>
    <n v="36"/>
    <n v="36"/>
    <s v="C06"/>
    <s v="FRANCE"/>
    <x v="0"/>
    <x v="1"/>
    <s v="컨버터"/>
    <s v="카파(WIA)"/>
    <x v="13"/>
    <s v="2026년"/>
    <s v="1분기"/>
  </r>
  <r>
    <s v="WIA"/>
    <s v="E"/>
    <s v="2026011WA"/>
    <s v="K"/>
    <s v="R151"/>
    <n v="139"/>
    <s v="2026/01"/>
    <s v="C21VA1465 KM2006158"/>
    <s v="KNADC518LP6793087"/>
    <s v="W"/>
    <s v="H8"/>
    <s v="2853008220"/>
    <s v="CONVERTER ASSY-W/UP CATALYTIC"/>
    <m/>
    <e v="#N/A"/>
    <s v="39302R1K"/>
    <s v="ZZ3"/>
    <s v="W11"/>
    <s v="20221229"/>
    <s v="20251006"/>
    <s v="20230301"/>
    <n v="32"/>
    <n v="36091"/>
    <m/>
    <n v="100"/>
    <n v="18.18"/>
    <n v="18.18"/>
    <n v="210442"/>
    <n v="82626"/>
    <n v="0"/>
    <n v="293068"/>
    <s v="YB 17"/>
    <s v="2022-12"/>
    <s v="단품불량"/>
    <s v="경고등 점등"/>
    <n v="40000"/>
    <n v="40000"/>
    <n v="36"/>
    <n v="33"/>
    <s v="C21"/>
    <s v="UK"/>
    <x v="0"/>
    <x v="1"/>
    <s v="컨버터"/>
    <s v="카파(WIA)"/>
    <x v="13"/>
    <s v="2026년"/>
    <s v="1분기"/>
  </r>
  <r>
    <s v="WIA"/>
    <s v="E"/>
    <s v="2026011WA"/>
    <s v="K"/>
    <s v="R151"/>
    <n v="140"/>
    <s v="2026/01"/>
    <s v="D19VA00018D18173000"/>
    <s v="KNAB251AAMT763873"/>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01127"/>
    <s v="20251211"/>
    <s v="20210303"/>
    <n v="58"/>
    <n v="63010"/>
    <m/>
    <n v="100"/>
    <n v="18.18"/>
    <n v="18.18"/>
    <n v="39660"/>
    <n v="2348"/>
    <n v="0"/>
    <n v="42008"/>
    <s v="JA 17"/>
    <s v="2020-11"/>
    <s v="단품불량"/>
    <s v="경고등 점등"/>
    <n v="70000"/>
    <n v="65000"/>
    <n v="60"/>
    <n v="60"/>
    <s v="D19"/>
    <s v="TUNISIA"/>
    <x v="0"/>
    <x v="1"/>
    <s v="컨버터"/>
    <s v="카파(WIA)"/>
    <x v="13"/>
    <s v="2026년"/>
    <s v="1분기"/>
  </r>
  <r>
    <s v="WIA"/>
    <s v="E"/>
    <s v="2026011WA"/>
    <s v="K"/>
    <s v="R151"/>
    <n v="141"/>
    <s v="2026/01"/>
    <s v="D19VA00008D86821000"/>
    <s v="KNAB251AANT864117"/>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10820"/>
    <s v="20250505"/>
    <s v="20211203"/>
    <n v="42"/>
    <n v="94795"/>
    <m/>
    <n v="100"/>
    <n v="18.18"/>
    <n v="18.18"/>
    <n v="39660"/>
    <n v="2348"/>
    <n v="0"/>
    <n v="42008"/>
    <s v="JA 17"/>
    <s v="2021-08"/>
    <s v="단품불량"/>
    <s v="경고등 점등"/>
    <n v="100000"/>
    <n v="95000"/>
    <n v="48"/>
    <n v="45"/>
    <s v="D19"/>
    <s v="TUNISIA"/>
    <x v="0"/>
    <x v="1"/>
    <s v="컨버터"/>
    <s v="카파(WIA)"/>
    <x v="13"/>
    <s v="2026년"/>
    <s v="1분기"/>
  </r>
  <r>
    <s v="WIA"/>
    <s v="E"/>
    <s v="2026011WA"/>
    <s v="K"/>
    <s v="R151"/>
    <n v="142"/>
    <s v="2026/01"/>
    <s v="D19VA00003D36656000"/>
    <s v="KNAB251AJNT873103"/>
    <s v="W"/>
    <s v="G6"/>
    <s v="2853008250"/>
    <s v="CONVERTER ASSY-W/UP CATALYTIC"/>
    <m/>
    <s v="[C]The customer complained that the check engine light was on. [R]After the repair, everything is fine. [T]After the diagnosis was performed at our workshop, the exhaust manifold needed to be replaced."/>
    <s v="28950R1K"/>
    <s v="ZZ3"/>
    <s v="W17"/>
    <s v="20210909"/>
    <s v="20250829"/>
    <s v="20211209"/>
    <n v="45"/>
    <n v="68976"/>
    <m/>
    <n v="100"/>
    <n v="18.18"/>
    <n v="18.18"/>
    <n v="39660"/>
    <n v="1043"/>
    <n v="0"/>
    <n v="40703"/>
    <s v="JA 17"/>
    <s v="2021-09"/>
    <s v="단품불량"/>
    <s v="경고등 점등"/>
    <n v="70000"/>
    <n v="70000"/>
    <n v="48"/>
    <n v="48"/>
    <s v="D19"/>
    <s v="TUNISIA"/>
    <x v="0"/>
    <x v="1"/>
    <s v="컨버터"/>
    <s v="카파(WIA)"/>
    <x v="13"/>
    <s v="2026년"/>
    <s v="1분기"/>
  </r>
  <r>
    <s v="WIA"/>
    <s v="E"/>
    <s v="2026011WA"/>
    <s v="K"/>
    <s v="R151"/>
    <n v="143"/>
    <s v="2026/01"/>
    <s v="D19VA00014D1430830"/>
    <s v="KNAB251AANT874359"/>
    <s v="W"/>
    <s v="G6"/>
    <s v="2853008250"/>
    <s v="CONVERTER ASSY-W/UP CATALYTIC"/>
    <m/>
    <s v="[C]The &quot;Check Engine&quot; light is on. [R]After the repair, everything was fine. [T]A diagnostic revealed a malfunctioning catalytic converter."/>
    <s v="28530R1K"/>
    <s v="ZZ3"/>
    <s v="W11"/>
    <s v="20210910"/>
    <s v="20250609"/>
    <s v="20211102"/>
    <n v="44"/>
    <n v="66006"/>
    <m/>
    <n v="100"/>
    <n v="18.18"/>
    <n v="18.18"/>
    <n v="39660"/>
    <n v="2348"/>
    <n v="0"/>
    <n v="42008"/>
    <s v="JA 17"/>
    <s v="2021-09"/>
    <s v="단품불량"/>
    <s v="경고등 점등"/>
    <n v="70000"/>
    <n v="70000"/>
    <n v="48"/>
    <n v="45"/>
    <s v="D19"/>
    <s v="TUNISIA"/>
    <x v="0"/>
    <x v="1"/>
    <s v="컨버터"/>
    <s v="카파(WIA)"/>
    <x v="13"/>
    <s v="2026년"/>
    <s v="1분기"/>
  </r>
  <r>
    <s v="WIA"/>
    <s v="E"/>
    <s v="2026011WA"/>
    <s v="K"/>
    <s v="R151"/>
    <n v="144"/>
    <s v="2026/01"/>
    <s v="D19VA00004D433325"/>
    <s v="KNAB251AANT896793"/>
    <s v="W"/>
    <s v="G6"/>
    <s v="2853008250"/>
    <s v="CONVERTER ASSY-W/UP CATALYTIC"/>
    <m/>
    <s v="[C]The &quot;Check Engine&quot; light is on. [R]After the repair, everything was fine. [T]A diagnostic revealed a malfunctioning catalytic converter."/>
    <s v="28530R1K"/>
    <s v="ZZ3"/>
    <s v="W11"/>
    <s v="20211116"/>
    <s v="20251123"/>
    <s v="20220207"/>
    <n v="46"/>
    <n v="93062"/>
    <m/>
    <n v="100"/>
    <n v="18.18"/>
    <n v="18.18"/>
    <n v="39660"/>
    <n v="2348"/>
    <n v="0"/>
    <n v="42008"/>
    <s v="JA 17"/>
    <s v="2021-11"/>
    <s v="단품불량"/>
    <s v="경고등 점등"/>
    <n v="100000"/>
    <n v="95000"/>
    <n v="48"/>
    <n v="48"/>
    <s v="D19"/>
    <s v="TUNISIA"/>
    <x v="0"/>
    <x v="1"/>
    <s v="컨버터"/>
    <s v="카파(WIA)"/>
    <x v="13"/>
    <s v="2026년"/>
    <s v="1분기"/>
  </r>
  <r>
    <s v="WIA"/>
    <s v="E"/>
    <s v="2026011WA"/>
    <s v="K"/>
    <s v="R151"/>
    <n v="145"/>
    <s v="2026/01"/>
    <s v="D19VA00014D1429940"/>
    <s v="KNAB351AJNT948603"/>
    <s v="W"/>
    <s v="G6"/>
    <s v="2853008250"/>
    <s v="CONVERTER ASSY-W/UP CATALYTIC"/>
    <m/>
    <s v="[C]The customer complained that the check engine light was on. [R]After the repair, everything is fine. [T]After the diagnosis was performed at our workshop, the exhaust manifold needed to be replaced."/>
    <s v="28511R1K"/>
    <s v="ZZ3"/>
    <s v="I11"/>
    <s v="20220316"/>
    <s v="20250416"/>
    <s v="20220606"/>
    <n v="35"/>
    <n v="75111"/>
    <m/>
    <n v="100"/>
    <n v="18.18"/>
    <n v="18.18"/>
    <n v="39660"/>
    <n v="3391"/>
    <n v="0"/>
    <n v="43051"/>
    <s v="JA 17"/>
    <s v="2022-03"/>
    <s v="단품불량"/>
    <s v="작동불량"/>
    <n v="80000"/>
    <n v="80000"/>
    <n v="36"/>
    <n v="36"/>
    <s v="D19"/>
    <s v="TUNISIA"/>
    <x v="0"/>
    <x v="1"/>
    <s v="컨버터"/>
    <s v="카파(WIA)"/>
    <x v="13"/>
    <s v="2026년"/>
    <s v="1분기"/>
  </r>
  <r>
    <s v="WIA"/>
    <s v="E"/>
    <s v="2026011WA"/>
    <s v="K"/>
    <s v="R151"/>
    <n v="146"/>
    <s v="2026/01"/>
    <s v="D19VA00011D1111576"/>
    <s v="KNAB251AAPT019087"/>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20907"/>
    <s v="20251106"/>
    <s v="20221216"/>
    <n v="35"/>
    <n v="94290"/>
    <m/>
    <n v="100"/>
    <n v="18.18"/>
    <n v="18.18"/>
    <n v="39660"/>
    <n v="2348"/>
    <n v="0"/>
    <n v="42008"/>
    <s v="JA 17"/>
    <s v="2022-09"/>
    <s v="단품불량"/>
    <s v="경고등 점등"/>
    <n v="100000"/>
    <n v="95000"/>
    <n v="36"/>
    <n v="36"/>
    <s v="D19"/>
    <s v="TUNISIA"/>
    <x v="0"/>
    <x v="1"/>
    <s v="컨버터"/>
    <s v="카파(WIA)"/>
    <x v="13"/>
    <s v="2026년"/>
    <s v="1분기"/>
  </r>
  <r>
    <s v="WIA"/>
    <s v="E"/>
    <s v="2026011WA"/>
    <s v="K"/>
    <s v="R151"/>
    <n v="147"/>
    <s v="2026/01"/>
    <s v="D19VA00001D1172068"/>
    <s v="KNAB351AJPT176686"/>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30824"/>
    <s v="20251209"/>
    <s v="20230928"/>
    <n v="27"/>
    <n v="44408"/>
    <m/>
    <n v="100"/>
    <n v="18.18"/>
    <n v="18.18"/>
    <n v="39660"/>
    <n v="2348"/>
    <n v="0"/>
    <n v="42008"/>
    <s v="JA 17"/>
    <s v="2023-08"/>
    <s v="단품불량"/>
    <s v="경고등 점등"/>
    <n v="50000"/>
    <n v="45000"/>
    <n v="30"/>
    <n v="30"/>
    <s v="D19"/>
    <s v="TUNISIA"/>
    <x v="0"/>
    <x v="1"/>
    <s v="컨버터"/>
    <s v="카파(WIA)"/>
    <x v="13"/>
    <s v="2026년"/>
    <s v="1분기"/>
  </r>
  <r>
    <s v="WIA"/>
    <s v="E"/>
    <s v="2026011WA"/>
    <s v="K"/>
    <s v="R151"/>
    <n v="148"/>
    <s v="2026/01"/>
    <s v="D19VA00008D869327"/>
    <s v="KNAB351AJPT202438"/>
    <s v="W"/>
    <s v="G6"/>
    <s v="2853008250"/>
    <s v="CONVERTER ASSY-W/UP CATALYTIC"/>
    <m/>
    <s v="[C]The &quot;Check Engine&quot; light is on. [R]After the repair, everything was fine. [T]A diagnostic revealed a malfunctioning catalytic converter."/>
    <s v="28530R1K"/>
    <s v="ZZ3"/>
    <s v="W17"/>
    <s v="20231123"/>
    <s v="20250717"/>
    <s v="20231226"/>
    <n v="19"/>
    <n v="34113"/>
    <m/>
    <n v="100"/>
    <n v="18.18"/>
    <n v="18.18"/>
    <n v="39660"/>
    <n v="2348"/>
    <n v="0"/>
    <n v="42008"/>
    <s v="JA 17"/>
    <s v="2023-11"/>
    <s v="단품불량"/>
    <s v="경고등 점등"/>
    <n v="40000"/>
    <n v="35000"/>
    <n v="24"/>
    <n v="21"/>
    <s v="D19"/>
    <s v="TUNISIA"/>
    <x v="0"/>
    <x v="1"/>
    <s v="컨버터"/>
    <s v="카파(WIA)"/>
    <x v="13"/>
    <s v="2026년"/>
    <s v="1분기"/>
  </r>
  <r>
    <s v="WIA"/>
    <s v="E"/>
    <s v="2026011WA"/>
    <s v="K"/>
    <s v="R151"/>
    <n v="149"/>
    <s v="2026/01"/>
    <s v="D19VA00011D1116175"/>
    <s v="KNAB351AJPT209081"/>
    <s v="W"/>
    <s v="G6"/>
    <s v="2853008250"/>
    <s v="CONVERTER ASSY-W/UP CATALYTIC"/>
    <m/>
    <s v="[C]The customer complained that the check engine light was on. [R]After the repair, everything is fine. [T]After the diagnosis was performed at our workshop, the exhaust manifold needed to be replaced."/>
    <s v="28950R1K"/>
    <s v="ZZ3"/>
    <s v="W11"/>
    <s v="20231213"/>
    <s v="20251202"/>
    <s v="20240212"/>
    <n v="22"/>
    <n v="62455"/>
    <m/>
    <n v="100"/>
    <n v="18.18"/>
    <n v="18.18"/>
    <n v="39660"/>
    <n v="1043"/>
    <n v="0"/>
    <n v="40703"/>
    <s v="JA 17"/>
    <s v="2023-12"/>
    <s v="단품불량"/>
    <s v="경고등 점등"/>
    <n v="70000"/>
    <n v="65000"/>
    <n v="24"/>
    <n v="24"/>
    <s v="D19"/>
    <s v="TUNISIA"/>
    <x v="0"/>
    <x v="1"/>
    <s v="컨버터"/>
    <s v="카파(WIA)"/>
    <x v="13"/>
    <s v="2026년"/>
    <s v="1분기"/>
  </r>
  <r>
    <s v="WIA"/>
    <s v="E"/>
    <s v="2026011WA"/>
    <s v="K"/>
    <s v="R151"/>
    <n v="150"/>
    <s v="2026/01"/>
    <s v="D19VA00008D866948"/>
    <s v="KNADC518AM6469470"/>
    <s v="W"/>
    <s v="H8"/>
    <s v="2853008250"/>
    <s v="CONVERTER ASSY-W/UP CATALYTIC"/>
    <m/>
    <e v="#N/A"/>
    <s v="28530R1K"/>
    <s v="ZZ3"/>
    <s v="W11"/>
    <s v="20200715"/>
    <s v="20250208"/>
    <s v="20201009"/>
    <n v="52"/>
    <n v="38359"/>
    <m/>
    <n v="100"/>
    <n v="18.18"/>
    <n v="18.18"/>
    <n v="39660"/>
    <n v="3391"/>
    <n v="0"/>
    <n v="43051"/>
    <s v="YB 17"/>
    <s v="2020-07"/>
    <s v="단품불량"/>
    <s v="경고등 점등"/>
    <n v="40000"/>
    <n v="40000"/>
    <n v="54"/>
    <n v="54"/>
    <s v="D19"/>
    <s v="TUNISIA"/>
    <x v="0"/>
    <x v="1"/>
    <s v="컨버터"/>
    <s v="카파(WIA)"/>
    <x v="13"/>
    <s v="2026년"/>
    <s v="1분기"/>
  </r>
  <r>
    <s v="WIA"/>
    <s v="E"/>
    <s v="2026011WA"/>
    <s v="K"/>
    <s v="R151"/>
    <n v="151"/>
    <s v="2026/01"/>
    <s v="D19VA00001D1172664"/>
    <s v="KNADC518AM6469601"/>
    <s v="W"/>
    <s v="H8"/>
    <s v="2853008250"/>
    <s v="CONVERTER ASSY-W/UP CATALYTIC"/>
    <m/>
    <e v="#N/A"/>
    <s v="28530R1K"/>
    <s v="ZZ3"/>
    <s v="W11"/>
    <s v="20200715"/>
    <s v="20250108"/>
    <s v="20201013"/>
    <n v="51"/>
    <n v="42951"/>
    <m/>
    <n v="100"/>
    <n v="18.18"/>
    <n v="18.18"/>
    <n v="39660"/>
    <n v="3391"/>
    <n v="0"/>
    <n v="43051"/>
    <s v="YB 17"/>
    <s v="2020-07"/>
    <s v="단품불량"/>
    <s v="경고등 점등"/>
    <n v="50000"/>
    <n v="45000"/>
    <n v="54"/>
    <n v="54"/>
    <s v="D19"/>
    <s v="TUNISIA"/>
    <x v="0"/>
    <x v="1"/>
    <s v="컨버터"/>
    <s v="카파(WIA)"/>
    <x v="13"/>
    <s v="2026년"/>
    <s v="1분기"/>
  </r>
  <r>
    <s v="WIA"/>
    <s v="E"/>
    <s v="2026011WA"/>
    <s v="K"/>
    <s v="R151"/>
    <n v="152"/>
    <s v="2026/01"/>
    <s v="D19VA00008D86824000"/>
    <s v="KNADC518AM6482433"/>
    <s v="W"/>
    <s v="H8"/>
    <s v="2853008250"/>
    <s v="CONVERTER ASSY-W/UP CATALYTIC"/>
    <m/>
    <e v="#N/A"/>
    <s v="28530R1K"/>
    <s v="ZZ3"/>
    <s v="W11"/>
    <s v="20200828"/>
    <s v="20250507"/>
    <s v="20201030"/>
    <n v="55"/>
    <n v="91928"/>
    <m/>
    <n v="100"/>
    <n v="18.18"/>
    <n v="18.18"/>
    <n v="39660"/>
    <n v="3391"/>
    <n v="0"/>
    <n v="43051"/>
    <s v="YB 17"/>
    <s v="2020-08"/>
    <s v="단품불량"/>
    <s v="경고등 점등"/>
    <n v="100000"/>
    <n v="95000"/>
    <n v="60"/>
    <n v="57"/>
    <s v="D19"/>
    <s v="TUNISIA"/>
    <x v="0"/>
    <x v="1"/>
    <s v="컨버터"/>
    <s v="카파(WIA)"/>
    <x v="13"/>
    <s v="2026년"/>
    <s v="1분기"/>
  </r>
  <r>
    <s v="WIA"/>
    <s v="E"/>
    <s v="2026011WA"/>
    <s v="K"/>
    <s v="R151"/>
    <n v="153"/>
    <s v="2026/01"/>
    <s v="D19VA00001D1165908"/>
    <s v="KNADC518AM6482821"/>
    <s v="W"/>
    <s v="H8"/>
    <s v="2853008250"/>
    <s v="CONVERTER ASSY-W/UP CATALYTIC"/>
    <m/>
    <e v="#N/A"/>
    <s v="28530R1K"/>
    <s v="ZZ3"/>
    <s v="W11"/>
    <s v="20200831"/>
    <s v="20250811"/>
    <s v="20201118"/>
    <n v="57"/>
    <n v="69553"/>
    <m/>
    <n v="100"/>
    <n v="18.18"/>
    <n v="18.18"/>
    <n v="39660"/>
    <n v="3391"/>
    <n v="0"/>
    <n v="43051"/>
    <s v="YB 17"/>
    <s v="2020-08"/>
    <s v="단품불량"/>
    <s v="경고등 점등"/>
    <n v="70000"/>
    <n v="70000"/>
    <n v="60"/>
    <n v="60"/>
    <s v="D19"/>
    <s v="TUNISIA"/>
    <x v="0"/>
    <x v="1"/>
    <s v="컨버터"/>
    <s v="카파(WIA)"/>
    <x v="13"/>
    <s v="2026년"/>
    <s v="1분기"/>
  </r>
  <r>
    <s v="WIA"/>
    <s v="E"/>
    <s v="2026011WA"/>
    <s v="K"/>
    <s v="R151"/>
    <n v="154"/>
    <s v="2026/01"/>
    <s v="D19VA00003D366178"/>
    <s v="KNADC518AM6490072"/>
    <s v="W"/>
    <s v="H8"/>
    <s v="2853008250"/>
    <s v="CONVERTER ASSY-W/UP CATALYTIC"/>
    <m/>
    <e v="#N/A"/>
    <s v="28950R1K"/>
    <s v="ZZ3"/>
    <s v="W11"/>
    <s v="20200924"/>
    <s v="20251119"/>
    <s v="20201123"/>
    <n v="60"/>
    <n v="59120"/>
    <m/>
    <n v="100"/>
    <n v="18.18"/>
    <n v="18.18"/>
    <n v="39660"/>
    <n v="1043"/>
    <n v="0"/>
    <n v="40703"/>
    <s v="YB 17"/>
    <s v="2020-09"/>
    <s v="단품불량"/>
    <s v="경고등 점등"/>
    <n v="60000"/>
    <n v="60000"/>
    <s v="≥60"/>
    <s v="≥60"/>
    <s v="D19"/>
    <s v="TUNISIA"/>
    <x v="0"/>
    <x v="1"/>
    <s v="컨버터"/>
    <s v="카파(WIA)"/>
    <x v="13"/>
    <s v="2026년"/>
    <s v="1분기"/>
  </r>
  <r>
    <s v="WIA"/>
    <s v="E"/>
    <s v="2026011WA"/>
    <s v="K"/>
    <s v="R151"/>
    <n v="155"/>
    <s v="2026/01"/>
    <s v="D19VA00001D172446"/>
    <s v="KNADC518AM6534478"/>
    <s v="W"/>
    <s v="H8"/>
    <s v="2853008250"/>
    <s v="CONVERTER ASSY-W/UP CATALYTIC"/>
    <m/>
    <e v="#N/A"/>
    <s v="28530R1K"/>
    <s v="ZZ3"/>
    <s v="W11"/>
    <s v="20210127"/>
    <s v="20250603"/>
    <s v="20210708"/>
    <n v="47"/>
    <n v="90982"/>
    <m/>
    <n v="100"/>
    <n v="18.18"/>
    <n v="18.18"/>
    <n v="39660"/>
    <n v="3391"/>
    <n v="0"/>
    <n v="43051"/>
    <s v="YB 17"/>
    <s v="2021-01"/>
    <s v="단품불량"/>
    <s v="경고등 점등"/>
    <n v="100000"/>
    <n v="95000"/>
    <n v="48"/>
    <n v="48"/>
    <s v="D19"/>
    <s v="TUNISIA"/>
    <x v="0"/>
    <x v="1"/>
    <s v="컨버터"/>
    <s v="카파(WIA)"/>
    <x v="13"/>
    <s v="2026년"/>
    <s v="1분기"/>
  </r>
  <r>
    <s v="WIA"/>
    <s v="E"/>
    <s v="2026011WA"/>
    <s v="K"/>
    <s v="R151"/>
    <n v="156"/>
    <s v="2026/01"/>
    <s v="D19VA00018D1817362"/>
    <s v="KNADE518AM6566061"/>
    <s v="W"/>
    <s v="H8"/>
    <s v="2853008250"/>
    <s v="CONVERTER ASSY-W/UP CATALYTIC"/>
    <m/>
    <e v="#N/A"/>
    <s v="28530R1K"/>
    <s v="ZZ3"/>
    <s v="W11"/>
    <s v="20210412"/>
    <s v="20250826"/>
    <s v="20210610"/>
    <n v="51"/>
    <n v="66264"/>
    <m/>
    <n v="100"/>
    <n v="18.18"/>
    <n v="18.18"/>
    <n v="39660"/>
    <n v="3391"/>
    <n v="0"/>
    <n v="43051"/>
    <s v="YB 17"/>
    <s v="2021-04"/>
    <s v="단품불량"/>
    <s v="경고등 점등"/>
    <n v="70000"/>
    <n v="70000"/>
    <n v="54"/>
    <n v="54"/>
    <s v="D19"/>
    <s v="TUNISIA"/>
    <x v="0"/>
    <x v="1"/>
    <s v="컨버터"/>
    <s v="카파(WIA)"/>
    <x v="13"/>
    <s v="2026년"/>
    <s v="1분기"/>
  </r>
  <r>
    <s v="WIA"/>
    <s v="E"/>
    <s v="2026011WA"/>
    <s v="K"/>
    <s v="R151"/>
    <n v="157"/>
    <s v="2026/01"/>
    <s v="D19VA00014D1428750"/>
    <s v="KNADC518AM6566409"/>
    <s v="W"/>
    <s v="H8"/>
    <s v="2853008250"/>
    <s v="CONVERTER ASSY-W/UP CATALYTIC"/>
    <m/>
    <e v="#N/A"/>
    <s v="28950R1K"/>
    <s v="ZZ3"/>
    <s v="W11"/>
    <s v="20210412"/>
    <s v="20250520"/>
    <s v="20210702"/>
    <n v="47"/>
    <n v="99061"/>
    <m/>
    <n v="100"/>
    <n v="18.18"/>
    <n v="18.18"/>
    <n v="39660"/>
    <n v="1043"/>
    <n v="0"/>
    <n v="40703"/>
    <s v="YB 17"/>
    <s v="2021-04"/>
    <s v="단품불량"/>
    <s v="경고등 점등"/>
    <n v="100000"/>
    <n v="100000"/>
    <n v="48"/>
    <n v="48"/>
    <s v="D19"/>
    <s v="TUNISIA"/>
    <x v="0"/>
    <x v="1"/>
    <s v="컨버터"/>
    <s v="카파(WIA)"/>
    <x v="13"/>
    <s v="2026년"/>
    <s v="1분기"/>
  </r>
  <r>
    <s v="WIA"/>
    <s v="E"/>
    <s v="2026011WA"/>
    <s v="K"/>
    <s v="R151"/>
    <n v="158"/>
    <s v="2026/01"/>
    <s v="D19VA00001D1166056"/>
    <s v="KNADE518AM6566051"/>
    <s v="W"/>
    <s v="H8"/>
    <s v="2853008250"/>
    <s v="CONVERTER ASSY-W/UP CATALYTIC"/>
    <m/>
    <e v="#N/A"/>
    <s v="28530R1K"/>
    <s v="ZZ3"/>
    <s v="W11"/>
    <s v="20210412"/>
    <s v="20250617"/>
    <s v="20210625"/>
    <n v="48"/>
    <n v="84784"/>
    <m/>
    <n v="100"/>
    <n v="18.18"/>
    <n v="18.18"/>
    <n v="39660"/>
    <n v="3391"/>
    <n v="0"/>
    <n v="43051"/>
    <s v="YB 17"/>
    <s v="2021-04"/>
    <s v="단품불량"/>
    <s v="경고등 점등"/>
    <n v="90000"/>
    <n v="85000"/>
    <n v="54"/>
    <n v="51"/>
    <s v="D19"/>
    <s v="TUNISIA"/>
    <x v="0"/>
    <x v="1"/>
    <s v="컨버터"/>
    <s v="카파(WIA)"/>
    <x v="13"/>
    <s v="2026년"/>
    <s v="1분기"/>
  </r>
  <r>
    <s v="WIA"/>
    <s v="E"/>
    <s v="2026011WA"/>
    <s v="K"/>
    <s v="R151"/>
    <n v="159"/>
    <s v="2026/01"/>
    <s v="D19VA00014D1430420"/>
    <s v="KNADE518AM6566753"/>
    <s v="W"/>
    <s v="H8"/>
    <s v="2853008250"/>
    <s v="CONVERTER ASSY-W/UP CATALYTIC"/>
    <m/>
    <e v="#N/A"/>
    <s v="28530R1K"/>
    <s v="ZZ3"/>
    <s v="W11"/>
    <s v="20210413"/>
    <s v="20250529"/>
    <s v="20210702"/>
    <n v="47"/>
    <n v="47447"/>
    <m/>
    <n v="100"/>
    <n v="18.18"/>
    <n v="18.18"/>
    <n v="39660"/>
    <n v="3391"/>
    <n v="0"/>
    <n v="43051"/>
    <s v="YB 17"/>
    <s v="2021-04"/>
    <s v="단품불량"/>
    <s v="경고등 점등"/>
    <n v="50000"/>
    <n v="50000"/>
    <n v="48"/>
    <n v="48"/>
    <s v="D19"/>
    <s v="TUNISIA"/>
    <x v="0"/>
    <x v="1"/>
    <s v="컨버터"/>
    <s v="카파(WIA)"/>
    <x v="13"/>
    <s v="2026년"/>
    <s v="1분기"/>
  </r>
  <r>
    <s v="WIA"/>
    <s v="E"/>
    <s v="2026011WA"/>
    <s v="K"/>
    <s v="R151"/>
    <n v="160"/>
    <s v="2026/01"/>
    <s v="D19VA00014D1430307"/>
    <s v="KNADC518AN6594200"/>
    <s v="W"/>
    <s v="H8"/>
    <s v="2853008250"/>
    <s v="CONVERTER ASSY-W/UP CATALYTIC"/>
    <m/>
    <e v="#N/A"/>
    <s v="28530R1K"/>
    <s v="ZZ3"/>
    <s v="W11"/>
    <s v="20210622"/>
    <s v="20250617"/>
    <s v="20210909"/>
    <n v="46"/>
    <n v="90072"/>
    <m/>
    <n v="100"/>
    <n v="18.18"/>
    <n v="18.18"/>
    <n v="39660"/>
    <n v="3391"/>
    <n v="0"/>
    <n v="43051"/>
    <s v="YB 17"/>
    <s v="2021-06"/>
    <s v="단품불량"/>
    <s v="경고등 점등"/>
    <n v="100000"/>
    <n v="95000"/>
    <n v="48"/>
    <n v="48"/>
    <s v="D19"/>
    <s v="TUNISIA"/>
    <x v="0"/>
    <x v="1"/>
    <s v="컨버터"/>
    <s v="카파(WIA)"/>
    <x v="13"/>
    <s v="2026년"/>
    <s v="1분기"/>
  </r>
  <r>
    <s v="WIA"/>
    <s v="E"/>
    <s v="2026011WA"/>
    <s v="K"/>
    <s v="R151"/>
    <n v="161"/>
    <s v="2026/01"/>
    <s v="D19VA00001D11721000"/>
    <s v="KNADC518AN6616956"/>
    <s v="W"/>
    <s v="H8"/>
    <s v="2853008250"/>
    <s v="CONVERTER ASSY-W/UP CATALYTIC"/>
    <m/>
    <e v="#N/A"/>
    <s v="28530R1K"/>
    <s v="ZZ3"/>
    <s v="W11"/>
    <s v="20210909"/>
    <s v="20250522"/>
    <s v="20211125"/>
    <n v="42"/>
    <n v="89909"/>
    <m/>
    <n v="100"/>
    <n v="18.18"/>
    <n v="18.18"/>
    <n v="39660"/>
    <n v="3391"/>
    <n v="0"/>
    <n v="43051"/>
    <s v="YB 17"/>
    <s v="2021-09"/>
    <s v="단품불량"/>
    <s v="경고등 점등"/>
    <n v="90000"/>
    <n v="90000"/>
    <n v="48"/>
    <n v="45"/>
    <s v="D19"/>
    <s v="TUNISIA"/>
    <x v="0"/>
    <x v="1"/>
    <s v="컨버터"/>
    <s v="카파(WIA)"/>
    <x v="13"/>
    <s v="2026년"/>
    <s v="1분기"/>
  </r>
  <r>
    <s v="WIA"/>
    <s v="E"/>
    <s v="2026011WA"/>
    <s v="K"/>
    <s v="R151"/>
    <n v="162"/>
    <s v="2026/01"/>
    <s v="D19VA00018D1817369"/>
    <s v="KNADC518AN6622304"/>
    <s v="W"/>
    <s v="H8"/>
    <s v="2853008250"/>
    <s v="CONVERTER ASSY-W/UP CATALYTIC"/>
    <m/>
    <e v="#N/A"/>
    <s v="28530R1K"/>
    <s v="ZZ3"/>
    <s v="B31"/>
    <s v="20210929"/>
    <s v="20240517"/>
    <s v="20211209"/>
    <n v="30"/>
    <n v="93369"/>
    <m/>
    <n v="100"/>
    <n v="18.18"/>
    <n v="18.18"/>
    <n v="39660"/>
    <n v="3391"/>
    <n v="0"/>
    <n v="43051"/>
    <s v="YB 17"/>
    <s v="2021-09"/>
    <s v="단품불량"/>
    <s v="조립 불량"/>
    <n v="100000"/>
    <n v="95000"/>
    <n v="36"/>
    <n v="33"/>
    <s v="D19"/>
    <s v="TUNISIA"/>
    <x v="0"/>
    <x v="1"/>
    <s v="컨버터"/>
    <s v="카파(WIA)"/>
    <x v="13"/>
    <s v="2026년"/>
    <s v="1분기"/>
  </r>
  <r>
    <s v="WIA"/>
    <s v="E"/>
    <s v="2026011WA"/>
    <s v="K"/>
    <s v="R151"/>
    <n v="163"/>
    <s v="2026/01"/>
    <s v="D19VA00017D1718755"/>
    <s v="KNADC518AN6624196"/>
    <s v="W"/>
    <s v="H8"/>
    <s v="2853008250"/>
    <s v="CONVERTER ASSY-W/UP CATALYTIC"/>
    <m/>
    <e v="#N/A"/>
    <s v="28530R1K"/>
    <s v="ZZ3"/>
    <s v="W17"/>
    <s v="20211004"/>
    <s v="20251128"/>
    <s v="20211228"/>
    <n v="48"/>
    <n v="96796"/>
    <m/>
    <n v="100"/>
    <n v="18.18"/>
    <n v="18.18"/>
    <n v="39660"/>
    <n v="3391"/>
    <n v="0"/>
    <n v="43051"/>
    <s v="YB 17"/>
    <s v="2021-10"/>
    <s v="단품불량"/>
    <s v="경고등 점등"/>
    <n v="100000"/>
    <n v="100000"/>
    <n v="54"/>
    <n v="51"/>
    <s v="D19"/>
    <s v="TUNISIA"/>
    <x v="0"/>
    <x v="1"/>
    <s v="컨버터"/>
    <s v="카파(WIA)"/>
    <x v="13"/>
    <s v="2026년"/>
    <s v="1분기"/>
  </r>
  <r>
    <s v="WIA"/>
    <s v="E"/>
    <s v="2026011WA"/>
    <s v="K"/>
    <s v="R151"/>
    <n v="164"/>
    <s v="2026/01"/>
    <s v="D19VA00001D1172242"/>
    <s v="KNADE518AN6646178"/>
    <s v="W"/>
    <s v="H8"/>
    <s v="2853008250"/>
    <s v="CONVERTER ASSY-W/UP CATALYTIC"/>
    <m/>
    <e v="#N/A"/>
    <s v="28530R1K"/>
    <s v="ZZ3"/>
    <s v="W11"/>
    <s v="20211222"/>
    <s v="20251208"/>
    <s v="20220221"/>
    <n v="46"/>
    <n v="68791"/>
    <m/>
    <n v="100"/>
    <n v="18.18"/>
    <n v="18.18"/>
    <n v="39660"/>
    <n v="3391"/>
    <n v="0"/>
    <n v="43051"/>
    <s v="YB 17"/>
    <s v="2021-12"/>
    <s v="단품불량"/>
    <s v="경고등 점등"/>
    <n v="70000"/>
    <n v="70000"/>
    <n v="48"/>
    <n v="48"/>
    <s v="D19"/>
    <s v="TUNISIA"/>
    <x v="0"/>
    <x v="1"/>
    <s v="컨버터"/>
    <s v="카파(WIA)"/>
    <x v="13"/>
    <s v="2026년"/>
    <s v="1분기"/>
  </r>
  <r>
    <s v="WIA"/>
    <s v="E"/>
    <s v="2026011WA"/>
    <s v="K"/>
    <s v="R151"/>
    <n v="165"/>
    <s v="2026/01"/>
    <s v="D19VA00008D864491"/>
    <s v="KNADC518AN6648445"/>
    <s v="W"/>
    <s v="H8"/>
    <s v="2853008250"/>
    <s v="CONVERTER ASSY-W/UP CATALYTIC"/>
    <m/>
    <e v="#N/A"/>
    <s v="28530R1K"/>
    <s v="ZZ3"/>
    <s v="W11"/>
    <s v="20211230"/>
    <s v="20250506"/>
    <s v="20220222"/>
    <n v="39"/>
    <n v="83175"/>
    <m/>
    <n v="100"/>
    <n v="18.18"/>
    <n v="18.18"/>
    <n v="39660"/>
    <n v="3391"/>
    <n v="0"/>
    <n v="43051"/>
    <s v="YB 17"/>
    <s v="2021-12"/>
    <s v="단품불량"/>
    <s v="경고등 점등"/>
    <n v="90000"/>
    <n v="85000"/>
    <n v="42"/>
    <n v="42"/>
    <s v="D19"/>
    <s v="TUNISIA"/>
    <x v="0"/>
    <x v="1"/>
    <s v="컨버터"/>
    <s v="카파(WIA)"/>
    <x v="13"/>
    <s v="2026년"/>
    <s v="1분기"/>
  </r>
  <r>
    <s v="WIA"/>
    <s v="E"/>
    <s v="2026011WA"/>
    <s v="K"/>
    <s v="R151"/>
    <n v="166"/>
    <s v="2026/01"/>
    <s v="D19VA00008D867558"/>
    <s v="KNADE518AN6669994"/>
    <s v="W"/>
    <s v="H8"/>
    <s v="2853008250"/>
    <s v="CONVERTER ASSY-W/UP CATALYTIC"/>
    <m/>
    <e v="#N/A"/>
    <s v="28530R1K"/>
    <s v="ZZ3"/>
    <s v="W11"/>
    <s v="20220223"/>
    <s v="20250423"/>
    <s v="20220429"/>
    <n v="36"/>
    <n v="87296"/>
    <m/>
    <n v="100"/>
    <n v="18.18"/>
    <n v="18.18"/>
    <n v="39660"/>
    <n v="3391"/>
    <n v="0"/>
    <n v="43051"/>
    <s v="YB 17"/>
    <s v="2022-02"/>
    <s v="단품불량"/>
    <s v="경고등 점등"/>
    <n v="90000"/>
    <n v="90000"/>
    <n v="42"/>
    <n v="39"/>
    <s v="D19"/>
    <s v="TUNISIA"/>
    <x v="0"/>
    <x v="1"/>
    <s v="컨버터"/>
    <s v="카파(WIA)"/>
    <x v="13"/>
    <s v="2026년"/>
    <s v="1분기"/>
  </r>
  <r>
    <s v="WIA"/>
    <s v="E"/>
    <s v="2026011WA"/>
    <s v="K"/>
    <s v="R151"/>
    <n v="167"/>
    <s v="2026/01"/>
    <s v="D19VA00014D1430440"/>
    <s v="KNADE518AN6674410"/>
    <s v="W"/>
    <s v="H8"/>
    <s v="2853008250"/>
    <s v="CONVERTER ASSY-W/UP CATALYTIC"/>
    <m/>
    <e v="#N/A"/>
    <s v="28530R1K"/>
    <s v="ZZ3"/>
    <s v="W11"/>
    <s v="20220307"/>
    <s v="20250623"/>
    <s v="20220428"/>
    <n v="38"/>
    <n v="77709"/>
    <m/>
    <n v="100"/>
    <n v="18.18"/>
    <n v="18.18"/>
    <n v="39660"/>
    <n v="3391"/>
    <n v="0"/>
    <n v="43051"/>
    <s v="YB 17"/>
    <s v="2022-03"/>
    <s v="단품불량"/>
    <s v="경고등 점등"/>
    <n v="80000"/>
    <n v="80000"/>
    <n v="42"/>
    <n v="39"/>
    <s v="D19"/>
    <s v="TUNISIA"/>
    <x v="0"/>
    <x v="1"/>
    <s v="컨버터"/>
    <s v="카파(WIA)"/>
    <x v="13"/>
    <s v="2026년"/>
    <s v="1분기"/>
  </r>
  <r>
    <s v="WIA"/>
    <s v="E"/>
    <s v="2026011WA"/>
    <s v="K"/>
    <s v="R151"/>
    <n v="168"/>
    <s v="2026/01"/>
    <s v="D19VA00008D86575000"/>
    <s v="KNADC518AN6687527"/>
    <s v="W"/>
    <s v="H8"/>
    <s v="2853008250"/>
    <s v="CONVERTER ASSY-W/UP CATALYTIC"/>
    <m/>
    <e v="#N/A"/>
    <s v="28530R1K"/>
    <s v="ZZ3"/>
    <s v="W11"/>
    <s v="20220408"/>
    <s v="20251218"/>
    <s v="20220616"/>
    <n v="43"/>
    <n v="94188"/>
    <m/>
    <n v="100"/>
    <n v="18.18"/>
    <n v="18.18"/>
    <n v="39660"/>
    <n v="3391"/>
    <n v="0"/>
    <n v="43051"/>
    <s v="YB 17"/>
    <s v="2022-04"/>
    <s v="단품불량"/>
    <s v="경고등 점등"/>
    <n v="100000"/>
    <n v="95000"/>
    <n v="48"/>
    <n v="45"/>
    <s v="D19"/>
    <s v="TUNISIA"/>
    <x v="0"/>
    <x v="1"/>
    <s v="컨버터"/>
    <s v="카파(WIA)"/>
    <x v="13"/>
    <s v="2026년"/>
    <s v="1분기"/>
  </r>
  <r>
    <s v="WIA"/>
    <s v="E"/>
    <s v="2026011WA"/>
    <s v="K"/>
    <s v="R151"/>
    <n v="169"/>
    <s v="2026/01"/>
    <s v="D19VA00008D868506"/>
    <s v="KNADC518AN6687532"/>
    <s v="W"/>
    <s v="H8"/>
    <s v="2853008250"/>
    <s v="CONVERTER ASSY-W/UP CATALYTIC"/>
    <m/>
    <e v="#N/A"/>
    <s v="28530R1K"/>
    <s v="ZZ3"/>
    <s v="W17"/>
    <s v="20220408"/>
    <s v="20250523"/>
    <s v="20220614"/>
    <n v="36"/>
    <n v="95459"/>
    <m/>
    <n v="100"/>
    <n v="18.18"/>
    <n v="18.18"/>
    <n v="39660"/>
    <n v="3391"/>
    <n v="0"/>
    <n v="43051"/>
    <s v="YB 17"/>
    <s v="2022-04"/>
    <s v="단품불량"/>
    <s v="경고등 점등"/>
    <n v="100000"/>
    <n v="100000"/>
    <n v="42"/>
    <n v="39"/>
    <s v="D19"/>
    <s v="TUNISIA"/>
    <x v="0"/>
    <x v="1"/>
    <s v="컨버터"/>
    <s v="카파(WIA)"/>
    <x v="13"/>
    <s v="2026년"/>
    <s v="1분기"/>
  </r>
  <r>
    <s v="WIA"/>
    <s v="E"/>
    <s v="2026011WA"/>
    <s v="K"/>
    <s v="R151"/>
    <n v="170"/>
    <s v="2026/01"/>
    <s v="D19VA00018D1817351"/>
    <s v="KNADC518AN6738691"/>
    <s v="W"/>
    <s v="H8"/>
    <s v="2853008250"/>
    <s v="CONVERTER ASSY-W/UP CATALYTIC"/>
    <m/>
    <e v="#N/A"/>
    <s v="28530R1K"/>
    <s v="ZZ3"/>
    <s v="W11"/>
    <s v="20220817"/>
    <s v="20240425"/>
    <s v="20221114"/>
    <n v="18"/>
    <n v="91929"/>
    <m/>
    <n v="100"/>
    <n v="18.18"/>
    <n v="18.18"/>
    <n v="39660"/>
    <n v="3391"/>
    <n v="0"/>
    <n v="43051"/>
    <s v="YB 17"/>
    <s v="2022-08"/>
    <s v="단품불량"/>
    <s v="경고등 점등"/>
    <n v="100000"/>
    <n v="95000"/>
    <n v="24"/>
    <n v="21"/>
    <s v="D19"/>
    <s v="TUNISIA"/>
    <x v="0"/>
    <x v="1"/>
    <s v="컨버터"/>
    <s v="카파(WIA)"/>
    <x v="13"/>
    <s v="2026년"/>
    <s v="1분기"/>
  </r>
  <r>
    <s v="WIA"/>
    <s v="E"/>
    <s v="2026011WA"/>
    <s v="K"/>
    <s v="R151"/>
    <n v="171"/>
    <s v="2026/01"/>
    <s v="D19VA00001D1172663"/>
    <s v="KNADE518AN6748056"/>
    <s v="W"/>
    <s v="H8"/>
    <s v="2853008250"/>
    <s v="CONVERTER ASSY-W/UP CATALYTIC"/>
    <m/>
    <e v="#N/A"/>
    <s v="28530R1K"/>
    <s v="ZZ3"/>
    <s v="W11"/>
    <s v="20220914"/>
    <s v="20250702"/>
    <s v="20221206"/>
    <n v="31"/>
    <n v="97354"/>
    <m/>
    <n v="100"/>
    <n v="18.18"/>
    <n v="18.18"/>
    <n v="39660"/>
    <n v="3391"/>
    <n v="0"/>
    <n v="43051"/>
    <s v="YB 17"/>
    <s v="2022-09"/>
    <s v="단품불량"/>
    <s v="경고등 점등"/>
    <n v="100000"/>
    <n v="100000"/>
    <n v="36"/>
    <n v="33"/>
    <s v="D19"/>
    <s v="TUNISIA"/>
    <x v="0"/>
    <x v="1"/>
    <s v="컨버터"/>
    <s v="카파(WIA)"/>
    <x v="13"/>
    <s v="2026년"/>
    <s v="1분기"/>
  </r>
  <r>
    <s v="WIA"/>
    <s v="E"/>
    <s v="2026011WA"/>
    <s v="K"/>
    <s v="R151"/>
    <n v="172"/>
    <s v="2026/01"/>
    <s v="D19VA00014D1428885"/>
    <s v="KNADE518AN6748035"/>
    <s v="W"/>
    <s v="H8"/>
    <s v="2853008250"/>
    <s v="CONVERTER ASSY-W/UP CATALYTIC"/>
    <m/>
    <e v="#N/A"/>
    <s v="28530R1K"/>
    <s v="ZZ3"/>
    <s v="I11"/>
    <s v="20220914"/>
    <s v="20250523"/>
    <s v="20221208"/>
    <n v="30"/>
    <n v="70671"/>
    <m/>
    <n v="100"/>
    <n v="18.18"/>
    <n v="18.18"/>
    <n v="39660"/>
    <n v="3391"/>
    <n v="0"/>
    <n v="43051"/>
    <s v="YB 17"/>
    <s v="2022-09"/>
    <s v="단품불량"/>
    <s v="작동불량"/>
    <n v="80000"/>
    <n v="75000"/>
    <n v="36"/>
    <n v="33"/>
    <s v="D19"/>
    <s v="TUNISIA"/>
    <x v="0"/>
    <x v="1"/>
    <s v="컨버터"/>
    <s v="카파(WIA)"/>
    <x v="13"/>
    <s v="2026년"/>
    <s v="1분기"/>
  </r>
  <r>
    <s v="WIA"/>
    <s v="E"/>
    <s v="2026011WA"/>
    <s v="K"/>
    <s v="R151"/>
    <n v="173"/>
    <s v="2026/01"/>
    <s v="D19VA00008D86858000"/>
    <s v="KNADC518AN6748160"/>
    <s v="W"/>
    <s v="H8"/>
    <s v="2853008250"/>
    <s v="CONVERTER ASSY-W/UP CATALYTIC"/>
    <m/>
    <e v="#N/A"/>
    <s v="28530R1K"/>
    <s v="ZZ3"/>
    <s v="W11"/>
    <s v="20220915"/>
    <s v="20250527"/>
    <s v="20221108"/>
    <n v="31"/>
    <n v="94131"/>
    <m/>
    <n v="100"/>
    <n v="18.18"/>
    <n v="18.18"/>
    <n v="39660"/>
    <n v="3391"/>
    <n v="0"/>
    <n v="43051"/>
    <s v="YB 17"/>
    <s v="2022-09"/>
    <s v="단품불량"/>
    <s v="경고등 점등"/>
    <n v="100000"/>
    <n v="95000"/>
    <n v="36"/>
    <n v="33"/>
    <s v="D19"/>
    <s v="TUNISIA"/>
    <x v="0"/>
    <x v="1"/>
    <s v="컨버터"/>
    <s v="카파(WIA)"/>
    <x v="13"/>
    <s v="2026년"/>
    <s v="1분기"/>
  </r>
  <r>
    <s v="WIA"/>
    <s v="E"/>
    <s v="2026011WA"/>
    <s v="K"/>
    <s v="R151"/>
    <n v="174"/>
    <s v="2026/01"/>
    <s v="D19VA00011D1116417"/>
    <s v="KNADC518AN6749857"/>
    <s v="W"/>
    <s v="H8"/>
    <s v="2853008250"/>
    <s v="CONVERTER ASSY-W/UP CATALYTIC"/>
    <m/>
    <e v="#N/A"/>
    <s v="28530R1K"/>
    <s v="ZZ3"/>
    <s v="W11"/>
    <s v="20220919"/>
    <s v="20250616"/>
    <s v="20221206"/>
    <n v="31"/>
    <n v="74230"/>
    <m/>
    <n v="100"/>
    <n v="18.18"/>
    <n v="18.18"/>
    <n v="39660"/>
    <n v="3391"/>
    <n v="0"/>
    <n v="43051"/>
    <s v="YB 17"/>
    <s v="2022-09"/>
    <s v="단품불량"/>
    <s v="경고등 점등"/>
    <n v="80000"/>
    <n v="75000"/>
    <n v="36"/>
    <n v="33"/>
    <s v="D19"/>
    <s v="TUNISIA"/>
    <x v="0"/>
    <x v="1"/>
    <s v="컨버터"/>
    <s v="카파(WIA)"/>
    <x v="13"/>
    <s v="2026년"/>
    <s v="1분기"/>
  </r>
  <r>
    <s v="WIA"/>
    <s v="E"/>
    <s v="2026011WA"/>
    <s v="K"/>
    <s v="R151"/>
    <n v="175"/>
    <s v="2026/01"/>
    <s v="D19VA00003D366561"/>
    <s v="KNADC518AN6750259"/>
    <s v="W"/>
    <s v="H8"/>
    <s v="2853008250"/>
    <s v="CONVERTER ASSY-W/UP CATALYTIC"/>
    <m/>
    <e v="#N/A"/>
    <s v="28530R1K"/>
    <s v="ZZ3"/>
    <s v="W11"/>
    <s v="20220920"/>
    <s v="20251028"/>
    <s v="20221110"/>
    <n v="36"/>
    <n v="50186"/>
    <m/>
    <n v="100"/>
    <n v="18.18"/>
    <n v="18.18"/>
    <n v="39660"/>
    <n v="3391"/>
    <n v="0"/>
    <n v="43051"/>
    <s v="YB 17"/>
    <s v="2022-09"/>
    <s v="단품불량"/>
    <s v="경고등 점등"/>
    <n v="60000"/>
    <n v="55000"/>
    <n v="42"/>
    <n v="39"/>
    <s v="D19"/>
    <s v="TUNISIA"/>
    <x v="0"/>
    <x v="1"/>
    <s v="컨버터"/>
    <s v="카파(WIA)"/>
    <x v="13"/>
    <s v="2026년"/>
    <s v="1분기"/>
  </r>
  <r>
    <s v="WIA"/>
    <s v="E"/>
    <s v="2026011WA"/>
    <s v="K"/>
    <s v="R151"/>
    <n v="176"/>
    <s v="2026/01"/>
    <s v="D19VA00014D14307000"/>
    <s v="KNADE518AN6749831"/>
    <s v="W"/>
    <s v="H8"/>
    <s v="2853008250"/>
    <s v="CONVERTER ASSY-W/UP CATALYTIC"/>
    <m/>
    <e v="#N/A"/>
    <s v="28511R1K"/>
    <s v="ZZ3"/>
    <s v="W11"/>
    <s v="20220920"/>
    <s v="20250402"/>
    <s v="20221208"/>
    <n v="28"/>
    <n v="41142"/>
    <m/>
    <n v="100"/>
    <n v="18.18"/>
    <n v="18.18"/>
    <n v="39660"/>
    <n v="2087"/>
    <n v="0"/>
    <n v="41747"/>
    <s v="YB 17"/>
    <s v="2022-09"/>
    <s v="단품불량"/>
    <s v="경고등 점등"/>
    <n v="50000"/>
    <n v="45000"/>
    <n v="30"/>
    <n v="30"/>
    <s v="D19"/>
    <s v="TUNISIA"/>
    <x v="0"/>
    <x v="1"/>
    <s v="컨버터"/>
    <s v="카파(WIA)"/>
    <x v="13"/>
    <s v="2026년"/>
    <s v="1분기"/>
  </r>
  <r>
    <s v="WIA"/>
    <s v="E"/>
    <s v="2026011WA"/>
    <s v="K"/>
    <s v="R151"/>
    <n v="177"/>
    <s v="2026/01"/>
    <s v="D19VA00008D866376"/>
    <s v="KNADC518AN6750243"/>
    <s v="W"/>
    <s v="H8"/>
    <s v="2853008250"/>
    <s v="CONVERTER ASSY-W/UP CATALYTIC"/>
    <m/>
    <e v="#N/A"/>
    <s v="28530R1K"/>
    <s v="ZZ3"/>
    <s v="W17"/>
    <s v="20220920"/>
    <s v="20241226"/>
    <s v="20221110"/>
    <n v="26"/>
    <n v="62040"/>
    <m/>
    <n v="100"/>
    <n v="18.18"/>
    <n v="18.18"/>
    <n v="39660"/>
    <n v="3391"/>
    <n v="0"/>
    <n v="43051"/>
    <s v="YB 17"/>
    <s v="2022-09"/>
    <s v="단품불량"/>
    <s v="경고등 점등"/>
    <n v="70000"/>
    <n v="65000"/>
    <n v="30"/>
    <n v="27"/>
    <s v="D19"/>
    <s v="TUNISIA"/>
    <x v="0"/>
    <x v="1"/>
    <s v="컨버터"/>
    <s v="카파(WIA)"/>
    <x v="13"/>
    <s v="2026년"/>
    <s v="1분기"/>
  </r>
  <r>
    <s v="WIA"/>
    <s v="E"/>
    <s v="2026011WA"/>
    <s v="K"/>
    <s v="R151"/>
    <n v="178"/>
    <s v="2026/01"/>
    <s v="D19VA00001D1172705"/>
    <s v="KNADE518AN6759668"/>
    <s v="W"/>
    <s v="H8"/>
    <s v="2853008250"/>
    <s v="CONVERTER ASSY-W/UP CATALYTIC"/>
    <m/>
    <e v="#N/A"/>
    <s v="28950R1K"/>
    <s v="ZZ3"/>
    <s v="W17"/>
    <s v="20221014"/>
    <s v="20250520"/>
    <s v="20221221"/>
    <n v="29"/>
    <n v="70176"/>
    <m/>
    <n v="100"/>
    <n v="18.18"/>
    <n v="18.18"/>
    <n v="39660"/>
    <n v="1043"/>
    <n v="0"/>
    <n v="40703"/>
    <s v="YB 17"/>
    <s v="2022-10"/>
    <s v="단품불량"/>
    <s v="경고등 점등"/>
    <n v="80000"/>
    <n v="75000"/>
    <n v="30"/>
    <n v="30"/>
    <s v="D19"/>
    <s v="TUNISIA"/>
    <x v="0"/>
    <x v="1"/>
    <s v="컨버터"/>
    <s v="카파(WIA)"/>
    <x v="13"/>
    <s v="2026년"/>
    <s v="1분기"/>
  </r>
  <r>
    <s v="WIA"/>
    <s v="E"/>
    <s v="2026011WA"/>
    <s v="K"/>
    <s v="R151"/>
    <n v="179"/>
    <s v="2026/01"/>
    <s v="D19VA00014D1428723"/>
    <s v="KNADE518AN6774635"/>
    <s v="W"/>
    <s v="H8"/>
    <s v="2853008250"/>
    <s v="CONVERTER ASSY-W/UP CATALYTIC"/>
    <m/>
    <e v="#N/A"/>
    <s v="28530R1K"/>
    <s v="ZZ3"/>
    <s v="W11"/>
    <s v="20221118"/>
    <s v="20250603"/>
    <s v="20230112"/>
    <n v="29"/>
    <n v="53721"/>
    <m/>
    <n v="100"/>
    <n v="18.18"/>
    <n v="18.18"/>
    <n v="39660"/>
    <n v="3391"/>
    <n v="0"/>
    <n v="43051"/>
    <s v="YB 17"/>
    <s v="2022-11"/>
    <s v="단품불량"/>
    <s v="경고등 점등"/>
    <n v="60000"/>
    <n v="55000"/>
    <n v="30"/>
    <n v="30"/>
    <s v="D19"/>
    <s v="TUNISIA"/>
    <x v="0"/>
    <x v="1"/>
    <s v="컨버터"/>
    <s v="카파(WIA)"/>
    <x v="13"/>
    <s v="2026년"/>
    <s v="1분기"/>
  </r>
  <r>
    <s v="WIA"/>
    <s v="E"/>
    <s v="2026011WA"/>
    <s v="K"/>
    <s v="R151"/>
    <n v="180"/>
    <s v="2026/01"/>
    <s v="D19VA00014D1430579"/>
    <s v="KNADE518AN6774600"/>
    <s v="W"/>
    <s v="H8"/>
    <s v="2853008250"/>
    <s v="CONVERTER ASSY-W/UP CATALYTIC"/>
    <m/>
    <e v="#N/A"/>
    <s v=""/>
    <s v="ZZ3"/>
    <s v="W11"/>
    <s v="20221121"/>
    <s v="20250517"/>
    <s v="20230207"/>
    <n v="28"/>
    <n v="60072"/>
    <m/>
    <n v="100"/>
    <n v="18.18"/>
    <n v="18.18"/>
    <n v="39660"/>
    <n v="0"/>
    <n v="0"/>
    <n v="39660"/>
    <s v="YB 17"/>
    <s v="2022-11"/>
    <s v="단품불량"/>
    <s v="경고등 점등"/>
    <n v="70000"/>
    <n v="65000"/>
    <n v="30"/>
    <n v="30"/>
    <s v="D19"/>
    <s v="TUNISIA"/>
    <x v="0"/>
    <x v="1"/>
    <s v="컨버터"/>
    <s v="카파(WIA)"/>
    <x v="13"/>
    <s v="2026년"/>
    <s v="1분기"/>
  </r>
  <r>
    <s v="WIA"/>
    <s v="E"/>
    <s v="2026011WA"/>
    <s v="K"/>
    <s v="R151"/>
    <n v="181"/>
    <s v="2026/01"/>
    <s v="D19VA00001D1171691"/>
    <s v="KNADC518AN6776605"/>
    <s v="W"/>
    <s v="H8"/>
    <s v="2853008250"/>
    <s v="CONVERTER ASSY-W/UP CATALYTIC"/>
    <m/>
    <e v="#N/A"/>
    <s v="28530R1K"/>
    <s v="ZZ3"/>
    <s v="W17"/>
    <s v="20221124"/>
    <s v="20251127"/>
    <s v="20230403"/>
    <n v="32"/>
    <n v="55720"/>
    <m/>
    <n v="100"/>
    <n v="18.18"/>
    <n v="18.18"/>
    <n v="39660"/>
    <n v="3391"/>
    <n v="0"/>
    <n v="43051"/>
    <s v="YB 17"/>
    <s v="2022-11"/>
    <s v="단품불량"/>
    <s v="경고등 점등"/>
    <n v="60000"/>
    <n v="60000"/>
    <n v="36"/>
    <n v="33"/>
    <s v="D19"/>
    <s v="TUNISIA"/>
    <x v="0"/>
    <x v="1"/>
    <s v="컨버터"/>
    <s v="카파(WIA)"/>
    <x v="13"/>
    <s v="2026년"/>
    <s v="1분기"/>
  </r>
  <r>
    <s v="WIA"/>
    <s v="E"/>
    <s v="2026011WA"/>
    <s v="K"/>
    <s v="R151"/>
    <n v="182"/>
    <s v="2026/01"/>
    <s v="D19VA00001D1171288"/>
    <s v="KNADC518AP6836920"/>
    <s v="W"/>
    <s v="H8"/>
    <s v="2853008250"/>
    <s v="CONVERTER ASSY-W/UP CATALYTIC"/>
    <m/>
    <e v="#N/A"/>
    <s v="28530R1K"/>
    <s v="ZZ3"/>
    <s v="W17"/>
    <s v="20230411"/>
    <s v="20251121"/>
    <s v="20230713"/>
    <n v="29"/>
    <n v="43995"/>
    <m/>
    <n v="100"/>
    <n v="18.18"/>
    <n v="18.18"/>
    <n v="39660"/>
    <n v="3391"/>
    <n v="0"/>
    <n v="43051"/>
    <s v="YB 17"/>
    <s v="2023-04"/>
    <s v="단품불량"/>
    <s v="경고등 점등"/>
    <n v="50000"/>
    <n v="45000"/>
    <n v="30"/>
    <n v="30"/>
    <s v="D19"/>
    <s v="TUNISIA"/>
    <x v="0"/>
    <x v="1"/>
    <s v="컨버터"/>
    <s v="카파(WIA)"/>
    <x v="13"/>
    <s v="2026년"/>
    <s v="1분기"/>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CEEBC-C8EA-4DFB-B9A3-7B2D75EBFE38}" name="피벗 테이블8" cacheId="27" applyNumberFormats="0" applyBorderFormats="0" applyFontFormats="0" applyPatternFormats="0" applyAlignmentFormats="0" applyWidthHeightFormats="1" dataCaption="값" updatedVersion="7" minRefreshableVersion="3" useAutoFormatting="1" colGrandTotals="0" itemPrintTitles="1" createdVersion="7" indent="0" compact="0" compactData="0" gridDropZones="1" multipleFieldFilters="0">
  <location ref="A3:D33" firstHeaderRow="1" firstDataRow="2" firstDataCol="2"/>
  <pivotFields count="4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6" outline="0" showAll="0"/>
    <pivotField compact="0" numFmtId="3" outline="0" showAll="0"/>
    <pivotField compact="0" outline="0" showAll="0"/>
    <pivotField compact="0" numFmtId="4" outline="0" showAll="0"/>
    <pivotField compact="0" numFmtId="4" outline="0" showAll="0"/>
    <pivotField compact="0" numFmtId="4" outline="0" showAll="0"/>
    <pivotField compact="0" numFmtId="4" outline="0" showAll="0"/>
    <pivotField compact="0" numFmtId="4" outline="0" showAll="0"/>
    <pivotField compact="0" numFmtId="4" outline="0" showAll="0"/>
    <pivotField dataField="1" compact="0" numFmtId="17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2"/>
        <item x="7"/>
        <item x="8"/>
        <item x="1"/>
        <item x="4"/>
        <item x="5"/>
        <item x="6"/>
        <item x="3"/>
        <item x="9"/>
        <item x="0"/>
        <item t="default"/>
      </items>
    </pivotField>
    <pivotField axis="axisCol" compact="0" outline="0" showAll="0">
      <items count="3">
        <item x="0"/>
        <item x="1"/>
        <item t="default"/>
      </items>
    </pivotField>
    <pivotField compact="0" outline="0" showAll="0"/>
    <pivotField compact="0" outline="0" showAll="0"/>
    <pivotField axis="axisRow" compact="0" outline="0" showAll="0" defaultSubtotal="0">
      <items count="15">
        <item x="10"/>
        <item x="9"/>
        <item x="3"/>
        <item x="5"/>
        <item x="11"/>
        <item x="4"/>
        <item x="2"/>
        <item x="7"/>
        <item x="6"/>
        <item x="0"/>
        <item x="8"/>
        <item x="12"/>
        <item x="1"/>
        <item x="13"/>
        <item x="14"/>
      </items>
    </pivotField>
    <pivotField compact="0" outline="0" showAll="0"/>
    <pivotField compact="0" outline="0" showAll="0"/>
  </pivotFields>
  <rowFields count="2">
    <field x="45"/>
    <field x="41"/>
  </rowFields>
  <rowItems count="29">
    <i>
      <x/>
      <x v="4"/>
    </i>
    <i r="1">
      <x v="5"/>
    </i>
    <i>
      <x v="1"/>
      <x v="3"/>
    </i>
    <i r="1">
      <x v="4"/>
    </i>
    <i r="1">
      <x v="5"/>
    </i>
    <i>
      <x v="2"/>
      <x v="1"/>
    </i>
    <i r="1">
      <x v="2"/>
    </i>
    <i r="1">
      <x v="3"/>
    </i>
    <i r="1">
      <x v="7"/>
    </i>
    <i>
      <x v="3"/>
      <x v="3"/>
    </i>
    <i r="1">
      <x v="5"/>
    </i>
    <i r="1">
      <x v="7"/>
    </i>
    <i>
      <x v="4"/>
      <x v="3"/>
    </i>
    <i>
      <x v="5"/>
      <x/>
    </i>
    <i r="1">
      <x v="5"/>
    </i>
    <i>
      <x v="6"/>
      <x v="9"/>
    </i>
    <i>
      <x v="7"/>
      <x v="3"/>
    </i>
    <i r="1">
      <x v="5"/>
    </i>
    <i>
      <x v="8"/>
      <x v="3"/>
    </i>
    <i r="1">
      <x v="4"/>
    </i>
    <i r="1">
      <x v="5"/>
    </i>
    <i r="1">
      <x v="6"/>
    </i>
    <i>
      <x v="9"/>
      <x v="9"/>
    </i>
    <i>
      <x v="10"/>
      <x v="3"/>
    </i>
    <i>
      <x v="11"/>
      <x v="9"/>
    </i>
    <i>
      <x v="12"/>
      <x v="9"/>
    </i>
    <i>
      <x v="13"/>
      <x v="9"/>
    </i>
    <i>
      <x v="14"/>
      <x v="8"/>
    </i>
    <i t="grand">
      <x/>
    </i>
  </rowItems>
  <colFields count="1">
    <field x="42"/>
  </colFields>
  <colItems count="2">
    <i>
      <x/>
    </i>
    <i>
      <x v="1"/>
    </i>
  </colItems>
  <dataFields count="1">
    <dataField name="합계 : 변제합계" fld="30" baseField="0" baseItem="0" numFmtId="17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5E9D-2979-4B6D-9246-291A106BB600}">
  <dimension ref="B3:F51"/>
  <sheetViews>
    <sheetView topLeftCell="A19" workbookViewId="0">
      <selection activeCell="C28" sqref="C28"/>
    </sheetView>
  </sheetViews>
  <sheetFormatPr defaultRowHeight="16.5" x14ac:dyDescent="0.3"/>
  <cols>
    <col min="2" max="2" width="24.5" bestFit="1" customWidth="1"/>
    <col min="3" max="3" width="19.25" bestFit="1" customWidth="1"/>
    <col min="4" max="5" width="8.5" bestFit="1" customWidth="1"/>
  </cols>
  <sheetData>
    <row r="3" spans="2:6" x14ac:dyDescent="0.3">
      <c r="B3" s="23" t="s">
        <v>349</v>
      </c>
      <c r="C3" s="23" t="s">
        <v>1479</v>
      </c>
      <c r="D3" s="23">
        <v>202512</v>
      </c>
      <c r="E3" s="23">
        <v>202601</v>
      </c>
      <c r="F3" t="s">
        <v>1482</v>
      </c>
    </row>
    <row r="4" spans="2:6" x14ac:dyDescent="0.3">
      <c r="B4" s="24" t="s">
        <v>62</v>
      </c>
      <c r="C4" t="s">
        <v>46</v>
      </c>
      <c r="D4" s="26"/>
      <c r="E4" s="26">
        <v>1</v>
      </c>
      <c r="F4">
        <f>E4-D4</f>
        <v>1</v>
      </c>
    </row>
    <row r="5" spans="2:6" x14ac:dyDescent="0.3">
      <c r="B5" s="25" t="s">
        <v>52</v>
      </c>
      <c r="C5" t="s">
        <v>997</v>
      </c>
      <c r="D5" s="26"/>
      <c r="E5" s="26">
        <v>1</v>
      </c>
      <c r="F5">
        <f t="shared" ref="F5:F18" si="0">E5-D5</f>
        <v>1</v>
      </c>
    </row>
    <row r="6" spans="2:6" x14ac:dyDescent="0.3">
      <c r="B6" s="25" t="s">
        <v>52</v>
      </c>
      <c r="C6" t="s">
        <v>46</v>
      </c>
      <c r="D6" s="26">
        <v>4</v>
      </c>
      <c r="E6" s="26">
        <v>1</v>
      </c>
      <c r="F6">
        <f t="shared" si="0"/>
        <v>-3</v>
      </c>
    </row>
    <row r="7" spans="2:6" x14ac:dyDescent="0.3">
      <c r="B7" s="25" t="s">
        <v>52</v>
      </c>
      <c r="C7" t="s">
        <v>90</v>
      </c>
      <c r="D7" s="26">
        <v>4</v>
      </c>
      <c r="E7" s="26">
        <v>5</v>
      </c>
      <c r="F7">
        <f t="shared" si="0"/>
        <v>1</v>
      </c>
    </row>
    <row r="8" spans="2:6" x14ac:dyDescent="0.3">
      <c r="B8" s="25" t="s">
        <v>134</v>
      </c>
      <c r="C8" t="s">
        <v>46</v>
      </c>
      <c r="D8" s="26">
        <v>1</v>
      </c>
      <c r="E8" s="26"/>
      <c r="F8">
        <f t="shared" si="0"/>
        <v>-1</v>
      </c>
    </row>
    <row r="9" spans="2:6" x14ac:dyDescent="0.3">
      <c r="B9" s="25" t="s">
        <v>134</v>
      </c>
      <c r="C9" t="s">
        <v>53</v>
      </c>
      <c r="D9" s="26"/>
      <c r="E9" s="26">
        <v>1</v>
      </c>
      <c r="F9">
        <f t="shared" si="0"/>
        <v>1</v>
      </c>
    </row>
    <row r="10" spans="2:6" x14ac:dyDescent="0.3">
      <c r="B10" s="25" t="s">
        <v>134</v>
      </c>
      <c r="C10" t="s">
        <v>90</v>
      </c>
      <c r="D10" s="26">
        <v>3</v>
      </c>
      <c r="E10" s="26">
        <v>2</v>
      </c>
      <c r="F10">
        <f t="shared" si="0"/>
        <v>-1</v>
      </c>
    </row>
    <row r="11" spans="2:6" x14ac:dyDescent="0.3">
      <c r="B11" s="24" t="s">
        <v>205</v>
      </c>
      <c r="C11" t="s">
        <v>46</v>
      </c>
      <c r="D11" s="26"/>
      <c r="E11" s="26">
        <v>1</v>
      </c>
      <c r="F11">
        <f t="shared" si="0"/>
        <v>1</v>
      </c>
    </row>
    <row r="12" spans="2:6" x14ac:dyDescent="0.3">
      <c r="B12" s="25" t="s">
        <v>136</v>
      </c>
      <c r="C12" t="s">
        <v>1480</v>
      </c>
      <c r="D12" s="26">
        <v>5</v>
      </c>
      <c r="E12" s="26">
        <v>1</v>
      </c>
      <c r="F12">
        <f t="shared" si="0"/>
        <v>-4</v>
      </c>
    </row>
    <row r="13" spans="2:6" x14ac:dyDescent="0.3">
      <c r="B13" s="25" t="s">
        <v>136</v>
      </c>
      <c r="C13" t="s">
        <v>53</v>
      </c>
      <c r="D13" s="26"/>
      <c r="E13" s="26">
        <v>1</v>
      </c>
      <c r="F13">
        <f t="shared" si="0"/>
        <v>1</v>
      </c>
    </row>
    <row r="14" spans="2:6" x14ac:dyDescent="0.3">
      <c r="B14" s="25" t="s">
        <v>96</v>
      </c>
      <c r="C14" t="s">
        <v>46</v>
      </c>
      <c r="D14" s="26"/>
      <c r="E14" s="26">
        <v>1</v>
      </c>
      <c r="F14">
        <f t="shared" si="0"/>
        <v>1</v>
      </c>
    </row>
    <row r="15" spans="2:6" x14ac:dyDescent="0.3">
      <c r="B15" s="25" t="s">
        <v>96</v>
      </c>
      <c r="C15" t="s">
        <v>53</v>
      </c>
      <c r="D15" s="26">
        <v>1</v>
      </c>
      <c r="E15" s="26"/>
      <c r="F15">
        <f t="shared" si="0"/>
        <v>-1</v>
      </c>
    </row>
    <row r="16" spans="2:6" x14ac:dyDescent="0.3">
      <c r="B16" s="24" t="s">
        <v>44</v>
      </c>
      <c r="C16" t="s">
        <v>48</v>
      </c>
      <c r="D16" s="26">
        <v>1</v>
      </c>
      <c r="E16" s="26"/>
      <c r="F16">
        <f t="shared" si="0"/>
        <v>-1</v>
      </c>
    </row>
    <row r="17" spans="2:6" x14ac:dyDescent="0.3">
      <c r="B17" s="24" t="s">
        <v>350</v>
      </c>
      <c r="C17" t="s">
        <v>37</v>
      </c>
      <c r="D17" s="26">
        <v>2</v>
      </c>
      <c r="E17" s="26">
        <v>1</v>
      </c>
      <c r="F17">
        <f t="shared" si="0"/>
        <v>-1</v>
      </c>
    </row>
    <row r="18" spans="2:6" x14ac:dyDescent="0.3">
      <c r="B18" s="24" t="s">
        <v>351</v>
      </c>
      <c r="C18" t="s">
        <v>37</v>
      </c>
      <c r="D18" s="26">
        <v>4</v>
      </c>
      <c r="E18" s="26">
        <v>3</v>
      </c>
      <c r="F18">
        <f t="shared" si="0"/>
        <v>-1</v>
      </c>
    </row>
    <row r="23" spans="2:6" x14ac:dyDescent="0.3">
      <c r="B23" s="23" t="s">
        <v>349</v>
      </c>
      <c r="C23" s="23" t="s">
        <v>1479</v>
      </c>
      <c r="D23" s="23">
        <v>202512</v>
      </c>
      <c r="E23" s="23">
        <v>202601</v>
      </c>
      <c r="F23" t="s">
        <v>1482</v>
      </c>
    </row>
    <row r="24" spans="2:6" x14ac:dyDescent="0.3">
      <c r="B24" s="25" t="s">
        <v>351</v>
      </c>
      <c r="C24" t="s">
        <v>37</v>
      </c>
      <c r="D24" s="28">
        <v>3572347</v>
      </c>
      <c r="E24" s="28">
        <v>4050141</v>
      </c>
      <c r="F24" s="28">
        <f>E24-D24</f>
        <v>477794</v>
      </c>
    </row>
    <row r="25" spans="2:6" x14ac:dyDescent="0.3">
      <c r="B25" s="25" t="s">
        <v>1486</v>
      </c>
      <c r="C25" t="s">
        <v>1192</v>
      </c>
      <c r="D25" s="28"/>
      <c r="E25" s="28">
        <v>361415</v>
      </c>
      <c r="F25" s="28">
        <f>E25-D25</f>
        <v>361415</v>
      </c>
    </row>
    <row r="26" spans="2:6" x14ac:dyDescent="0.3">
      <c r="B26" s="25" t="s">
        <v>136</v>
      </c>
      <c r="C26" t="s">
        <v>1480</v>
      </c>
      <c r="D26" s="28">
        <v>434851</v>
      </c>
      <c r="E26" s="28">
        <v>771218</v>
      </c>
      <c r="F26" s="28">
        <f>E26-D26</f>
        <v>336367</v>
      </c>
    </row>
    <row r="27" spans="2:6" x14ac:dyDescent="0.3">
      <c r="B27" s="25" t="s">
        <v>350</v>
      </c>
      <c r="C27" t="s">
        <v>37</v>
      </c>
      <c r="D27" s="28">
        <v>4352753</v>
      </c>
      <c r="E27" s="28">
        <v>4603662</v>
      </c>
      <c r="F27" s="28">
        <f>E27-D27</f>
        <v>250909</v>
      </c>
    </row>
    <row r="28" spans="2:6" x14ac:dyDescent="0.3">
      <c r="B28" s="25" t="s">
        <v>44</v>
      </c>
      <c r="C28" t="s">
        <v>46</v>
      </c>
      <c r="D28" s="28">
        <v>867575</v>
      </c>
      <c r="E28" s="28">
        <v>1056225</v>
      </c>
      <c r="F28" s="28">
        <f>E28-D28</f>
        <v>188650</v>
      </c>
    </row>
    <row r="29" spans="2:6" x14ac:dyDescent="0.3">
      <c r="B29" s="25" t="s">
        <v>136</v>
      </c>
      <c r="C29" t="s">
        <v>53</v>
      </c>
      <c r="D29" s="28"/>
      <c r="E29" s="28">
        <v>85989</v>
      </c>
      <c r="F29" s="28">
        <f>E29-D29</f>
        <v>85989</v>
      </c>
    </row>
    <row r="30" spans="2:6" x14ac:dyDescent="0.3">
      <c r="B30" s="27" t="s">
        <v>62</v>
      </c>
      <c r="C30" t="s">
        <v>46</v>
      </c>
      <c r="D30" s="28"/>
      <c r="E30" s="28">
        <v>84445</v>
      </c>
      <c r="F30" s="28">
        <f>E30-D30</f>
        <v>84445</v>
      </c>
    </row>
    <row r="31" spans="2:6" x14ac:dyDescent="0.3">
      <c r="B31" s="27" t="s">
        <v>134</v>
      </c>
      <c r="C31" t="s">
        <v>53</v>
      </c>
      <c r="D31" s="28"/>
      <c r="E31" s="28">
        <v>39767</v>
      </c>
      <c r="F31" s="28">
        <f>E31-D31</f>
        <v>39767</v>
      </c>
    </row>
    <row r="32" spans="2:6" x14ac:dyDescent="0.3">
      <c r="B32" s="27" t="s">
        <v>96</v>
      </c>
      <c r="C32" t="s">
        <v>46</v>
      </c>
      <c r="D32" s="28"/>
      <c r="E32" s="28">
        <v>36693</v>
      </c>
      <c r="F32" s="28">
        <f>E32-D32</f>
        <v>36693</v>
      </c>
    </row>
    <row r="33" spans="2:6" x14ac:dyDescent="0.3">
      <c r="B33" s="27" t="s">
        <v>52</v>
      </c>
      <c r="C33" t="s">
        <v>997</v>
      </c>
      <c r="D33" s="28"/>
      <c r="E33" s="28">
        <v>8395</v>
      </c>
      <c r="F33" s="28">
        <f>E33-D33</f>
        <v>8395</v>
      </c>
    </row>
    <row r="34" spans="2:6" x14ac:dyDescent="0.3">
      <c r="B34" s="27" t="s">
        <v>52</v>
      </c>
      <c r="C34" t="s">
        <v>46</v>
      </c>
      <c r="D34" s="28">
        <v>235840</v>
      </c>
      <c r="E34" s="28">
        <v>231602</v>
      </c>
      <c r="F34" s="28">
        <f>E34-D34</f>
        <v>-4238</v>
      </c>
    </row>
    <row r="35" spans="2:6" x14ac:dyDescent="0.3">
      <c r="B35" s="27" t="s">
        <v>44</v>
      </c>
      <c r="C35" t="s">
        <v>48</v>
      </c>
      <c r="D35" s="28">
        <v>15995</v>
      </c>
      <c r="E35" s="28"/>
      <c r="F35" s="28">
        <f>E35-D35</f>
        <v>-15995</v>
      </c>
    </row>
    <row r="36" spans="2:6" x14ac:dyDescent="0.3">
      <c r="B36" s="24" t="s">
        <v>1485</v>
      </c>
      <c r="C36" t="s">
        <v>37</v>
      </c>
      <c r="D36" s="28">
        <v>595272</v>
      </c>
      <c r="E36" s="28">
        <v>575760</v>
      </c>
      <c r="F36" s="28">
        <f>E36-D36</f>
        <v>-19512</v>
      </c>
    </row>
    <row r="37" spans="2:6" x14ac:dyDescent="0.3">
      <c r="B37" s="27" t="s">
        <v>134</v>
      </c>
      <c r="C37" t="s">
        <v>46</v>
      </c>
      <c r="D37" s="28">
        <v>38547</v>
      </c>
      <c r="E37" s="28"/>
      <c r="F37" s="28">
        <f>E37-D37</f>
        <v>-38547</v>
      </c>
    </row>
    <row r="38" spans="2:6" x14ac:dyDescent="0.3">
      <c r="B38" s="27" t="s">
        <v>62</v>
      </c>
      <c r="C38" t="s">
        <v>53</v>
      </c>
      <c r="D38" s="28">
        <v>44745</v>
      </c>
      <c r="E38" s="28"/>
      <c r="F38" s="28">
        <f>E38-D38</f>
        <v>-44745</v>
      </c>
    </row>
    <row r="39" spans="2:6" x14ac:dyDescent="0.3">
      <c r="B39" s="24" t="s">
        <v>62</v>
      </c>
      <c r="C39" t="s">
        <v>48</v>
      </c>
      <c r="D39" s="28">
        <v>62868</v>
      </c>
      <c r="E39" s="28">
        <v>17183</v>
      </c>
      <c r="F39" s="28">
        <f>E39-D39</f>
        <v>-45685</v>
      </c>
    </row>
    <row r="40" spans="2:6" x14ac:dyDescent="0.3">
      <c r="B40" s="27" t="s">
        <v>96</v>
      </c>
      <c r="C40" t="s">
        <v>53</v>
      </c>
      <c r="D40" s="28">
        <v>53371</v>
      </c>
      <c r="E40" s="28"/>
      <c r="F40" s="28">
        <f>E40-D40</f>
        <v>-53371</v>
      </c>
    </row>
    <row r="41" spans="2:6" x14ac:dyDescent="0.3">
      <c r="B41" s="27" t="s">
        <v>44</v>
      </c>
      <c r="C41" t="s">
        <v>53</v>
      </c>
      <c r="D41" s="28">
        <v>72859</v>
      </c>
      <c r="E41" s="28">
        <v>13711</v>
      </c>
      <c r="F41" s="28">
        <f>E41-D41</f>
        <v>-59148</v>
      </c>
    </row>
    <row r="42" spans="2:6" x14ac:dyDescent="0.3">
      <c r="B42" s="27" t="s">
        <v>44</v>
      </c>
      <c r="C42" t="s">
        <v>171</v>
      </c>
      <c r="D42" s="28">
        <v>74131</v>
      </c>
      <c r="E42" s="28">
        <v>8042</v>
      </c>
      <c r="F42" s="28">
        <f>E42-D42</f>
        <v>-66089</v>
      </c>
    </row>
    <row r="43" spans="2:6" x14ac:dyDescent="0.3">
      <c r="B43" s="25" t="s">
        <v>205</v>
      </c>
      <c r="C43" t="s">
        <v>46</v>
      </c>
      <c r="D43" s="28">
        <v>71091</v>
      </c>
      <c r="E43" s="28">
        <v>2137</v>
      </c>
      <c r="F43" s="28">
        <f>E43-D43</f>
        <v>-68954</v>
      </c>
    </row>
    <row r="44" spans="2:6" x14ac:dyDescent="0.3">
      <c r="B44" s="27" t="s">
        <v>707</v>
      </c>
      <c r="C44" t="s">
        <v>53</v>
      </c>
      <c r="D44" s="28">
        <v>71165</v>
      </c>
      <c r="E44" s="28"/>
      <c r="F44" s="28">
        <f>E44-D44</f>
        <v>-71165</v>
      </c>
    </row>
    <row r="45" spans="2:6" x14ac:dyDescent="0.3">
      <c r="B45" s="27" t="s">
        <v>707</v>
      </c>
      <c r="C45" t="s">
        <v>48</v>
      </c>
      <c r="D45" s="28">
        <v>107380</v>
      </c>
      <c r="E45" s="28"/>
      <c r="F45" s="28">
        <f>E45-D45</f>
        <v>-107380</v>
      </c>
    </row>
    <row r="46" spans="2:6" x14ac:dyDescent="0.3">
      <c r="B46" s="24" t="s">
        <v>681</v>
      </c>
      <c r="C46" t="s">
        <v>46</v>
      </c>
      <c r="D46" s="28">
        <v>113216</v>
      </c>
      <c r="E46" s="28"/>
      <c r="F46" s="28">
        <f>E46-D46</f>
        <v>-113216</v>
      </c>
    </row>
    <row r="47" spans="2:6" x14ac:dyDescent="0.3">
      <c r="B47" s="24" t="s">
        <v>52</v>
      </c>
      <c r="C47" t="s">
        <v>90</v>
      </c>
      <c r="D47" s="28">
        <v>352012</v>
      </c>
      <c r="E47" s="28">
        <v>201961</v>
      </c>
      <c r="F47" s="28">
        <f>E47-D47</f>
        <v>-150051</v>
      </c>
    </row>
    <row r="48" spans="2:6" x14ac:dyDescent="0.3">
      <c r="B48" s="24" t="s">
        <v>266</v>
      </c>
      <c r="C48" t="s">
        <v>37</v>
      </c>
      <c r="D48" s="28">
        <v>151486</v>
      </c>
      <c r="E48" s="28"/>
      <c r="F48" s="28">
        <f>E48-D48</f>
        <v>-151486</v>
      </c>
    </row>
    <row r="49" spans="2:6" x14ac:dyDescent="0.3">
      <c r="B49" s="24" t="s">
        <v>134</v>
      </c>
      <c r="C49" t="s">
        <v>90</v>
      </c>
      <c r="D49" s="28">
        <v>519534</v>
      </c>
      <c r="E49" s="28">
        <v>280599</v>
      </c>
      <c r="F49" s="28">
        <f>E49-D49</f>
        <v>-238935</v>
      </c>
    </row>
    <row r="50" spans="2:6" x14ac:dyDescent="0.3">
      <c r="B50" s="24" t="s">
        <v>1484</v>
      </c>
      <c r="C50" t="s">
        <v>37</v>
      </c>
      <c r="D50" s="28">
        <v>1564373</v>
      </c>
      <c r="E50" s="28">
        <v>951259</v>
      </c>
      <c r="F50" s="28">
        <f>E50-D50</f>
        <v>-613114</v>
      </c>
    </row>
    <row r="51" spans="2:6" x14ac:dyDescent="0.3">
      <c r="B51" s="24" t="s">
        <v>52</v>
      </c>
      <c r="C51" t="s">
        <v>755</v>
      </c>
      <c r="D51" s="28">
        <v>1620917</v>
      </c>
      <c r="E51" s="28"/>
      <c r="F51" s="28">
        <f>E51-D51</f>
        <v>-1620917</v>
      </c>
    </row>
  </sheetData>
  <autoFilter ref="B23:F51" xr:uid="{93605E9D-2979-4B6D-9246-291A106BB600}">
    <sortState xmlns:xlrd2="http://schemas.microsoft.com/office/spreadsheetml/2017/richdata2" ref="B24:F51">
      <sortCondition descending="1" ref="F23:F51"/>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A5DE1-8A74-4514-92BB-7A5233E4B459}">
  <dimension ref="A3:D33"/>
  <sheetViews>
    <sheetView tabSelected="1" workbookViewId="0">
      <selection activeCell="G13" sqref="G13"/>
    </sheetView>
  </sheetViews>
  <sheetFormatPr defaultRowHeight="16.5" x14ac:dyDescent="0.3"/>
  <cols>
    <col min="1" max="1" width="23.5" bestFit="1" customWidth="1"/>
    <col min="2" max="2" width="19.5" bestFit="1" customWidth="1"/>
    <col min="3" max="3" width="11.25" bestFit="1" customWidth="1"/>
    <col min="4" max="4" width="10.75" bestFit="1" customWidth="1"/>
    <col min="5" max="5" width="7.375" bestFit="1" customWidth="1"/>
  </cols>
  <sheetData>
    <row r="3" spans="1:4" x14ac:dyDescent="0.3">
      <c r="A3" s="22" t="s">
        <v>1483</v>
      </c>
      <c r="C3" s="22" t="s">
        <v>1481</v>
      </c>
    </row>
    <row r="4" spans="1:4" x14ac:dyDescent="0.3">
      <c r="A4" s="22" t="s">
        <v>349</v>
      </c>
      <c r="B4" s="22" t="s">
        <v>1479</v>
      </c>
      <c r="C4">
        <v>202512</v>
      </c>
      <c r="D4">
        <v>202601</v>
      </c>
    </row>
    <row r="5" spans="1:4" x14ac:dyDescent="0.3">
      <c r="A5" t="s">
        <v>707</v>
      </c>
      <c r="B5" t="s">
        <v>48</v>
      </c>
      <c r="C5" s="28">
        <v>107380</v>
      </c>
      <c r="D5" s="28"/>
    </row>
    <row r="6" spans="1:4" x14ac:dyDescent="0.3">
      <c r="B6" t="s">
        <v>53</v>
      </c>
      <c r="C6" s="28">
        <v>71165</v>
      </c>
      <c r="D6" s="28"/>
    </row>
    <row r="7" spans="1:4" x14ac:dyDescent="0.3">
      <c r="A7" t="s">
        <v>62</v>
      </c>
      <c r="B7" t="s">
        <v>46</v>
      </c>
      <c r="C7" s="28"/>
      <c r="D7" s="28">
        <v>84445</v>
      </c>
    </row>
    <row r="8" spans="1:4" x14ac:dyDescent="0.3">
      <c r="B8" t="s">
        <v>48</v>
      </c>
      <c r="C8" s="28">
        <v>62868</v>
      </c>
      <c r="D8" s="28">
        <v>17183</v>
      </c>
    </row>
    <row r="9" spans="1:4" x14ac:dyDescent="0.3">
      <c r="B9" t="s">
        <v>53</v>
      </c>
      <c r="C9" s="28">
        <v>44745</v>
      </c>
      <c r="D9" s="28"/>
    </row>
    <row r="10" spans="1:4" x14ac:dyDescent="0.3">
      <c r="A10" t="s">
        <v>52</v>
      </c>
      <c r="B10" t="s">
        <v>755</v>
      </c>
      <c r="C10" s="28">
        <v>1620917</v>
      </c>
      <c r="D10" s="28"/>
    </row>
    <row r="11" spans="1:4" x14ac:dyDescent="0.3">
      <c r="B11" t="s">
        <v>997</v>
      </c>
      <c r="C11" s="28"/>
      <c r="D11" s="28">
        <v>8395</v>
      </c>
    </row>
    <row r="12" spans="1:4" x14ac:dyDescent="0.3">
      <c r="B12" t="s">
        <v>46</v>
      </c>
      <c r="C12" s="28">
        <v>235840</v>
      </c>
      <c r="D12" s="28">
        <v>231602</v>
      </c>
    </row>
    <row r="13" spans="1:4" x14ac:dyDescent="0.3">
      <c r="B13" t="s">
        <v>90</v>
      </c>
      <c r="C13" s="28">
        <v>352012</v>
      </c>
      <c r="D13" s="28">
        <v>201961</v>
      </c>
    </row>
    <row r="14" spans="1:4" x14ac:dyDescent="0.3">
      <c r="A14" t="s">
        <v>134</v>
      </c>
      <c r="B14" t="s">
        <v>46</v>
      </c>
      <c r="C14" s="28">
        <v>38547</v>
      </c>
      <c r="D14" s="28"/>
    </row>
    <row r="15" spans="1:4" x14ac:dyDescent="0.3">
      <c r="B15" t="s">
        <v>53</v>
      </c>
      <c r="C15" s="28"/>
      <c r="D15" s="28">
        <v>39767</v>
      </c>
    </row>
    <row r="16" spans="1:4" x14ac:dyDescent="0.3">
      <c r="B16" t="s">
        <v>90</v>
      </c>
      <c r="C16" s="28">
        <v>519534</v>
      </c>
      <c r="D16" s="28">
        <v>280599</v>
      </c>
    </row>
    <row r="17" spans="1:4" x14ac:dyDescent="0.3">
      <c r="A17" t="s">
        <v>205</v>
      </c>
      <c r="B17" t="s">
        <v>46</v>
      </c>
      <c r="C17" s="28">
        <v>71091</v>
      </c>
      <c r="D17" s="28">
        <v>2137</v>
      </c>
    </row>
    <row r="18" spans="1:4" x14ac:dyDescent="0.3">
      <c r="A18" t="s">
        <v>136</v>
      </c>
      <c r="B18" t="s">
        <v>1480</v>
      </c>
      <c r="C18" s="28">
        <v>434851</v>
      </c>
      <c r="D18" s="28">
        <v>771218</v>
      </c>
    </row>
    <row r="19" spans="1:4" x14ac:dyDescent="0.3">
      <c r="B19" t="s">
        <v>53</v>
      </c>
      <c r="C19" s="28"/>
      <c r="D19" s="28">
        <v>85989</v>
      </c>
    </row>
    <row r="20" spans="1:4" x14ac:dyDescent="0.3">
      <c r="A20" t="s">
        <v>1484</v>
      </c>
      <c r="B20" t="s">
        <v>37</v>
      </c>
      <c r="C20" s="28">
        <v>1564373</v>
      </c>
      <c r="D20" s="28">
        <v>951259</v>
      </c>
    </row>
    <row r="21" spans="1:4" x14ac:dyDescent="0.3">
      <c r="A21" t="s">
        <v>96</v>
      </c>
      <c r="B21" t="s">
        <v>46</v>
      </c>
      <c r="C21" s="28"/>
      <c r="D21" s="28">
        <v>36693</v>
      </c>
    </row>
    <row r="22" spans="1:4" x14ac:dyDescent="0.3">
      <c r="B22" t="s">
        <v>53</v>
      </c>
      <c r="C22" s="28">
        <v>53371</v>
      </c>
      <c r="D22" s="28"/>
    </row>
    <row r="23" spans="1:4" x14ac:dyDescent="0.3">
      <c r="A23" t="s">
        <v>44</v>
      </c>
      <c r="B23" t="s">
        <v>46</v>
      </c>
      <c r="C23" s="28">
        <v>867575</v>
      </c>
      <c r="D23" s="28">
        <v>1056225</v>
      </c>
    </row>
    <row r="24" spans="1:4" x14ac:dyDescent="0.3">
      <c r="B24" t="s">
        <v>48</v>
      </c>
      <c r="C24" s="28">
        <v>15995</v>
      </c>
      <c r="D24" s="28"/>
    </row>
    <row r="25" spans="1:4" x14ac:dyDescent="0.3">
      <c r="B25" t="s">
        <v>53</v>
      </c>
      <c r="C25" s="28">
        <v>72859</v>
      </c>
      <c r="D25" s="28">
        <v>13711</v>
      </c>
    </row>
    <row r="26" spans="1:4" x14ac:dyDescent="0.3">
      <c r="B26" t="s">
        <v>171</v>
      </c>
      <c r="C26" s="28">
        <v>74131</v>
      </c>
      <c r="D26" s="28">
        <v>8042</v>
      </c>
    </row>
    <row r="27" spans="1:4" x14ac:dyDescent="0.3">
      <c r="A27" t="s">
        <v>350</v>
      </c>
      <c r="B27" t="s">
        <v>37</v>
      </c>
      <c r="C27" s="28">
        <v>4352753</v>
      </c>
      <c r="D27" s="28">
        <v>4603662</v>
      </c>
    </row>
    <row r="28" spans="1:4" x14ac:dyDescent="0.3">
      <c r="A28" t="s">
        <v>681</v>
      </c>
      <c r="B28" t="s">
        <v>46</v>
      </c>
      <c r="C28" s="28">
        <v>113216</v>
      </c>
      <c r="D28" s="28"/>
    </row>
    <row r="29" spans="1:4" x14ac:dyDescent="0.3">
      <c r="A29" t="s">
        <v>266</v>
      </c>
      <c r="B29" t="s">
        <v>37</v>
      </c>
      <c r="C29" s="28">
        <v>151486</v>
      </c>
      <c r="D29" s="28"/>
    </row>
    <row r="30" spans="1:4" x14ac:dyDescent="0.3">
      <c r="A30" t="s">
        <v>1485</v>
      </c>
      <c r="B30" t="s">
        <v>37</v>
      </c>
      <c r="C30" s="28">
        <v>595272</v>
      </c>
      <c r="D30" s="28">
        <v>575760</v>
      </c>
    </row>
    <row r="31" spans="1:4" x14ac:dyDescent="0.3">
      <c r="A31" t="s">
        <v>351</v>
      </c>
      <c r="B31" t="s">
        <v>37</v>
      </c>
      <c r="C31" s="28">
        <v>3572347</v>
      </c>
      <c r="D31" s="28">
        <v>4050141</v>
      </c>
    </row>
    <row r="32" spans="1:4" x14ac:dyDescent="0.3">
      <c r="A32" t="s">
        <v>1486</v>
      </c>
      <c r="B32" t="s">
        <v>1192</v>
      </c>
      <c r="C32" s="28"/>
      <c r="D32" s="28">
        <v>361415</v>
      </c>
    </row>
    <row r="33" spans="1:4" x14ac:dyDescent="0.3">
      <c r="A33" t="s">
        <v>348</v>
      </c>
      <c r="C33" s="28">
        <v>14992328</v>
      </c>
      <c r="D33" s="28">
        <v>13380204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99"/>
  <sheetViews>
    <sheetView workbookViewId="0">
      <pane ySplit="1" topLeftCell="A2" activePane="bottomLeft" state="frozen"/>
      <selection pane="bottomLeft"/>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6" bestFit="1" customWidth="1"/>
    <col min="32" max="32" width="23.5" style="16" bestFit="1" customWidth="1"/>
    <col min="33" max="33" width="9" style="17" customWidth="1"/>
    <col min="34" max="34" width="11" style="17" customWidth="1"/>
    <col min="35" max="35" width="7.75" style="17" customWidth="1"/>
    <col min="36" max="37" width="15.5" style="17" customWidth="1"/>
    <col min="38" max="39" width="17.25" style="18" customWidth="1"/>
    <col min="40" max="41" width="15.875" style="15" customWidth="1"/>
    <col min="42" max="42" width="20.375" style="15" bestFit="1" customWidth="1"/>
    <col min="43" max="45" width="9" style="4"/>
    <col min="46" max="46" width="23.5" style="16" bestFit="1" customWidth="1"/>
    <col min="47" max="49" width="9" style="4"/>
  </cols>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107</v>
      </c>
      <c r="AF1" s="2" t="s">
        <v>108</v>
      </c>
      <c r="AG1" s="2" t="s">
        <v>109</v>
      </c>
      <c r="AH1" s="2" t="s">
        <v>110</v>
      </c>
      <c r="AI1" s="2" t="s">
        <v>111</v>
      </c>
      <c r="AJ1" s="2" t="s">
        <v>112</v>
      </c>
      <c r="AK1" s="2" t="s">
        <v>113</v>
      </c>
      <c r="AL1" s="3" t="s">
        <v>114</v>
      </c>
      <c r="AM1" s="3" t="s">
        <v>115</v>
      </c>
      <c r="AN1" s="3" t="s">
        <v>116</v>
      </c>
      <c r="AO1" s="3" t="s">
        <v>117</v>
      </c>
      <c r="AP1" s="3" t="s">
        <v>118</v>
      </c>
      <c r="AQ1" s="3" t="s">
        <v>119</v>
      </c>
      <c r="AR1" s="3" t="s">
        <v>120</v>
      </c>
      <c r="AS1" s="3" t="s">
        <v>121</v>
      </c>
      <c r="AT1" s="2" t="s">
        <v>122</v>
      </c>
      <c r="AU1" s="2" t="s">
        <v>1487</v>
      </c>
      <c r="AV1" s="2" t="s">
        <v>1488</v>
      </c>
    </row>
    <row r="2" spans="1:49" x14ac:dyDescent="0.3">
      <c r="A2" s="5" t="s">
        <v>80</v>
      </c>
      <c r="B2" s="5" t="s">
        <v>31</v>
      </c>
      <c r="C2" s="5" t="s">
        <v>425</v>
      </c>
      <c r="D2" s="5" t="s">
        <v>81</v>
      </c>
      <c r="E2" s="6" t="s">
        <v>33</v>
      </c>
      <c r="F2" s="7">
        <v>1</v>
      </c>
      <c r="G2" s="5" t="s">
        <v>426</v>
      </c>
      <c r="H2" s="5" t="s">
        <v>427</v>
      </c>
      <c r="I2" s="5" t="s">
        <v>428</v>
      </c>
      <c r="J2" s="5" t="s">
        <v>34</v>
      </c>
      <c r="K2" s="5" t="s">
        <v>147</v>
      </c>
      <c r="L2" s="5" t="s">
        <v>292</v>
      </c>
      <c r="M2" s="5" t="s">
        <v>39</v>
      </c>
      <c r="N2" s="5" t="s">
        <v>56</v>
      </c>
      <c r="O2" s="6" t="s">
        <v>429</v>
      </c>
      <c r="P2" s="5" t="s">
        <v>84</v>
      </c>
      <c r="Q2" s="5"/>
      <c r="R2" s="5" t="s">
        <v>145</v>
      </c>
      <c r="S2" s="5" t="s">
        <v>430</v>
      </c>
      <c r="T2" s="5" t="s">
        <v>354</v>
      </c>
      <c r="U2" s="5" t="s">
        <v>431</v>
      </c>
      <c r="V2" s="8">
        <v>46</v>
      </c>
      <c r="W2" s="9">
        <v>69832</v>
      </c>
      <c r="X2" s="5" t="s">
        <v>35</v>
      </c>
      <c r="Y2" s="10">
        <v>100</v>
      </c>
      <c r="Z2" s="10">
        <v>27.72</v>
      </c>
      <c r="AA2" s="10">
        <v>27.72</v>
      </c>
      <c r="AB2" s="10">
        <v>136384</v>
      </c>
      <c r="AC2" s="10">
        <v>26888</v>
      </c>
      <c r="AD2" s="10">
        <v>0</v>
      </c>
      <c r="AE2" s="11">
        <v>163272</v>
      </c>
      <c r="AF2" s="12" t="s">
        <v>148</v>
      </c>
      <c r="AG2" s="14" t="s">
        <v>180</v>
      </c>
      <c r="AH2" s="14" t="e">
        <v>#N/A</v>
      </c>
      <c r="AI2" s="14" t="s">
        <v>36</v>
      </c>
      <c r="AJ2" s="14">
        <v>70000</v>
      </c>
      <c r="AK2" s="14">
        <v>70000</v>
      </c>
      <c r="AL2" s="13">
        <v>48</v>
      </c>
      <c r="AM2" s="13">
        <v>48</v>
      </c>
      <c r="AN2" s="14" t="s">
        <v>432</v>
      </c>
      <c r="AO2" s="14" t="s">
        <v>87</v>
      </c>
      <c r="AP2" s="14" t="s">
        <v>37</v>
      </c>
      <c r="AQ2" s="20">
        <v>202512</v>
      </c>
      <c r="AR2" s="14" t="s">
        <v>153</v>
      </c>
      <c r="AS2" s="14" t="s">
        <v>165</v>
      </c>
      <c r="AT2" s="14" t="s">
        <v>165</v>
      </c>
      <c r="AU2" s="19" t="s">
        <v>199</v>
      </c>
      <c r="AV2" s="12" t="s">
        <v>301</v>
      </c>
      <c r="AW2"/>
    </row>
    <row r="3" spans="1:49" x14ac:dyDescent="0.3">
      <c r="A3" s="5" t="s">
        <v>80</v>
      </c>
      <c r="B3" s="5" t="s">
        <v>54</v>
      </c>
      <c r="C3" s="5" t="s">
        <v>425</v>
      </c>
      <c r="D3" s="5" t="s">
        <v>81</v>
      </c>
      <c r="E3" s="6" t="s">
        <v>33</v>
      </c>
      <c r="F3" s="7">
        <v>1</v>
      </c>
      <c r="G3" s="5" t="s">
        <v>426</v>
      </c>
      <c r="H3" s="5" t="s">
        <v>433</v>
      </c>
      <c r="I3" s="5" t="s">
        <v>434</v>
      </c>
      <c r="J3" s="5" t="s">
        <v>34</v>
      </c>
      <c r="K3" s="5" t="s">
        <v>435</v>
      </c>
      <c r="L3" s="5" t="s">
        <v>436</v>
      </c>
      <c r="M3" s="5" t="s">
        <v>437</v>
      </c>
      <c r="N3" s="5" t="s">
        <v>56</v>
      </c>
      <c r="O3" s="6" t="e">
        <v>#N/A</v>
      </c>
      <c r="P3" s="5" t="s">
        <v>438</v>
      </c>
      <c r="Q3" s="5" t="s">
        <v>64</v>
      </c>
      <c r="R3" s="5" t="s">
        <v>145</v>
      </c>
      <c r="S3" s="5" t="s">
        <v>439</v>
      </c>
      <c r="T3" s="5" t="s">
        <v>374</v>
      </c>
      <c r="U3" s="5" t="s">
        <v>440</v>
      </c>
      <c r="V3" s="8">
        <v>9</v>
      </c>
      <c r="W3" s="9">
        <v>7366</v>
      </c>
      <c r="X3" s="5" t="s">
        <v>35</v>
      </c>
      <c r="Y3" s="10">
        <v>100</v>
      </c>
      <c r="Z3" s="10">
        <v>19.8</v>
      </c>
      <c r="AA3" s="10">
        <v>19.8</v>
      </c>
      <c r="AB3" s="10">
        <v>60387</v>
      </c>
      <c r="AC3" s="10">
        <v>104435</v>
      </c>
      <c r="AD3" s="10">
        <v>53201</v>
      </c>
      <c r="AE3" s="11">
        <v>218023</v>
      </c>
      <c r="AF3" s="12" t="s">
        <v>441</v>
      </c>
      <c r="AG3" s="14" t="s">
        <v>339</v>
      </c>
      <c r="AH3" s="14" t="s">
        <v>65</v>
      </c>
      <c r="AI3" s="14" t="s">
        <v>36</v>
      </c>
      <c r="AJ3" s="14">
        <v>10000</v>
      </c>
      <c r="AK3" s="14">
        <v>10000</v>
      </c>
      <c r="AL3" s="13">
        <v>12</v>
      </c>
      <c r="AM3" s="13">
        <v>12</v>
      </c>
      <c r="AN3" s="14" t="s">
        <v>66</v>
      </c>
      <c r="AO3" s="14" t="s">
        <v>67</v>
      </c>
      <c r="AP3" s="14" t="s">
        <v>442</v>
      </c>
      <c r="AQ3" s="20">
        <v>202512</v>
      </c>
      <c r="AR3" s="14" t="s">
        <v>153</v>
      </c>
      <c r="AS3" s="14" t="s">
        <v>185</v>
      </c>
      <c r="AT3" s="14" t="s">
        <v>185</v>
      </c>
      <c r="AU3" s="19" t="s">
        <v>199</v>
      </c>
      <c r="AV3" s="12" t="s">
        <v>301</v>
      </c>
      <c r="AW3"/>
    </row>
    <row r="4" spans="1:49" x14ac:dyDescent="0.3">
      <c r="A4" s="5" t="s">
        <v>80</v>
      </c>
      <c r="B4" s="5" t="s">
        <v>54</v>
      </c>
      <c r="C4" s="5" t="s">
        <v>425</v>
      </c>
      <c r="D4" s="5" t="s">
        <v>81</v>
      </c>
      <c r="E4" s="6" t="s">
        <v>33</v>
      </c>
      <c r="F4" s="7">
        <v>2</v>
      </c>
      <c r="G4" s="5" t="s">
        <v>426</v>
      </c>
      <c r="H4" s="5" t="s">
        <v>443</v>
      </c>
      <c r="I4" s="5" t="s">
        <v>394</v>
      </c>
      <c r="J4" s="5" t="s">
        <v>34</v>
      </c>
      <c r="K4" s="5" t="s">
        <v>82</v>
      </c>
      <c r="L4" s="5" t="s">
        <v>69</v>
      </c>
      <c r="M4" s="5" t="s">
        <v>39</v>
      </c>
      <c r="N4" s="5" t="s">
        <v>56</v>
      </c>
      <c r="O4" s="6" t="s">
        <v>395</v>
      </c>
      <c r="P4" s="5" t="s">
        <v>160</v>
      </c>
      <c r="Q4" s="5" t="s">
        <v>64</v>
      </c>
      <c r="R4" s="5" t="s">
        <v>145</v>
      </c>
      <c r="S4" s="5" t="s">
        <v>396</v>
      </c>
      <c r="T4" s="5" t="s">
        <v>302</v>
      </c>
      <c r="U4" s="5" t="s">
        <v>397</v>
      </c>
      <c r="V4" s="8">
        <v>30</v>
      </c>
      <c r="W4" s="9">
        <v>38632</v>
      </c>
      <c r="X4" s="5" t="s">
        <v>35</v>
      </c>
      <c r="Y4" s="10">
        <v>100</v>
      </c>
      <c r="Z4" s="10">
        <v>19.8</v>
      </c>
      <c r="AA4" s="10">
        <v>19.8</v>
      </c>
      <c r="AB4" s="10">
        <v>0</v>
      </c>
      <c r="AC4" s="10">
        <v>0</v>
      </c>
      <c r="AD4" s="10">
        <v>115228</v>
      </c>
      <c r="AE4" s="11">
        <v>115228</v>
      </c>
      <c r="AF4" s="12" t="s">
        <v>83</v>
      </c>
      <c r="AG4" s="14" t="s">
        <v>191</v>
      </c>
      <c r="AH4" s="14" t="s">
        <v>65</v>
      </c>
      <c r="AI4" s="14" t="s">
        <v>36</v>
      </c>
      <c r="AJ4" s="14">
        <v>40000</v>
      </c>
      <c r="AK4" s="14">
        <v>40000</v>
      </c>
      <c r="AL4" s="13">
        <v>36</v>
      </c>
      <c r="AM4" s="13">
        <v>33</v>
      </c>
      <c r="AN4" s="14" t="s">
        <v>58</v>
      </c>
      <c r="AO4" s="14" t="s">
        <v>59</v>
      </c>
      <c r="AP4" s="14" t="s">
        <v>37</v>
      </c>
      <c r="AQ4" s="20">
        <v>202512</v>
      </c>
      <c r="AR4" s="14" t="s">
        <v>153</v>
      </c>
      <c r="AS4" s="14" t="s">
        <v>165</v>
      </c>
      <c r="AT4" s="14" t="s">
        <v>165</v>
      </c>
      <c r="AU4" s="19" t="s">
        <v>199</v>
      </c>
      <c r="AV4" s="12" t="s">
        <v>301</v>
      </c>
      <c r="AW4"/>
    </row>
    <row r="5" spans="1:49" x14ac:dyDescent="0.3">
      <c r="A5" s="5" t="s">
        <v>80</v>
      </c>
      <c r="B5" s="5" t="s">
        <v>54</v>
      </c>
      <c r="C5" s="5" t="s">
        <v>425</v>
      </c>
      <c r="D5" s="5" t="s">
        <v>81</v>
      </c>
      <c r="E5" s="6" t="s">
        <v>33</v>
      </c>
      <c r="F5" s="7">
        <v>3</v>
      </c>
      <c r="G5" s="5" t="s">
        <v>426</v>
      </c>
      <c r="H5" s="5" t="s">
        <v>444</v>
      </c>
      <c r="I5" s="5" t="s">
        <v>445</v>
      </c>
      <c r="J5" s="5" t="s">
        <v>34</v>
      </c>
      <c r="K5" s="5" t="s">
        <v>147</v>
      </c>
      <c r="L5" s="5" t="s">
        <v>179</v>
      </c>
      <c r="M5" s="5" t="s">
        <v>39</v>
      </c>
      <c r="N5" s="5" t="s">
        <v>56</v>
      </c>
      <c r="O5" s="6" t="s">
        <v>446</v>
      </c>
      <c r="P5" s="5" t="s">
        <v>130</v>
      </c>
      <c r="Q5" s="5" t="s">
        <v>61</v>
      </c>
      <c r="R5" s="5" t="s">
        <v>70</v>
      </c>
      <c r="S5" s="5" t="s">
        <v>447</v>
      </c>
      <c r="T5" s="5" t="s">
        <v>448</v>
      </c>
      <c r="U5" s="5" t="s">
        <v>404</v>
      </c>
      <c r="V5" s="8">
        <v>44</v>
      </c>
      <c r="W5" s="9">
        <v>44188</v>
      </c>
      <c r="X5" s="5" t="s">
        <v>35</v>
      </c>
      <c r="Y5" s="10">
        <v>100</v>
      </c>
      <c r="Z5" s="10">
        <v>19.8</v>
      </c>
      <c r="AA5" s="10">
        <v>19.8</v>
      </c>
      <c r="AB5" s="10">
        <v>129591</v>
      </c>
      <c r="AC5" s="10">
        <v>50568</v>
      </c>
      <c r="AD5" s="10">
        <v>0</v>
      </c>
      <c r="AE5" s="11">
        <v>180159</v>
      </c>
      <c r="AF5" s="12" t="s">
        <v>148</v>
      </c>
      <c r="AG5" s="14" t="s">
        <v>403</v>
      </c>
      <c r="AH5" s="14" t="s">
        <v>63</v>
      </c>
      <c r="AI5" s="14" t="s">
        <v>49</v>
      </c>
      <c r="AJ5" s="14">
        <v>50000</v>
      </c>
      <c r="AK5" s="14">
        <v>45000</v>
      </c>
      <c r="AL5" s="13">
        <v>48</v>
      </c>
      <c r="AM5" s="13">
        <v>45</v>
      </c>
      <c r="AN5" s="14" t="s">
        <v>75</v>
      </c>
      <c r="AO5" s="14" t="s">
        <v>76</v>
      </c>
      <c r="AP5" s="14" t="s">
        <v>37</v>
      </c>
      <c r="AQ5" s="20">
        <v>202512</v>
      </c>
      <c r="AR5" s="14" t="s">
        <v>153</v>
      </c>
      <c r="AS5" s="14" t="s">
        <v>165</v>
      </c>
      <c r="AT5" s="14" t="s">
        <v>165</v>
      </c>
      <c r="AU5" s="19" t="s">
        <v>199</v>
      </c>
      <c r="AV5" s="12" t="s">
        <v>301</v>
      </c>
      <c r="AW5"/>
    </row>
    <row r="6" spans="1:49" x14ac:dyDescent="0.3">
      <c r="A6" s="5" t="s">
        <v>80</v>
      </c>
      <c r="B6" s="5" t="s">
        <v>54</v>
      </c>
      <c r="C6" s="5" t="s">
        <v>425</v>
      </c>
      <c r="D6" s="5" t="s">
        <v>81</v>
      </c>
      <c r="E6" s="6" t="s">
        <v>33</v>
      </c>
      <c r="F6" s="7">
        <v>4</v>
      </c>
      <c r="G6" s="5" t="s">
        <v>426</v>
      </c>
      <c r="H6" s="5" t="s">
        <v>449</v>
      </c>
      <c r="I6" s="5" t="s">
        <v>450</v>
      </c>
      <c r="J6" s="5" t="s">
        <v>34</v>
      </c>
      <c r="K6" s="5" t="s">
        <v>147</v>
      </c>
      <c r="L6" s="5" t="s">
        <v>179</v>
      </c>
      <c r="M6" s="5" t="s">
        <v>39</v>
      </c>
      <c r="N6" s="5" t="s">
        <v>56</v>
      </c>
      <c r="O6" s="6" t="s">
        <v>451</v>
      </c>
      <c r="P6" s="5" t="s">
        <v>130</v>
      </c>
      <c r="Q6" s="5" t="s">
        <v>61</v>
      </c>
      <c r="R6" s="5" t="s">
        <v>145</v>
      </c>
      <c r="S6" s="5" t="s">
        <v>375</v>
      </c>
      <c r="T6" s="5" t="s">
        <v>287</v>
      </c>
      <c r="U6" s="5" t="s">
        <v>366</v>
      </c>
      <c r="V6" s="8">
        <v>30</v>
      </c>
      <c r="W6" s="9">
        <v>24631</v>
      </c>
      <c r="X6" s="5" t="s">
        <v>35</v>
      </c>
      <c r="Y6" s="10">
        <v>100</v>
      </c>
      <c r="Z6" s="10">
        <v>19.8</v>
      </c>
      <c r="AA6" s="10">
        <v>19.8</v>
      </c>
      <c r="AB6" s="10">
        <v>131577</v>
      </c>
      <c r="AC6" s="10">
        <v>50986</v>
      </c>
      <c r="AD6" s="10">
        <v>0</v>
      </c>
      <c r="AE6" s="11">
        <v>182563</v>
      </c>
      <c r="AF6" s="12" t="s">
        <v>148</v>
      </c>
      <c r="AG6" s="14" t="s">
        <v>192</v>
      </c>
      <c r="AH6" s="14" t="s">
        <v>63</v>
      </c>
      <c r="AI6" s="14" t="s">
        <v>36</v>
      </c>
      <c r="AJ6" s="14">
        <v>30000</v>
      </c>
      <c r="AK6" s="14">
        <v>25000</v>
      </c>
      <c r="AL6" s="13">
        <v>36</v>
      </c>
      <c r="AM6" s="13">
        <v>33</v>
      </c>
      <c r="AN6" s="14" t="s">
        <v>75</v>
      </c>
      <c r="AO6" s="14" t="s">
        <v>76</v>
      </c>
      <c r="AP6" s="14" t="s">
        <v>37</v>
      </c>
      <c r="AQ6" s="20">
        <v>202512</v>
      </c>
      <c r="AR6" s="14" t="s">
        <v>153</v>
      </c>
      <c r="AS6" s="14" t="s">
        <v>165</v>
      </c>
      <c r="AT6" s="14" t="s">
        <v>165</v>
      </c>
      <c r="AU6" s="19" t="s">
        <v>199</v>
      </c>
      <c r="AV6" s="12" t="s">
        <v>301</v>
      </c>
      <c r="AW6"/>
    </row>
    <row r="7" spans="1:49" x14ac:dyDescent="0.3">
      <c r="A7" s="5" t="s">
        <v>80</v>
      </c>
      <c r="B7" s="5" t="s">
        <v>54</v>
      </c>
      <c r="C7" s="5" t="s">
        <v>425</v>
      </c>
      <c r="D7" s="5" t="s">
        <v>81</v>
      </c>
      <c r="E7" s="6" t="s">
        <v>33</v>
      </c>
      <c r="F7" s="7">
        <v>5</v>
      </c>
      <c r="G7" s="5" t="s">
        <v>426</v>
      </c>
      <c r="H7" s="5" t="s">
        <v>452</v>
      </c>
      <c r="I7" s="5" t="s">
        <v>453</v>
      </c>
      <c r="J7" s="5" t="s">
        <v>34</v>
      </c>
      <c r="K7" s="5" t="s">
        <v>147</v>
      </c>
      <c r="L7" s="5" t="s">
        <v>179</v>
      </c>
      <c r="M7" s="5" t="s">
        <v>39</v>
      </c>
      <c r="N7" s="5" t="s">
        <v>56</v>
      </c>
      <c r="O7" s="6" t="s">
        <v>454</v>
      </c>
      <c r="P7" s="5" t="s">
        <v>130</v>
      </c>
      <c r="Q7" s="5" t="s">
        <v>64</v>
      </c>
      <c r="R7" s="5" t="s">
        <v>74</v>
      </c>
      <c r="S7" s="5" t="s">
        <v>455</v>
      </c>
      <c r="T7" s="5" t="s">
        <v>302</v>
      </c>
      <c r="U7" s="5" t="s">
        <v>456</v>
      </c>
      <c r="V7" s="8">
        <v>31</v>
      </c>
      <c r="W7" s="9">
        <v>63886</v>
      </c>
      <c r="X7" s="5" t="s">
        <v>35</v>
      </c>
      <c r="Y7" s="10">
        <v>100</v>
      </c>
      <c r="Z7" s="10">
        <v>19.8</v>
      </c>
      <c r="AA7" s="10">
        <v>19.8</v>
      </c>
      <c r="AB7" s="10">
        <v>181104</v>
      </c>
      <c r="AC7" s="10">
        <v>119112</v>
      </c>
      <c r="AD7" s="10">
        <v>0</v>
      </c>
      <c r="AE7" s="11">
        <v>300216</v>
      </c>
      <c r="AF7" s="12" t="s">
        <v>148</v>
      </c>
      <c r="AG7" s="14" t="s">
        <v>183</v>
      </c>
      <c r="AH7" s="14" t="s">
        <v>65</v>
      </c>
      <c r="AI7" s="14" t="s">
        <v>49</v>
      </c>
      <c r="AJ7" s="14">
        <v>70000</v>
      </c>
      <c r="AK7" s="14">
        <v>65000</v>
      </c>
      <c r="AL7" s="13">
        <v>36</v>
      </c>
      <c r="AM7" s="13">
        <v>33</v>
      </c>
      <c r="AN7" s="14" t="s">
        <v>58</v>
      </c>
      <c r="AO7" s="14" t="s">
        <v>59</v>
      </c>
      <c r="AP7" s="14" t="s">
        <v>37</v>
      </c>
      <c r="AQ7" s="20">
        <v>202512</v>
      </c>
      <c r="AR7" s="14" t="s">
        <v>153</v>
      </c>
      <c r="AS7" s="14" t="s">
        <v>165</v>
      </c>
      <c r="AT7" s="14" t="s">
        <v>165</v>
      </c>
      <c r="AU7" s="19" t="s">
        <v>199</v>
      </c>
      <c r="AV7" s="12" t="s">
        <v>301</v>
      </c>
      <c r="AW7"/>
    </row>
    <row r="8" spans="1:49" x14ac:dyDescent="0.3">
      <c r="A8" s="5" t="s">
        <v>80</v>
      </c>
      <c r="B8" s="5" t="s">
        <v>54</v>
      </c>
      <c r="C8" s="5" t="s">
        <v>425</v>
      </c>
      <c r="D8" s="5" t="s">
        <v>81</v>
      </c>
      <c r="E8" s="6" t="s">
        <v>33</v>
      </c>
      <c r="F8" s="7">
        <v>6</v>
      </c>
      <c r="G8" s="5" t="s">
        <v>426</v>
      </c>
      <c r="H8" s="5" t="s">
        <v>457</v>
      </c>
      <c r="I8" s="5" t="s">
        <v>453</v>
      </c>
      <c r="J8" s="5" t="s">
        <v>34</v>
      </c>
      <c r="K8" s="5" t="s">
        <v>147</v>
      </c>
      <c r="L8" s="5" t="s">
        <v>179</v>
      </c>
      <c r="M8" s="5" t="s">
        <v>39</v>
      </c>
      <c r="N8" s="5" t="s">
        <v>56</v>
      </c>
      <c r="O8" s="6" t="s">
        <v>454</v>
      </c>
      <c r="P8" s="5" t="s">
        <v>160</v>
      </c>
      <c r="Q8" s="5" t="s">
        <v>64</v>
      </c>
      <c r="R8" s="5" t="s">
        <v>74</v>
      </c>
      <c r="S8" s="5" t="s">
        <v>455</v>
      </c>
      <c r="T8" s="5" t="s">
        <v>302</v>
      </c>
      <c r="U8" s="5" t="s">
        <v>456</v>
      </c>
      <c r="V8" s="8">
        <v>31</v>
      </c>
      <c r="W8" s="9">
        <v>63886</v>
      </c>
      <c r="X8" s="5" t="s">
        <v>35</v>
      </c>
      <c r="Y8" s="10">
        <v>100</v>
      </c>
      <c r="Z8" s="10">
        <v>19.8</v>
      </c>
      <c r="AA8" s="10">
        <v>19.8</v>
      </c>
      <c r="AB8" s="10">
        <v>0</v>
      </c>
      <c r="AC8" s="10">
        <v>0</v>
      </c>
      <c r="AD8" s="10">
        <v>127760</v>
      </c>
      <c r="AE8" s="11">
        <v>127760</v>
      </c>
      <c r="AF8" s="12" t="s">
        <v>148</v>
      </c>
      <c r="AG8" s="14" t="s">
        <v>183</v>
      </c>
      <c r="AH8" s="14" t="s">
        <v>65</v>
      </c>
      <c r="AI8" s="14" t="s">
        <v>49</v>
      </c>
      <c r="AJ8" s="14">
        <v>70000</v>
      </c>
      <c r="AK8" s="14">
        <v>65000</v>
      </c>
      <c r="AL8" s="13">
        <v>36</v>
      </c>
      <c r="AM8" s="13">
        <v>33</v>
      </c>
      <c r="AN8" s="14" t="s">
        <v>58</v>
      </c>
      <c r="AO8" s="14" t="s">
        <v>59</v>
      </c>
      <c r="AP8" s="14" t="s">
        <v>37</v>
      </c>
      <c r="AQ8" s="20">
        <v>202512</v>
      </c>
      <c r="AR8" s="14" t="s">
        <v>153</v>
      </c>
      <c r="AS8" s="14" t="s">
        <v>165</v>
      </c>
      <c r="AT8" s="14" t="s">
        <v>165</v>
      </c>
      <c r="AU8" s="19" t="s">
        <v>199</v>
      </c>
      <c r="AV8" s="12" t="s">
        <v>301</v>
      </c>
      <c r="AW8"/>
    </row>
    <row r="9" spans="1:49" x14ac:dyDescent="0.3">
      <c r="A9" s="5" t="s">
        <v>80</v>
      </c>
      <c r="B9" s="5" t="s">
        <v>54</v>
      </c>
      <c r="C9" s="5" t="s">
        <v>425</v>
      </c>
      <c r="D9" s="5" t="s">
        <v>81</v>
      </c>
      <c r="E9" s="6" t="s">
        <v>33</v>
      </c>
      <c r="F9" s="7">
        <v>7</v>
      </c>
      <c r="G9" s="5" t="s">
        <v>426</v>
      </c>
      <c r="H9" s="5" t="s">
        <v>458</v>
      </c>
      <c r="I9" s="5" t="s">
        <v>459</v>
      </c>
      <c r="J9" s="5" t="s">
        <v>34</v>
      </c>
      <c r="K9" s="5" t="s">
        <v>147</v>
      </c>
      <c r="L9" s="5" t="s">
        <v>179</v>
      </c>
      <c r="M9" s="5" t="s">
        <v>39</v>
      </c>
      <c r="N9" s="5" t="s">
        <v>56</v>
      </c>
      <c r="O9" s="6" t="s">
        <v>460</v>
      </c>
      <c r="P9" s="5" t="s">
        <v>130</v>
      </c>
      <c r="Q9" s="5" t="s">
        <v>64</v>
      </c>
      <c r="R9" s="5" t="s">
        <v>79</v>
      </c>
      <c r="S9" s="5" t="s">
        <v>461</v>
      </c>
      <c r="T9" s="5" t="s">
        <v>364</v>
      </c>
      <c r="U9" s="5" t="s">
        <v>323</v>
      </c>
      <c r="V9" s="8">
        <v>8</v>
      </c>
      <c r="W9" s="9">
        <v>28240</v>
      </c>
      <c r="X9" s="5" t="s">
        <v>35</v>
      </c>
      <c r="Y9" s="10">
        <v>100</v>
      </c>
      <c r="Z9" s="10">
        <v>19.8</v>
      </c>
      <c r="AA9" s="10">
        <v>19.8</v>
      </c>
      <c r="AB9" s="10">
        <v>182680</v>
      </c>
      <c r="AC9" s="10">
        <v>289761</v>
      </c>
      <c r="AD9" s="10">
        <v>0</v>
      </c>
      <c r="AE9" s="11">
        <v>472441</v>
      </c>
      <c r="AF9" s="12" t="s">
        <v>148</v>
      </c>
      <c r="AG9" s="14" t="s">
        <v>339</v>
      </c>
      <c r="AH9" s="14" t="s">
        <v>65</v>
      </c>
      <c r="AI9" s="14" t="s">
        <v>45</v>
      </c>
      <c r="AJ9" s="14">
        <v>30000</v>
      </c>
      <c r="AK9" s="14">
        <v>30000</v>
      </c>
      <c r="AL9" s="13">
        <v>12</v>
      </c>
      <c r="AM9" s="13">
        <v>9</v>
      </c>
      <c r="AN9" s="14" t="s">
        <v>58</v>
      </c>
      <c r="AO9" s="14" t="s">
        <v>59</v>
      </c>
      <c r="AP9" s="14" t="s">
        <v>37</v>
      </c>
      <c r="AQ9" s="20">
        <v>202512</v>
      </c>
      <c r="AR9" s="14" t="s">
        <v>153</v>
      </c>
      <c r="AS9" s="14" t="s">
        <v>165</v>
      </c>
      <c r="AT9" s="14" t="s">
        <v>165</v>
      </c>
      <c r="AU9" s="19" t="s">
        <v>199</v>
      </c>
      <c r="AV9" s="12" t="s">
        <v>301</v>
      </c>
      <c r="AW9"/>
    </row>
    <row r="10" spans="1:49" x14ac:dyDescent="0.3">
      <c r="A10" s="5" t="s">
        <v>80</v>
      </c>
      <c r="B10" s="5" t="s">
        <v>54</v>
      </c>
      <c r="C10" s="5" t="s">
        <v>425</v>
      </c>
      <c r="D10" s="5" t="s">
        <v>81</v>
      </c>
      <c r="E10" s="6" t="s">
        <v>33</v>
      </c>
      <c r="F10" s="7">
        <v>8</v>
      </c>
      <c r="G10" s="5" t="s">
        <v>426</v>
      </c>
      <c r="H10" s="5" t="s">
        <v>462</v>
      </c>
      <c r="I10" s="5" t="s">
        <v>328</v>
      </c>
      <c r="J10" s="5" t="s">
        <v>34</v>
      </c>
      <c r="K10" s="5" t="s">
        <v>241</v>
      </c>
      <c r="L10" s="5" t="s">
        <v>327</v>
      </c>
      <c r="M10" s="5" t="s">
        <v>39</v>
      </c>
      <c r="N10" s="5" t="s">
        <v>56</v>
      </c>
      <c r="O10" s="6" t="s">
        <v>463</v>
      </c>
      <c r="P10" s="5" t="s">
        <v>160</v>
      </c>
      <c r="Q10" s="5" t="s">
        <v>125</v>
      </c>
      <c r="R10" s="5" t="s">
        <v>146</v>
      </c>
      <c r="S10" s="5" t="s">
        <v>329</v>
      </c>
      <c r="T10" s="5" t="s">
        <v>464</v>
      </c>
      <c r="U10" s="5" t="s">
        <v>330</v>
      </c>
      <c r="V10" s="8">
        <v>41</v>
      </c>
      <c r="W10" s="9">
        <v>64686</v>
      </c>
      <c r="X10" s="5" t="s">
        <v>35</v>
      </c>
      <c r="Y10" s="10">
        <v>100</v>
      </c>
      <c r="Z10" s="10">
        <v>19.8</v>
      </c>
      <c r="AA10" s="10">
        <v>19.8</v>
      </c>
      <c r="AB10" s="10">
        <v>0</v>
      </c>
      <c r="AC10" s="10">
        <v>0</v>
      </c>
      <c r="AD10" s="10">
        <v>89432</v>
      </c>
      <c r="AE10" s="11">
        <v>89432</v>
      </c>
      <c r="AF10" s="12" t="s">
        <v>242</v>
      </c>
      <c r="AG10" s="14" t="s">
        <v>209</v>
      </c>
      <c r="AH10" s="14" t="s">
        <v>126</v>
      </c>
      <c r="AI10" s="14" t="s">
        <v>36</v>
      </c>
      <c r="AJ10" s="14">
        <v>70000</v>
      </c>
      <c r="AK10" s="14">
        <v>65000</v>
      </c>
      <c r="AL10" s="13">
        <v>42</v>
      </c>
      <c r="AM10" s="13">
        <v>42</v>
      </c>
      <c r="AN10" s="14" t="s">
        <v>58</v>
      </c>
      <c r="AO10" s="14" t="s">
        <v>59</v>
      </c>
      <c r="AP10" s="14" t="s">
        <v>37</v>
      </c>
      <c r="AQ10" s="20">
        <v>202512</v>
      </c>
      <c r="AR10" s="14" t="s">
        <v>153</v>
      </c>
      <c r="AS10" s="14" t="s">
        <v>165</v>
      </c>
      <c r="AT10" s="14" t="s">
        <v>165</v>
      </c>
      <c r="AU10" s="19" t="s">
        <v>199</v>
      </c>
      <c r="AV10" s="12" t="s">
        <v>301</v>
      </c>
      <c r="AW10"/>
    </row>
    <row r="11" spans="1:49" x14ac:dyDescent="0.3">
      <c r="A11" s="5" t="s">
        <v>80</v>
      </c>
      <c r="B11" s="5" t="s">
        <v>54</v>
      </c>
      <c r="C11" s="5" t="s">
        <v>425</v>
      </c>
      <c r="D11" s="5" t="s">
        <v>81</v>
      </c>
      <c r="E11" s="6" t="s">
        <v>33</v>
      </c>
      <c r="F11" s="7">
        <v>9</v>
      </c>
      <c r="G11" s="5" t="s">
        <v>426</v>
      </c>
      <c r="H11" s="5" t="s">
        <v>465</v>
      </c>
      <c r="I11" s="5" t="s">
        <v>466</v>
      </c>
      <c r="J11" s="5" t="s">
        <v>34</v>
      </c>
      <c r="K11" s="5" t="s">
        <v>216</v>
      </c>
      <c r="L11" s="5" t="s">
        <v>243</v>
      </c>
      <c r="M11" s="5" t="s">
        <v>39</v>
      </c>
      <c r="N11" s="5" t="s">
        <v>56</v>
      </c>
      <c r="O11" s="6" t="s">
        <v>467</v>
      </c>
      <c r="P11" s="5" t="s">
        <v>130</v>
      </c>
      <c r="Q11" s="5" t="s">
        <v>64</v>
      </c>
      <c r="R11" s="5" t="s">
        <v>145</v>
      </c>
      <c r="S11" s="5" t="s">
        <v>468</v>
      </c>
      <c r="T11" s="5" t="s">
        <v>303</v>
      </c>
      <c r="U11" s="5" t="s">
        <v>376</v>
      </c>
      <c r="V11" s="8">
        <v>41</v>
      </c>
      <c r="W11" s="9">
        <v>80618</v>
      </c>
      <c r="X11" s="5" t="s">
        <v>35</v>
      </c>
      <c r="Y11" s="10">
        <v>100</v>
      </c>
      <c r="Z11" s="10">
        <v>19.8</v>
      </c>
      <c r="AA11" s="10">
        <v>19.8</v>
      </c>
      <c r="AB11" s="10">
        <v>181191</v>
      </c>
      <c r="AC11" s="10">
        <v>88405</v>
      </c>
      <c r="AD11" s="10">
        <v>0</v>
      </c>
      <c r="AE11" s="11">
        <v>269596</v>
      </c>
      <c r="AF11" s="12" t="s">
        <v>217</v>
      </c>
      <c r="AG11" s="14" t="s">
        <v>129</v>
      </c>
      <c r="AH11" s="14" t="s">
        <v>65</v>
      </c>
      <c r="AI11" s="14" t="s">
        <v>36</v>
      </c>
      <c r="AJ11" s="14">
        <v>90000</v>
      </c>
      <c r="AK11" s="14">
        <v>85000</v>
      </c>
      <c r="AL11" s="13">
        <v>42</v>
      </c>
      <c r="AM11" s="13">
        <v>42</v>
      </c>
      <c r="AN11" s="14" t="s">
        <v>58</v>
      </c>
      <c r="AO11" s="14" t="s">
        <v>59</v>
      </c>
      <c r="AP11" s="14" t="s">
        <v>37</v>
      </c>
      <c r="AQ11" s="20">
        <v>202512</v>
      </c>
      <c r="AR11" s="14" t="s">
        <v>153</v>
      </c>
      <c r="AS11" s="14" t="s">
        <v>165</v>
      </c>
      <c r="AT11" s="14" t="s">
        <v>165</v>
      </c>
      <c r="AU11" s="19" t="s">
        <v>199</v>
      </c>
      <c r="AV11" s="12" t="s">
        <v>301</v>
      </c>
      <c r="AW11"/>
    </row>
    <row r="12" spans="1:49" x14ac:dyDescent="0.3">
      <c r="A12" s="5" t="s">
        <v>80</v>
      </c>
      <c r="B12" s="5" t="s">
        <v>54</v>
      </c>
      <c r="C12" s="5" t="s">
        <v>425</v>
      </c>
      <c r="D12" s="5" t="s">
        <v>81</v>
      </c>
      <c r="E12" s="6" t="s">
        <v>33</v>
      </c>
      <c r="F12" s="7">
        <v>10</v>
      </c>
      <c r="G12" s="5" t="s">
        <v>426</v>
      </c>
      <c r="H12" s="5" t="s">
        <v>469</v>
      </c>
      <c r="I12" s="5" t="s">
        <v>470</v>
      </c>
      <c r="J12" s="5" t="s">
        <v>34</v>
      </c>
      <c r="K12" s="5" t="s">
        <v>38</v>
      </c>
      <c r="L12" s="5" t="s">
        <v>91</v>
      </c>
      <c r="M12" s="5" t="s">
        <v>85</v>
      </c>
      <c r="N12" s="5" t="s">
        <v>56</v>
      </c>
      <c r="O12" s="6" t="s">
        <v>471</v>
      </c>
      <c r="P12" s="5" t="s">
        <v>244</v>
      </c>
      <c r="Q12" s="5" t="s">
        <v>64</v>
      </c>
      <c r="R12" s="5" t="s">
        <v>145</v>
      </c>
      <c r="S12" s="5" t="s">
        <v>472</v>
      </c>
      <c r="T12" s="5" t="s">
        <v>294</v>
      </c>
      <c r="U12" s="5" t="s">
        <v>473</v>
      </c>
      <c r="V12" s="8">
        <v>58</v>
      </c>
      <c r="W12" s="9">
        <v>84606</v>
      </c>
      <c r="X12" s="5" t="s">
        <v>35</v>
      </c>
      <c r="Y12" s="10">
        <v>100</v>
      </c>
      <c r="Z12" s="10">
        <v>19.8</v>
      </c>
      <c r="AA12" s="10">
        <v>19.8</v>
      </c>
      <c r="AB12" s="10">
        <v>404368</v>
      </c>
      <c r="AC12" s="10">
        <v>601349</v>
      </c>
      <c r="AD12" s="10">
        <v>0</v>
      </c>
      <c r="AE12" s="11">
        <v>1005717</v>
      </c>
      <c r="AF12" s="12" t="s">
        <v>41</v>
      </c>
      <c r="AG12" s="14" t="s">
        <v>219</v>
      </c>
      <c r="AH12" s="14" t="s">
        <v>65</v>
      </c>
      <c r="AI12" s="14" t="s">
        <v>36</v>
      </c>
      <c r="AJ12" s="14">
        <v>90000</v>
      </c>
      <c r="AK12" s="14">
        <v>85000</v>
      </c>
      <c r="AL12" s="13">
        <v>60</v>
      </c>
      <c r="AM12" s="13">
        <v>60</v>
      </c>
      <c r="AN12" s="14" t="s">
        <v>58</v>
      </c>
      <c r="AO12" s="14" t="s">
        <v>59</v>
      </c>
      <c r="AP12" s="14" t="s">
        <v>37</v>
      </c>
      <c r="AQ12" s="20">
        <v>202512</v>
      </c>
      <c r="AR12" s="14" t="s">
        <v>153</v>
      </c>
      <c r="AS12" s="19" t="s">
        <v>168</v>
      </c>
      <c r="AT12" s="19" t="s">
        <v>168</v>
      </c>
      <c r="AU12" s="19" t="s">
        <v>199</v>
      </c>
      <c r="AV12" s="12" t="s">
        <v>301</v>
      </c>
      <c r="AW12"/>
    </row>
    <row r="13" spans="1:49" x14ac:dyDescent="0.3">
      <c r="A13" s="5" t="s">
        <v>80</v>
      </c>
      <c r="B13" s="5" t="s">
        <v>54</v>
      </c>
      <c r="C13" s="5" t="s">
        <v>425</v>
      </c>
      <c r="D13" s="5" t="s">
        <v>81</v>
      </c>
      <c r="E13" s="6" t="s">
        <v>33</v>
      </c>
      <c r="F13" s="7">
        <v>11</v>
      </c>
      <c r="G13" s="5" t="s">
        <v>426</v>
      </c>
      <c r="H13" s="5" t="s">
        <v>474</v>
      </c>
      <c r="I13" s="5" t="s">
        <v>400</v>
      </c>
      <c r="J13" s="5" t="s">
        <v>34</v>
      </c>
      <c r="K13" s="5" t="s">
        <v>82</v>
      </c>
      <c r="L13" s="5" t="s">
        <v>332</v>
      </c>
      <c r="M13" s="5" t="s">
        <v>220</v>
      </c>
      <c r="N13" s="5" t="s">
        <v>56</v>
      </c>
      <c r="O13" s="6" t="s">
        <v>401</v>
      </c>
      <c r="P13" s="5" t="s">
        <v>160</v>
      </c>
      <c r="Q13" s="5" t="s">
        <v>64</v>
      </c>
      <c r="R13" s="5" t="s">
        <v>214</v>
      </c>
      <c r="S13" s="5" t="s">
        <v>402</v>
      </c>
      <c r="T13" s="5" t="s">
        <v>275</v>
      </c>
      <c r="U13" s="5" t="s">
        <v>306</v>
      </c>
      <c r="V13" s="8">
        <v>45</v>
      </c>
      <c r="W13" s="9">
        <v>46605</v>
      </c>
      <c r="X13" s="5" t="s">
        <v>35</v>
      </c>
      <c r="Y13" s="10">
        <v>100</v>
      </c>
      <c r="Z13" s="10">
        <v>19.8</v>
      </c>
      <c r="AA13" s="10">
        <v>19.8</v>
      </c>
      <c r="AB13" s="10">
        <v>0</v>
      </c>
      <c r="AC13" s="10">
        <v>0</v>
      </c>
      <c r="AD13" s="10">
        <v>76348</v>
      </c>
      <c r="AE13" s="11">
        <v>76348</v>
      </c>
      <c r="AF13" s="12" t="s">
        <v>83</v>
      </c>
      <c r="AG13" s="14" t="s">
        <v>403</v>
      </c>
      <c r="AH13" s="14" t="s">
        <v>65</v>
      </c>
      <c r="AI13" s="14" t="s">
        <v>254</v>
      </c>
      <c r="AJ13" s="14">
        <v>50000</v>
      </c>
      <c r="AK13" s="14">
        <v>50000</v>
      </c>
      <c r="AL13" s="13">
        <v>48</v>
      </c>
      <c r="AM13" s="13">
        <v>48</v>
      </c>
      <c r="AN13" s="14" t="s">
        <v>58</v>
      </c>
      <c r="AO13" s="14" t="s">
        <v>59</v>
      </c>
      <c r="AP13" s="14" t="s">
        <v>37</v>
      </c>
      <c r="AQ13" s="20">
        <v>202512</v>
      </c>
      <c r="AR13" s="14" t="s">
        <v>153</v>
      </c>
      <c r="AS13" s="19" t="s">
        <v>168</v>
      </c>
      <c r="AT13" s="19" t="s">
        <v>168</v>
      </c>
      <c r="AU13" s="19" t="s">
        <v>199</v>
      </c>
      <c r="AV13" s="12" t="s">
        <v>301</v>
      </c>
      <c r="AW13"/>
    </row>
    <row r="14" spans="1:49" x14ac:dyDescent="0.3">
      <c r="A14" s="5" t="s">
        <v>80</v>
      </c>
      <c r="B14" s="5" t="s">
        <v>54</v>
      </c>
      <c r="C14" s="5" t="s">
        <v>425</v>
      </c>
      <c r="D14" s="5" t="s">
        <v>81</v>
      </c>
      <c r="E14" s="6" t="s">
        <v>33</v>
      </c>
      <c r="F14" s="7">
        <v>12</v>
      </c>
      <c r="G14" s="5" t="s">
        <v>426</v>
      </c>
      <c r="H14" s="5" t="s">
        <v>475</v>
      </c>
      <c r="I14" s="5" t="s">
        <v>476</v>
      </c>
      <c r="J14" s="5" t="s">
        <v>34</v>
      </c>
      <c r="K14" s="5" t="s">
        <v>82</v>
      </c>
      <c r="L14" s="5" t="s">
        <v>163</v>
      </c>
      <c r="M14" s="5" t="s">
        <v>85</v>
      </c>
      <c r="N14" s="5" t="s">
        <v>56</v>
      </c>
      <c r="O14" s="6" t="s">
        <v>477</v>
      </c>
      <c r="P14" s="5" t="s">
        <v>245</v>
      </c>
      <c r="Q14" s="5" t="s">
        <v>61</v>
      </c>
      <c r="R14" s="5" t="s">
        <v>145</v>
      </c>
      <c r="S14" s="5" t="s">
        <v>252</v>
      </c>
      <c r="T14" s="5" t="s">
        <v>305</v>
      </c>
      <c r="U14" s="5" t="s">
        <v>478</v>
      </c>
      <c r="V14" s="8">
        <v>43</v>
      </c>
      <c r="W14" s="9">
        <v>43848</v>
      </c>
      <c r="X14" s="5" t="s">
        <v>35</v>
      </c>
      <c r="Y14" s="10">
        <v>100</v>
      </c>
      <c r="Z14" s="10">
        <v>19.8</v>
      </c>
      <c r="AA14" s="10">
        <v>19.8</v>
      </c>
      <c r="AB14" s="10">
        <v>212290</v>
      </c>
      <c r="AC14" s="10">
        <v>270018</v>
      </c>
      <c r="AD14" s="10">
        <v>0</v>
      </c>
      <c r="AE14" s="11">
        <v>482308</v>
      </c>
      <c r="AF14" s="12" t="s">
        <v>83</v>
      </c>
      <c r="AG14" s="14" t="s">
        <v>190</v>
      </c>
      <c r="AH14" s="14" t="s">
        <v>63</v>
      </c>
      <c r="AI14" s="14" t="s">
        <v>36</v>
      </c>
      <c r="AJ14" s="14">
        <v>50000</v>
      </c>
      <c r="AK14" s="14">
        <v>45000</v>
      </c>
      <c r="AL14" s="13">
        <v>48</v>
      </c>
      <c r="AM14" s="13">
        <v>45</v>
      </c>
      <c r="AN14" s="14" t="s">
        <v>58</v>
      </c>
      <c r="AO14" s="14" t="s">
        <v>59</v>
      </c>
      <c r="AP14" s="14" t="s">
        <v>37</v>
      </c>
      <c r="AQ14" s="20">
        <v>202512</v>
      </c>
      <c r="AR14" s="14" t="s">
        <v>153</v>
      </c>
      <c r="AS14" s="19" t="s">
        <v>168</v>
      </c>
      <c r="AT14" s="19" t="s">
        <v>168</v>
      </c>
      <c r="AU14" s="19" t="s">
        <v>199</v>
      </c>
      <c r="AV14" s="12" t="s">
        <v>301</v>
      </c>
      <c r="AW14"/>
    </row>
    <row r="15" spans="1:49" x14ac:dyDescent="0.3">
      <c r="A15" s="5" t="s">
        <v>80</v>
      </c>
      <c r="B15" s="5" t="s">
        <v>54</v>
      </c>
      <c r="C15" s="5" t="s">
        <v>425</v>
      </c>
      <c r="D15" s="5" t="s">
        <v>81</v>
      </c>
      <c r="E15" s="6" t="s">
        <v>33</v>
      </c>
      <c r="F15" s="7">
        <v>13</v>
      </c>
      <c r="G15" s="5" t="s">
        <v>426</v>
      </c>
      <c r="H15" s="5" t="s">
        <v>479</v>
      </c>
      <c r="I15" s="5" t="s">
        <v>480</v>
      </c>
      <c r="J15" s="5" t="s">
        <v>34</v>
      </c>
      <c r="K15" s="5" t="s">
        <v>82</v>
      </c>
      <c r="L15" s="5" t="s">
        <v>481</v>
      </c>
      <c r="M15" s="5" t="s">
        <v>482</v>
      </c>
      <c r="N15" s="5" t="s">
        <v>56</v>
      </c>
      <c r="O15" s="6" t="s">
        <v>483</v>
      </c>
      <c r="P15" s="5" t="s">
        <v>245</v>
      </c>
      <c r="Q15" s="5" t="s">
        <v>64</v>
      </c>
      <c r="R15" s="5" t="s">
        <v>145</v>
      </c>
      <c r="S15" s="5" t="s">
        <v>484</v>
      </c>
      <c r="T15" s="5" t="s">
        <v>485</v>
      </c>
      <c r="U15" s="5" t="s">
        <v>486</v>
      </c>
      <c r="V15" s="8">
        <v>8</v>
      </c>
      <c r="W15" s="9">
        <v>6939</v>
      </c>
      <c r="X15" s="5" t="s">
        <v>35</v>
      </c>
      <c r="Y15" s="10">
        <v>100</v>
      </c>
      <c r="Z15" s="10">
        <v>19.8</v>
      </c>
      <c r="AA15" s="10">
        <v>19.8</v>
      </c>
      <c r="AB15" s="10">
        <v>249587</v>
      </c>
      <c r="AC15" s="10">
        <v>279224</v>
      </c>
      <c r="AD15" s="10">
        <v>0</v>
      </c>
      <c r="AE15" s="11">
        <v>528811</v>
      </c>
      <c r="AF15" s="12" t="s">
        <v>83</v>
      </c>
      <c r="AG15" s="14" t="s">
        <v>337</v>
      </c>
      <c r="AH15" s="14" t="s">
        <v>65</v>
      </c>
      <c r="AI15" s="14" t="s">
        <v>36</v>
      </c>
      <c r="AJ15" s="14">
        <v>10000</v>
      </c>
      <c r="AK15" s="14">
        <v>10000</v>
      </c>
      <c r="AL15" s="13">
        <v>12</v>
      </c>
      <c r="AM15" s="13">
        <v>9</v>
      </c>
      <c r="AN15" s="14" t="s">
        <v>58</v>
      </c>
      <c r="AO15" s="14" t="s">
        <v>59</v>
      </c>
      <c r="AP15" s="14" t="s">
        <v>442</v>
      </c>
      <c r="AQ15" s="20">
        <v>202512</v>
      </c>
      <c r="AR15" s="14" t="s">
        <v>153</v>
      </c>
      <c r="AS15" s="14" t="s">
        <v>165</v>
      </c>
      <c r="AT15" s="12" t="s">
        <v>165</v>
      </c>
      <c r="AU15" s="19" t="s">
        <v>199</v>
      </c>
      <c r="AV15" s="12" t="s">
        <v>301</v>
      </c>
      <c r="AW15"/>
    </row>
    <row r="16" spans="1:49" x14ac:dyDescent="0.3">
      <c r="A16" s="5" t="s">
        <v>30</v>
      </c>
      <c r="B16" s="5" t="s">
        <v>31</v>
      </c>
      <c r="C16" s="5" t="s">
        <v>425</v>
      </c>
      <c r="D16" s="5" t="s">
        <v>32</v>
      </c>
      <c r="E16" s="6" t="s">
        <v>33</v>
      </c>
      <c r="F16" s="7">
        <v>1</v>
      </c>
      <c r="G16" s="5" t="s">
        <v>426</v>
      </c>
      <c r="H16" s="5" t="s">
        <v>487</v>
      </c>
      <c r="I16" s="5" t="s">
        <v>488</v>
      </c>
      <c r="J16" s="5" t="s">
        <v>34</v>
      </c>
      <c r="K16" s="5" t="s">
        <v>193</v>
      </c>
      <c r="L16" s="5" t="s">
        <v>194</v>
      </c>
      <c r="M16" s="5" t="s">
        <v>39</v>
      </c>
      <c r="N16" s="5" t="s">
        <v>56</v>
      </c>
      <c r="O16" s="6" t="s">
        <v>489</v>
      </c>
      <c r="P16" s="5" t="s">
        <v>293</v>
      </c>
      <c r="Q16" s="5"/>
      <c r="R16" s="5" t="s">
        <v>133</v>
      </c>
      <c r="S16" s="5" t="s">
        <v>490</v>
      </c>
      <c r="T16" s="5" t="s">
        <v>491</v>
      </c>
      <c r="U16" s="5" t="s">
        <v>492</v>
      </c>
      <c r="V16" s="8">
        <v>72</v>
      </c>
      <c r="W16" s="9">
        <v>107672</v>
      </c>
      <c r="X16" s="5" t="s">
        <v>35</v>
      </c>
      <c r="Y16" s="10">
        <v>100</v>
      </c>
      <c r="Z16" s="10">
        <v>25.44</v>
      </c>
      <c r="AA16" s="10">
        <v>25.44</v>
      </c>
      <c r="AB16" s="10">
        <v>167626</v>
      </c>
      <c r="AC16" s="10">
        <v>10990</v>
      </c>
      <c r="AD16" s="10">
        <v>0</v>
      </c>
      <c r="AE16" s="11">
        <v>178616</v>
      </c>
      <c r="AF16" s="12" t="s">
        <v>195</v>
      </c>
      <c r="AG16" s="14" t="s">
        <v>360</v>
      </c>
      <c r="AH16" s="14" t="e">
        <v>#N/A</v>
      </c>
      <c r="AI16" s="14" t="s">
        <v>88</v>
      </c>
      <c r="AJ16" s="14" t="s">
        <v>142</v>
      </c>
      <c r="AK16" s="14" t="s">
        <v>142</v>
      </c>
      <c r="AL16" s="13" t="s">
        <v>124</v>
      </c>
      <c r="AM16" s="13" t="s">
        <v>124</v>
      </c>
      <c r="AN16" s="14" t="s">
        <v>493</v>
      </c>
      <c r="AO16" s="14" t="s">
        <v>87</v>
      </c>
      <c r="AP16" s="14" t="s">
        <v>37</v>
      </c>
      <c r="AQ16" s="20">
        <v>202512</v>
      </c>
      <c r="AR16" s="14" t="s">
        <v>153</v>
      </c>
      <c r="AS16" s="14" t="s">
        <v>165</v>
      </c>
      <c r="AT16" s="14" t="s">
        <v>165</v>
      </c>
      <c r="AU16" s="19" t="s">
        <v>199</v>
      </c>
      <c r="AV16" s="12" t="s">
        <v>301</v>
      </c>
      <c r="AW16"/>
    </row>
    <row r="17" spans="1:49" x14ac:dyDescent="0.3">
      <c r="A17" s="5" t="s">
        <v>30</v>
      </c>
      <c r="B17" s="5" t="s">
        <v>31</v>
      </c>
      <c r="C17" s="5" t="s">
        <v>425</v>
      </c>
      <c r="D17" s="5" t="s">
        <v>32</v>
      </c>
      <c r="E17" s="6" t="s">
        <v>33</v>
      </c>
      <c r="F17" s="7">
        <v>168</v>
      </c>
      <c r="G17" s="5" t="s">
        <v>426</v>
      </c>
      <c r="H17" s="5" t="s">
        <v>494</v>
      </c>
      <c r="I17" s="5" t="s">
        <v>495</v>
      </c>
      <c r="J17" s="5" t="s">
        <v>34</v>
      </c>
      <c r="K17" s="5" t="s">
        <v>50</v>
      </c>
      <c r="L17" s="5" t="s">
        <v>496</v>
      </c>
      <c r="M17" s="5" t="s">
        <v>43</v>
      </c>
      <c r="N17" s="5" t="s">
        <v>56</v>
      </c>
      <c r="O17" s="6" t="s">
        <v>497</v>
      </c>
      <c r="P17" s="5" t="s">
        <v>498</v>
      </c>
      <c r="Q17" s="5"/>
      <c r="R17" s="5" t="s">
        <v>499</v>
      </c>
      <c r="S17" s="5" t="s">
        <v>500</v>
      </c>
      <c r="T17" s="5" t="s">
        <v>501</v>
      </c>
      <c r="U17" s="5" t="s">
        <v>502</v>
      </c>
      <c r="V17" s="8">
        <v>23</v>
      </c>
      <c r="W17" s="9">
        <v>18298</v>
      </c>
      <c r="X17" s="5" t="s">
        <v>35</v>
      </c>
      <c r="Y17" s="10">
        <v>100</v>
      </c>
      <c r="Z17" s="10">
        <v>25.44</v>
      </c>
      <c r="AA17" s="10">
        <v>25.44</v>
      </c>
      <c r="AB17" s="10">
        <v>3589</v>
      </c>
      <c r="AC17" s="10">
        <v>12593</v>
      </c>
      <c r="AD17" s="10">
        <v>0</v>
      </c>
      <c r="AE17" s="11">
        <v>16182</v>
      </c>
      <c r="AF17" s="12" t="s">
        <v>52</v>
      </c>
      <c r="AG17" s="14" t="s">
        <v>319</v>
      </c>
      <c r="AH17" s="14" t="e">
        <v>#N/A</v>
      </c>
      <c r="AI17" s="14" t="s">
        <v>338</v>
      </c>
      <c r="AJ17" s="14">
        <v>20000</v>
      </c>
      <c r="AK17" s="14">
        <v>20000</v>
      </c>
      <c r="AL17" s="13">
        <v>24</v>
      </c>
      <c r="AM17" s="13">
        <v>24</v>
      </c>
      <c r="AN17" s="14" t="s">
        <v>503</v>
      </c>
      <c r="AO17" s="14" t="s">
        <v>87</v>
      </c>
      <c r="AP17" s="14" t="s">
        <v>46</v>
      </c>
      <c r="AQ17" s="20">
        <v>202512</v>
      </c>
      <c r="AR17" s="14" t="s">
        <v>166</v>
      </c>
      <c r="AS17"/>
      <c r="AT17" s="12" t="s">
        <v>52</v>
      </c>
      <c r="AU17" s="19" t="s">
        <v>199</v>
      </c>
      <c r="AV17" s="12" t="s">
        <v>301</v>
      </c>
      <c r="AW17"/>
    </row>
    <row r="18" spans="1:49" x14ac:dyDescent="0.3">
      <c r="A18" s="5" t="s">
        <v>30</v>
      </c>
      <c r="B18" s="5" t="s">
        <v>31</v>
      </c>
      <c r="C18" s="5" t="s">
        <v>425</v>
      </c>
      <c r="D18" s="5" t="s">
        <v>32</v>
      </c>
      <c r="E18" s="6" t="s">
        <v>33</v>
      </c>
      <c r="F18" s="7">
        <v>169</v>
      </c>
      <c r="G18" s="5" t="s">
        <v>426</v>
      </c>
      <c r="H18" s="5" t="s">
        <v>504</v>
      </c>
      <c r="I18" s="5" t="s">
        <v>505</v>
      </c>
      <c r="J18" s="5" t="s">
        <v>34</v>
      </c>
      <c r="K18" s="5" t="s">
        <v>135</v>
      </c>
      <c r="L18" s="5" t="s">
        <v>154</v>
      </c>
      <c r="M18" s="5" t="s">
        <v>155</v>
      </c>
      <c r="N18" s="5" t="s">
        <v>56</v>
      </c>
      <c r="O18" s="6" t="s">
        <v>506</v>
      </c>
      <c r="P18" s="5" t="s">
        <v>159</v>
      </c>
      <c r="Q18" s="5"/>
      <c r="R18" s="5" t="s">
        <v>149</v>
      </c>
      <c r="S18" s="5" t="s">
        <v>507</v>
      </c>
      <c r="T18" s="5" t="s">
        <v>508</v>
      </c>
      <c r="U18" s="5" t="s">
        <v>509</v>
      </c>
      <c r="V18" s="8">
        <v>46</v>
      </c>
      <c r="W18" s="9">
        <v>80571</v>
      </c>
      <c r="X18" s="5" t="s">
        <v>35</v>
      </c>
      <c r="Y18" s="10">
        <v>100</v>
      </c>
      <c r="Z18" s="10">
        <v>25.44</v>
      </c>
      <c r="AA18" s="10">
        <v>25.44</v>
      </c>
      <c r="AB18" s="10">
        <v>48989</v>
      </c>
      <c r="AC18" s="10">
        <v>11957</v>
      </c>
      <c r="AD18" s="10">
        <v>0</v>
      </c>
      <c r="AE18" s="11">
        <v>60946</v>
      </c>
      <c r="AF18" s="12" t="s">
        <v>136</v>
      </c>
      <c r="AG18" s="14" t="s">
        <v>190</v>
      </c>
      <c r="AH18" s="14" t="e">
        <v>#N/A</v>
      </c>
      <c r="AI18" s="14" t="s">
        <v>144</v>
      </c>
      <c r="AJ18" s="14">
        <v>90000</v>
      </c>
      <c r="AK18" s="14">
        <v>85000</v>
      </c>
      <c r="AL18" s="13">
        <v>48</v>
      </c>
      <c r="AM18" s="13">
        <v>48</v>
      </c>
      <c r="AN18" s="14" t="s">
        <v>310</v>
      </c>
      <c r="AO18" s="14" t="s">
        <v>87</v>
      </c>
      <c r="AP18" s="14" t="s">
        <v>167</v>
      </c>
      <c r="AQ18" s="20">
        <v>202512</v>
      </c>
      <c r="AR18" s="14" t="s">
        <v>166</v>
      </c>
      <c r="AS18"/>
      <c r="AT18" s="12" t="s">
        <v>136</v>
      </c>
      <c r="AU18" s="19" t="s">
        <v>199</v>
      </c>
      <c r="AV18" s="12" t="s">
        <v>301</v>
      </c>
      <c r="AW18"/>
    </row>
    <row r="19" spans="1:49" x14ac:dyDescent="0.3">
      <c r="A19" s="5" t="s">
        <v>30</v>
      </c>
      <c r="B19" s="5" t="s">
        <v>31</v>
      </c>
      <c r="C19" s="5" t="s">
        <v>425</v>
      </c>
      <c r="D19" s="5" t="s">
        <v>32</v>
      </c>
      <c r="E19" s="6" t="s">
        <v>33</v>
      </c>
      <c r="F19" s="7">
        <v>170</v>
      </c>
      <c r="G19" s="5" t="s">
        <v>426</v>
      </c>
      <c r="H19" s="5" t="s">
        <v>510</v>
      </c>
      <c r="I19" s="5" t="s">
        <v>511</v>
      </c>
      <c r="J19" s="5" t="s">
        <v>34</v>
      </c>
      <c r="K19" s="5" t="s">
        <v>135</v>
      </c>
      <c r="L19" s="5" t="s">
        <v>154</v>
      </c>
      <c r="M19" s="5" t="s">
        <v>155</v>
      </c>
      <c r="N19" s="5" t="s">
        <v>56</v>
      </c>
      <c r="O19" s="6" t="s">
        <v>512</v>
      </c>
      <c r="P19" s="5" t="s">
        <v>159</v>
      </c>
      <c r="Q19" s="5"/>
      <c r="R19" s="5" t="s">
        <v>203</v>
      </c>
      <c r="S19" s="5" t="s">
        <v>381</v>
      </c>
      <c r="T19" s="5" t="s">
        <v>448</v>
      </c>
      <c r="U19" s="5" t="s">
        <v>513</v>
      </c>
      <c r="V19" s="8">
        <v>30</v>
      </c>
      <c r="W19" s="9">
        <v>47898</v>
      </c>
      <c r="X19" s="5" t="s">
        <v>35</v>
      </c>
      <c r="Y19" s="10">
        <v>100</v>
      </c>
      <c r="Z19" s="10">
        <v>25.44</v>
      </c>
      <c r="AA19" s="10">
        <v>25.44</v>
      </c>
      <c r="AB19" s="10">
        <v>47194</v>
      </c>
      <c r="AC19" s="10">
        <v>17299</v>
      </c>
      <c r="AD19" s="10">
        <v>0</v>
      </c>
      <c r="AE19" s="11">
        <v>64493</v>
      </c>
      <c r="AF19" s="12" t="s">
        <v>136</v>
      </c>
      <c r="AG19" s="14" t="s">
        <v>297</v>
      </c>
      <c r="AH19" s="14" t="e">
        <v>#N/A</v>
      </c>
      <c r="AI19" s="14" t="s">
        <v>144</v>
      </c>
      <c r="AJ19" s="14">
        <v>50000</v>
      </c>
      <c r="AK19" s="14">
        <v>50000</v>
      </c>
      <c r="AL19" s="13">
        <v>36</v>
      </c>
      <c r="AM19" s="13">
        <v>33</v>
      </c>
      <c r="AN19" s="14" t="s">
        <v>187</v>
      </c>
      <c r="AO19" s="14" t="s">
        <v>87</v>
      </c>
      <c r="AP19" s="14" t="s">
        <v>167</v>
      </c>
      <c r="AQ19" s="20">
        <v>202512</v>
      </c>
      <c r="AR19" s="14" t="s">
        <v>166</v>
      </c>
      <c r="AS19"/>
      <c r="AT19" s="12" t="s">
        <v>136</v>
      </c>
      <c r="AU19" s="19" t="s">
        <v>199</v>
      </c>
      <c r="AV19" s="12" t="s">
        <v>301</v>
      </c>
      <c r="AW19"/>
    </row>
    <row r="20" spans="1:49" x14ac:dyDescent="0.3">
      <c r="A20" s="5" t="s">
        <v>30</v>
      </c>
      <c r="B20" s="5" t="s">
        <v>31</v>
      </c>
      <c r="C20" s="5" t="s">
        <v>425</v>
      </c>
      <c r="D20" s="5" t="s">
        <v>32</v>
      </c>
      <c r="E20" s="6" t="s">
        <v>33</v>
      </c>
      <c r="F20" s="7">
        <v>171</v>
      </c>
      <c r="G20" s="5" t="s">
        <v>426</v>
      </c>
      <c r="H20" s="5" t="s">
        <v>514</v>
      </c>
      <c r="I20" s="5" t="s">
        <v>515</v>
      </c>
      <c r="J20" s="5" t="s">
        <v>34</v>
      </c>
      <c r="K20" s="5" t="s">
        <v>135</v>
      </c>
      <c r="L20" s="5" t="s">
        <v>154</v>
      </c>
      <c r="M20" s="5" t="s">
        <v>155</v>
      </c>
      <c r="N20" s="5" t="s">
        <v>56</v>
      </c>
      <c r="O20" s="6" t="s">
        <v>516</v>
      </c>
      <c r="P20" s="5" t="s">
        <v>47</v>
      </c>
      <c r="Q20" s="5"/>
      <c r="R20" s="5" t="s">
        <v>309</v>
      </c>
      <c r="S20" s="5" t="s">
        <v>517</v>
      </c>
      <c r="T20" s="5" t="s">
        <v>518</v>
      </c>
      <c r="U20" s="5" t="s">
        <v>519</v>
      </c>
      <c r="V20" s="8">
        <v>23</v>
      </c>
      <c r="W20" s="9">
        <v>32928</v>
      </c>
      <c r="X20" s="5" t="s">
        <v>35</v>
      </c>
      <c r="Y20" s="10">
        <v>100</v>
      </c>
      <c r="Z20" s="10">
        <v>25.44</v>
      </c>
      <c r="AA20" s="10">
        <v>25.44</v>
      </c>
      <c r="AB20" s="10">
        <v>48404</v>
      </c>
      <c r="AC20" s="10">
        <v>4579</v>
      </c>
      <c r="AD20" s="10">
        <v>0</v>
      </c>
      <c r="AE20" s="11">
        <v>52983</v>
      </c>
      <c r="AF20" s="12" t="s">
        <v>136</v>
      </c>
      <c r="AG20" s="14" t="s">
        <v>212</v>
      </c>
      <c r="AH20" s="14" t="e">
        <v>#N/A</v>
      </c>
      <c r="AI20" s="14" t="s">
        <v>49</v>
      </c>
      <c r="AJ20" s="14">
        <v>40000</v>
      </c>
      <c r="AK20" s="14">
        <v>35000</v>
      </c>
      <c r="AL20" s="13">
        <v>24</v>
      </c>
      <c r="AM20" s="13">
        <v>24</v>
      </c>
      <c r="AN20" s="14" t="s">
        <v>520</v>
      </c>
      <c r="AO20" s="14" t="s">
        <v>87</v>
      </c>
      <c r="AP20" s="14" t="s">
        <v>167</v>
      </c>
      <c r="AQ20" s="20">
        <v>202512</v>
      </c>
      <c r="AR20" s="14" t="s">
        <v>166</v>
      </c>
      <c r="AS20"/>
      <c r="AT20" s="12" t="s">
        <v>136</v>
      </c>
      <c r="AU20" s="19" t="s">
        <v>199</v>
      </c>
      <c r="AV20" s="12" t="s">
        <v>301</v>
      </c>
      <c r="AW20"/>
    </row>
    <row r="21" spans="1:49" x14ac:dyDescent="0.3">
      <c r="A21" s="5" t="s">
        <v>30</v>
      </c>
      <c r="B21" s="5" t="s">
        <v>31</v>
      </c>
      <c r="C21" s="5" t="s">
        <v>425</v>
      </c>
      <c r="D21" s="5" t="s">
        <v>32</v>
      </c>
      <c r="E21" s="6" t="s">
        <v>33</v>
      </c>
      <c r="F21" s="7">
        <v>172</v>
      </c>
      <c r="G21" s="5" t="s">
        <v>426</v>
      </c>
      <c r="H21" s="5" t="s">
        <v>521</v>
      </c>
      <c r="I21" s="5" t="s">
        <v>522</v>
      </c>
      <c r="J21" s="5" t="s">
        <v>34</v>
      </c>
      <c r="K21" s="5" t="s">
        <v>135</v>
      </c>
      <c r="L21" s="5" t="s">
        <v>154</v>
      </c>
      <c r="M21" s="5" t="s">
        <v>155</v>
      </c>
      <c r="N21" s="5" t="s">
        <v>56</v>
      </c>
      <c r="O21" s="6" t="s">
        <v>523</v>
      </c>
      <c r="P21" s="5" t="s">
        <v>159</v>
      </c>
      <c r="Q21" s="5"/>
      <c r="R21" s="5" t="s">
        <v>203</v>
      </c>
      <c r="S21" s="5" t="s">
        <v>524</v>
      </c>
      <c r="T21" s="5" t="s">
        <v>525</v>
      </c>
      <c r="U21" s="5" t="s">
        <v>526</v>
      </c>
      <c r="V21" s="8">
        <v>22</v>
      </c>
      <c r="W21" s="9">
        <v>32721</v>
      </c>
      <c r="X21" s="5" t="s">
        <v>35</v>
      </c>
      <c r="Y21" s="10">
        <v>100</v>
      </c>
      <c r="Z21" s="10">
        <v>25.44</v>
      </c>
      <c r="AA21" s="10">
        <v>25.44</v>
      </c>
      <c r="AB21" s="10">
        <v>48404</v>
      </c>
      <c r="AC21" s="10">
        <v>11957</v>
      </c>
      <c r="AD21" s="10">
        <v>0</v>
      </c>
      <c r="AE21" s="11">
        <v>60361</v>
      </c>
      <c r="AF21" s="12" t="s">
        <v>136</v>
      </c>
      <c r="AG21" s="14" t="s">
        <v>212</v>
      </c>
      <c r="AH21" s="14" t="e">
        <v>#N/A</v>
      </c>
      <c r="AI21" s="14" t="s">
        <v>144</v>
      </c>
      <c r="AJ21" s="14">
        <v>40000</v>
      </c>
      <c r="AK21" s="14">
        <v>35000</v>
      </c>
      <c r="AL21" s="13">
        <v>24</v>
      </c>
      <c r="AM21" s="13">
        <v>24</v>
      </c>
      <c r="AN21" s="14" t="s">
        <v>527</v>
      </c>
      <c r="AO21" s="14" t="s">
        <v>87</v>
      </c>
      <c r="AP21" s="14" t="s">
        <v>167</v>
      </c>
      <c r="AQ21" s="20">
        <v>202512</v>
      </c>
      <c r="AR21" s="14" t="s">
        <v>166</v>
      </c>
      <c r="AS21"/>
      <c r="AT21" s="12" t="s">
        <v>136</v>
      </c>
      <c r="AU21" s="19" t="s">
        <v>199</v>
      </c>
      <c r="AV21" s="12" t="s">
        <v>301</v>
      </c>
      <c r="AW21"/>
    </row>
    <row r="22" spans="1:49" x14ac:dyDescent="0.3">
      <c r="A22" s="5" t="s">
        <v>30</v>
      </c>
      <c r="B22" s="5" t="s">
        <v>31</v>
      </c>
      <c r="C22" s="5" t="s">
        <v>425</v>
      </c>
      <c r="D22" s="5" t="s">
        <v>32</v>
      </c>
      <c r="E22" s="6" t="s">
        <v>33</v>
      </c>
      <c r="F22" s="7">
        <v>173</v>
      </c>
      <c r="G22" s="5" t="s">
        <v>426</v>
      </c>
      <c r="H22" s="5" t="s">
        <v>528</v>
      </c>
      <c r="I22" s="5" t="s">
        <v>529</v>
      </c>
      <c r="J22" s="5" t="s">
        <v>34</v>
      </c>
      <c r="K22" s="5" t="s">
        <v>135</v>
      </c>
      <c r="L22" s="5" t="s">
        <v>154</v>
      </c>
      <c r="M22" s="5" t="s">
        <v>155</v>
      </c>
      <c r="N22" s="5" t="s">
        <v>56</v>
      </c>
      <c r="O22" s="6" t="s">
        <v>530</v>
      </c>
      <c r="P22" s="5" t="s">
        <v>159</v>
      </c>
      <c r="Q22" s="5"/>
      <c r="R22" s="5" t="s">
        <v>203</v>
      </c>
      <c r="S22" s="5" t="s">
        <v>531</v>
      </c>
      <c r="T22" s="5" t="s">
        <v>532</v>
      </c>
      <c r="U22" s="5" t="s">
        <v>533</v>
      </c>
      <c r="V22" s="8">
        <v>18</v>
      </c>
      <c r="W22" s="9">
        <v>57288</v>
      </c>
      <c r="X22" s="5" t="s">
        <v>35</v>
      </c>
      <c r="Y22" s="10">
        <v>100</v>
      </c>
      <c r="Z22" s="10">
        <v>25.44</v>
      </c>
      <c r="AA22" s="10">
        <v>25.44</v>
      </c>
      <c r="AB22" s="10">
        <v>48801</v>
      </c>
      <c r="AC22" s="10">
        <v>13483</v>
      </c>
      <c r="AD22" s="10">
        <v>0</v>
      </c>
      <c r="AE22" s="11">
        <v>62284</v>
      </c>
      <c r="AF22" s="12" t="s">
        <v>136</v>
      </c>
      <c r="AG22" s="14" t="s">
        <v>235</v>
      </c>
      <c r="AH22" s="14" t="e">
        <v>#N/A</v>
      </c>
      <c r="AI22" s="14" t="s">
        <v>144</v>
      </c>
      <c r="AJ22" s="14">
        <v>60000</v>
      </c>
      <c r="AK22" s="14">
        <v>60000</v>
      </c>
      <c r="AL22" s="13">
        <v>24</v>
      </c>
      <c r="AM22" s="13">
        <v>21</v>
      </c>
      <c r="AN22" s="14" t="s">
        <v>187</v>
      </c>
      <c r="AO22" s="14" t="s">
        <v>87</v>
      </c>
      <c r="AP22" s="14" t="s">
        <v>167</v>
      </c>
      <c r="AQ22" s="20">
        <v>202512</v>
      </c>
      <c r="AR22" s="14" t="s">
        <v>166</v>
      </c>
      <c r="AS22"/>
      <c r="AT22" s="12" t="s">
        <v>136</v>
      </c>
      <c r="AU22" s="19" t="s">
        <v>199</v>
      </c>
      <c r="AV22" s="12" t="s">
        <v>301</v>
      </c>
      <c r="AW22"/>
    </row>
    <row r="23" spans="1:49" x14ac:dyDescent="0.3">
      <c r="A23" s="5" t="s">
        <v>30</v>
      </c>
      <c r="B23" s="5" t="s">
        <v>31</v>
      </c>
      <c r="C23" s="5" t="s">
        <v>425</v>
      </c>
      <c r="D23" s="5" t="s">
        <v>32</v>
      </c>
      <c r="E23" s="6" t="s">
        <v>33</v>
      </c>
      <c r="F23" s="7">
        <v>174</v>
      </c>
      <c r="G23" s="5" t="s">
        <v>426</v>
      </c>
      <c r="H23" s="5" t="s">
        <v>534</v>
      </c>
      <c r="I23" s="5" t="s">
        <v>535</v>
      </c>
      <c r="J23" s="5" t="s">
        <v>34</v>
      </c>
      <c r="K23" s="5" t="s">
        <v>132</v>
      </c>
      <c r="L23" s="5" t="s">
        <v>161</v>
      </c>
      <c r="M23" s="5" t="s">
        <v>89</v>
      </c>
      <c r="N23" s="5" t="s">
        <v>56</v>
      </c>
      <c r="O23" s="6" t="s">
        <v>536</v>
      </c>
      <c r="P23" s="5" t="s">
        <v>537</v>
      </c>
      <c r="Q23" s="5"/>
      <c r="R23" s="5" t="s">
        <v>145</v>
      </c>
      <c r="S23" s="5" t="s">
        <v>538</v>
      </c>
      <c r="T23" s="5" t="s">
        <v>539</v>
      </c>
      <c r="U23" s="5" t="s">
        <v>540</v>
      </c>
      <c r="V23" s="8">
        <v>42</v>
      </c>
      <c r="W23" s="9">
        <v>52306</v>
      </c>
      <c r="X23" s="5" t="s">
        <v>35</v>
      </c>
      <c r="Y23" s="10">
        <v>100</v>
      </c>
      <c r="Z23" s="10">
        <v>25.44</v>
      </c>
      <c r="AA23" s="10">
        <v>25.44</v>
      </c>
      <c r="AB23" s="10">
        <v>237050</v>
      </c>
      <c r="AC23" s="10">
        <v>27679</v>
      </c>
      <c r="AD23" s="10">
        <v>0</v>
      </c>
      <c r="AE23" s="11">
        <v>264729</v>
      </c>
      <c r="AF23" s="12" t="s">
        <v>134</v>
      </c>
      <c r="AG23" s="14" t="s">
        <v>316</v>
      </c>
      <c r="AH23" s="14" t="e">
        <v>#N/A</v>
      </c>
      <c r="AI23" s="14" t="s">
        <v>36</v>
      </c>
      <c r="AJ23" s="14">
        <v>60000</v>
      </c>
      <c r="AK23" s="14">
        <v>55000</v>
      </c>
      <c r="AL23" s="13">
        <v>48</v>
      </c>
      <c r="AM23" s="13">
        <v>45</v>
      </c>
      <c r="AN23" s="14" t="s">
        <v>541</v>
      </c>
      <c r="AO23" s="14" t="s">
        <v>87</v>
      </c>
      <c r="AP23" s="14" t="s">
        <v>90</v>
      </c>
      <c r="AQ23" s="20">
        <v>202512</v>
      </c>
      <c r="AR23" s="14" t="s">
        <v>153</v>
      </c>
      <c r="AS23" s="14" t="s">
        <v>197</v>
      </c>
      <c r="AT23" s="12" t="s">
        <v>134</v>
      </c>
      <c r="AU23" s="19" t="s">
        <v>199</v>
      </c>
      <c r="AV23" s="12" t="s">
        <v>301</v>
      </c>
      <c r="AW23"/>
    </row>
    <row r="24" spans="1:49" x14ac:dyDescent="0.3">
      <c r="A24" s="5" t="s">
        <v>30</v>
      </c>
      <c r="B24" s="5" t="s">
        <v>31</v>
      </c>
      <c r="C24" s="5" t="s">
        <v>425</v>
      </c>
      <c r="D24" s="5" t="s">
        <v>32</v>
      </c>
      <c r="E24" s="6" t="s">
        <v>33</v>
      </c>
      <c r="F24" s="7">
        <v>175</v>
      </c>
      <c r="G24" s="5" t="s">
        <v>426</v>
      </c>
      <c r="H24" s="5" t="s">
        <v>542</v>
      </c>
      <c r="I24" s="5" t="s">
        <v>543</v>
      </c>
      <c r="J24" s="5" t="s">
        <v>34</v>
      </c>
      <c r="K24" s="5" t="s">
        <v>132</v>
      </c>
      <c r="L24" s="5" t="s">
        <v>161</v>
      </c>
      <c r="M24" s="5" t="s">
        <v>89</v>
      </c>
      <c r="N24" s="5" t="s">
        <v>56</v>
      </c>
      <c r="O24" s="6" t="s">
        <v>544</v>
      </c>
      <c r="P24" s="5" t="s">
        <v>156</v>
      </c>
      <c r="Q24" s="5"/>
      <c r="R24" s="5" t="s">
        <v>146</v>
      </c>
      <c r="S24" s="5" t="s">
        <v>545</v>
      </c>
      <c r="T24" s="5" t="s">
        <v>501</v>
      </c>
      <c r="U24" s="5" t="s">
        <v>335</v>
      </c>
      <c r="V24" s="8">
        <v>39</v>
      </c>
      <c r="W24" s="9">
        <v>108161</v>
      </c>
      <c r="X24" s="5" t="s">
        <v>35</v>
      </c>
      <c r="Y24" s="10">
        <v>100</v>
      </c>
      <c r="Z24" s="10">
        <v>25.44</v>
      </c>
      <c r="AA24" s="10">
        <v>25.44</v>
      </c>
      <c r="AB24" s="10">
        <v>99718</v>
      </c>
      <c r="AC24" s="10">
        <v>5342</v>
      </c>
      <c r="AD24" s="10">
        <v>0</v>
      </c>
      <c r="AE24" s="11">
        <v>105060</v>
      </c>
      <c r="AF24" s="12" t="s">
        <v>134</v>
      </c>
      <c r="AG24" s="14" t="s">
        <v>139</v>
      </c>
      <c r="AH24" s="14" t="e">
        <v>#N/A</v>
      </c>
      <c r="AI24" s="14" t="s">
        <v>36</v>
      </c>
      <c r="AJ24" s="14" t="s">
        <v>142</v>
      </c>
      <c r="AK24" s="14" t="s">
        <v>142</v>
      </c>
      <c r="AL24" s="13">
        <v>42</v>
      </c>
      <c r="AM24" s="13">
        <v>42</v>
      </c>
      <c r="AN24" s="14" t="s">
        <v>187</v>
      </c>
      <c r="AO24" s="14" t="s">
        <v>87</v>
      </c>
      <c r="AP24" s="14" t="s">
        <v>90</v>
      </c>
      <c r="AQ24" s="20">
        <v>202512</v>
      </c>
      <c r="AR24" s="14" t="s">
        <v>153</v>
      </c>
      <c r="AS24" s="14" t="s">
        <v>197</v>
      </c>
      <c r="AT24" s="12" t="s">
        <v>134</v>
      </c>
      <c r="AU24" s="19" t="s">
        <v>199</v>
      </c>
      <c r="AV24" s="12" t="s">
        <v>301</v>
      </c>
      <c r="AW24"/>
    </row>
    <row r="25" spans="1:49" x14ac:dyDescent="0.3">
      <c r="A25" s="5" t="s">
        <v>30</v>
      </c>
      <c r="B25" s="5" t="s">
        <v>31</v>
      </c>
      <c r="C25" s="5" t="s">
        <v>425</v>
      </c>
      <c r="D25" s="5" t="s">
        <v>32</v>
      </c>
      <c r="E25" s="6" t="s">
        <v>33</v>
      </c>
      <c r="F25" s="7">
        <v>176</v>
      </c>
      <c r="G25" s="5" t="s">
        <v>426</v>
      </c>
      <c r="H25" s="5" t="s">
        <v>546</v>
      </c>
      <c r="I25" s="5" t="s">
        <v>547</v>
      </c>
      <c r="J25" s="5" t="s">
        <v>34</v>
      </c>
      <c r="K25" s="5" t="s">
        <v>132</v>
      </c>
      <c r="L25" s="5" t="s">
        <v>161</v>
      </c>
      <c r="M25" s="5" t="s">
        <v>89</v>
      </c>
      <c r="N25" s="5" t="s">
        <v>56</v>
      </c>
      <c r="O25" s="6" t="s">
        <v>548</v>
      </c>
      <c r="P25" s="5" t="s">
        <v>549</v>
      </c>
      <c r="Q25" s="5"/>
      <c r="R25" s="5" t="s">
        <v>146</v>
      </c>
      <c r="S25" s="5" t="s">
        <v>550</v>
      </c>
      <c r="T25" s="5" t="s">
        <v>551</v>
      </c>
      <c r="U25" s="5" t="s">
        <v>552</v>
      </c>
      <c r="V25" s="8">
        <v>26</v>
      </c>
      <c r="W25" s="9">
        <v>26809</v>
      </c>
      <c r="X25" s="5" t="s">
        <v>35</v>
      </c>
      <c r="Y25" s="10">
        <v>100</v>
      </c>
      <c r="Z25" s="10">
        <v>25.44</v>
      </c>
      <c r="AA25" s="10">
        <v>25.44</v>
      </c>
      <c r="AB25" s="10">
        <v>139671</v>
      </c>
      <c r="AC25" s="10">
        <v>10074</v>
      </c>
      <c r="AD25" s="10">
        <v>0</v>
      </c>
      <c r="AE25" s="11">
        <v>149745</v>
      </c>
      <c r="AF25" s="12" t="s">
        <v>134</v>
      </c>
      <c r="AG25" s="14" t="s">
        <v>184</v>
      </c>
      <c r="AH25" s="14" t="e">
        <v>#N/A</v>
      </c>
      <c r="AI25" s="14" t="s">
        <v>36</v>
      </c>
      <c r="AJ25" s="14">
        <v>30000</v>
      </c>
      <c r="AK25" s="14">
        <v>30000</v>
      </c>
      <c r="AL25" s="13">
        <v>30</v>
      </c>
      <c r="AM25" s="13">
        <v>27</v>
      </c>
      <c r="AN25" s="14" t="s">
        <v>527</v>
      </c>
      <c r="AO25" s="14" t="s">
        <v>87</v>
      </c>
      <c r="AP25" s="14" t="s">
        <v>90</v>
      </c>
      <c r="AQ25" s="20">
        <v>202512</v>
      </c>
      <c r="AR25" s="14" t="s">
        <v>153</v>
      </c>
      <c r="AS25" s="14" t="s">
        <v>197</v>
      </c>
      <c r="AT25" s="12" t="s">
        <v>134</v>
      </c>
      <c r="AU25" s="19" t="s">
        <v>199</v>
      </c>
      <c r="AV25" s="12" t="s">
        <v>301</v>
      </c>
      <c r="AW25"/>
    </row>
    <row r="26" spans="1:49" x14ac:dyDescent="0.3">
      <c r="A26" s="5" t="s">
        <v>30</v>
      </c>
      <c r="B26" s="5" t="s">
        <v>31</v>
      </c>
      <c r="C26" s="5" t="s">
        <v>425</v>
      </c>
      <c r="D26" s="5" t="s">
        <v>32</v>
      </c>
      <c r="E26" s="6" t="s">
        <v>33</v>
      </c>
      <c r="F26" s="7">
        <v>177</v>
      </c>
      <c r="G26" s="5" t="s">
        <v>426</v>
      </c>
      <c r="H26" s="5" t="s">
        <v>553</v>
      </c>
      <c r="I26" s="5" t="s">
        <v>554</v>
      </c>
      <c r="J26" s="5" t="s">
        <v>34</v>
      </c>
      <c r="K26" s="5" t="s">
        <v>50</v>
      </c>
      <c r="L26" s="5" t="s">
        <v>157</v>
      </c>
      <c r="M26" s="5" t="s">
        <v>89</v>
      </c>
      <c r="N26" s="5" t="s">
        <v>56</v>
      </c>
      <c r="O26" s="6" t="s">
        <v>555</v>
      </c>
      <c r="P26" s="5" t="s">
        <v>556</v>
      </c>
      <c r="Q26" s="5"/>
      <c r="R26" s="5" t="s">
        <v>146</v>
      </c>
      <c r="S26" s="5" t="s">
        <v>557</v>
      </c>
      <c r="T26" s="5" t="s">
        <v>501</v>
      </c>
      <c r="U26" s="5" t="s">
        <v>557</v>
      </c>
      <c r="V26" s="8">
        <v>58</v>
      </c>
      <c r="W26" s="9">
        <v>72756</v>
      </c>
      <c r="X26" s="5" t="s">
        <v>35</v>
      </c>
      <c r="Y26" s="10">
        <v>100</v>
      </c>
      <c r="Z26" s="10">
        <v>25.44</v>
      </c>
      <c r="AA26" s="10">
        <v>25.44</v>
      </c>
      <c r="AB26" s="10">
        <v>73531</v>
      </c>
      <c r="AC26" s="10">
        <v>69960</v>
      </c>
      <c r="AD26" s="10">
        <v>0</v>
      </c>
      <c r="AE26" s="11">
        <v>143491</v>
      </c>
      <c r="AF26" s="12" t="s">
        <v>52</v>
      </c>
      <c r="AG26" s="14" t="s">
        <v>408</v>
      </c>
      <c r="AH26" s="14" t="e">
        <v>#N/A</v>
      </c>
      <c r="AI26" s="14" t="s">
        <v>36</v>
      </c>
      <c r="AJ26" s="14">
        <v>80000</v>
      </c>
      <c r="AK26" s="14">
        <v>75000</v>
      </c>
      <c r="AL26" s="13">
        <v>60</v>
      </c>
      <c r="AM26" s="13">
        <v>60</v>
      </c>
      <c r="AN26" s="14" t="s">
        <v>249</v>
      </c>
      <c r="AO26" s="14" t="s">
        <v>87</v>
      </c>
      <c r="AP26" s="14" t="s">
        <v>90</v>
      </c>
      <c r="AQ26" s="20">
        <v>202512</v>
      </c>
      <c r="AR26" s="14" t="s">
        <v>153</v>
      </c>
      <c r="AS26" s="14" t="s">
        <v>169</v>
      </c>
      <c r="AT26" s="12" t="s">
        <v>52</v>
      </c>
      <c r="AU26" s="19" t="s">
        <v>199</v>
      </c>
      <c r="AV26" s="12" t="s">
        <v>301</v>
      </c>
      <c r="AW26"/>
    </row>
    <row r="27" spans="1:49" x14ac:dyDescent="0.3">
      <c r="A27" s="5" t="s">
        <v>30</v>
      </c>
      <c r="B27" s="5" t="s">
        <v>31</v>
      </c>
      <c r="C27" s="5" t="s">
        <v>425</v>
      </c>
      <c r="D27" s="5" t="s">
        <v>32</v>
      </c>
      <c r="E27" s="6" t="s">
        <v>33</v>
      </c>
      <c r="F27" s="7">
        <v>178</v>
      </c>
      <c r="G27" s="5" t="s">
        <v>426</v>
      </c>
      <c r="H27" s="5" t="s">
        <v>558</v>
      </c>
      <c r="I27" s="5" t="s">
        <v>559</v>
      </c>
      <c r="J27" s="5" t="s">
        <v>34</v>
      </c>
      <c r="K27" s="5" t="s">
        <v>50</v>
      </c>
      <c r="L27" s="5" t="s">
        <v>157</v>
      </c>
      <c r="M27" s="5" t="s">
        <v>89</v>
      </c>
      <c r="N27" s="5" t="s">
        <v>56</v>
      </c>
      <c r="O27" s="6" t="s">
        <v>560</v>
      </c>
      <c r="P27" s="5" t="s">
        <v>189</v>
      </c>
      <c r="Q27" s="5"/>
      <c r="R27" s="5" t="s">
        <v>146</v>
      </c>
      <c r="S27" s="5" t="s">
        <v>561</v>
      </c>
      <c r="T27" s="5" t="s">
        <v>562</v>
      </c>
      <c r="U27" s="5" t="s">
        <v>563</v>
      </c>
      <c r="V27" s="8">
        <v>53</v>
      </c>
      <c r="W27" s="9">
        <v>85755</v>
      </c>
      <c r="X27" s="5" t="s">
        <v>35</v>
      </c>
      <c r="Y27" s="10">
        <v>100</v>
      </c>
      <c r="Z27" s="10">
        <v>25.44</v>
      </c>
      <c r="AA27" s="10">
        <v>25.44</v>
      </c>
      <c r="AB27" s="10">
        <v>55033</v>
      </c>
      <c r="AC27" s="10">
        <v>10990</v>
      </c>
      <c r="AD27" s="10">
        <v>0</v>
      </c>
      <c r="AE27" s="11">
        <v>66023</v>
      </c>
      <c r="AF27" s="12" t="s">
        <v>52</v>
      </c>
      <c r="AG27" s="14" t="s">
        <v>564</v>
      </c>
      <c r="AH27" s="14" t="e">
        <v>#N/A</v>
      </c>
      <c r="AI27" s="14" t="s">
        <v>36</v>
      </c>
      <c r="AJ27" s="14">
        <v>90000</v>
      </c>
      <c r="AK27" s="14">
        <v>90000</v>
      </c>
      <c r="AL27" s="13">
        <v>54</v>
      </c>
      <c r="AM27" s="13">
        <v>54</v>
      </c>
      <c r="AN27" s="14" t="s">
        <v>565</v>
      </c>
      <c r="AO27" s="14" t="s">
        <v>87</v>
      </c>
      <c r="AP27" s="14" t="s">
        <v>90</v>
      </c>
      <c r="AQ27" s="20">
        <v>202512</v>
      </c>
      <c r="AR27" s="14" t="s">
        <v>153</v>
      </c>
      <c r="AS27" s="14" t="s">
        <v>169</v>
      </c>
      <c r="AT27" s="12" t="s">
        <v>52</v>
      </c>
      <c r="AU27" s="19" t="s">
        <v>199</v>
      </c>
      <c r="AV27" s="12" t="s">
        <v>301</v>
      </c>
      <c r="AW27"/>
    </row>
    <row r="28" spans="1:49" x14ac:dyDescent="0.3">
      <c r="A28" s="5" t="s">
        <v>30</v>
      </c>
      <c r="B28" s="5" t="s">
        <v>31</v>
      </c>
      <c r="C28" s="5" t="s">
        <v>425</v>
      </c>
      <c r="D28" s="5" t="s">
        <v>32</v>
      </c>
      <c r="E28" s="6" t="s">
        <v>33</v>
      </c>
      <c r="F28" s="7">
        <v>179</v>
      </c>
      <c r="G28" s="5" t="s">
        <v>426</v>
      </c>
      <c r="H28" s="5" t="s">
        <v>566</v>
      </c>
      <c r="I28" s="5" t="s">
        <v>567</v>
      </c>
      <c r="J28" s="5" t="s">
        <v>34</v>
      </c>
      <c r="K28" s="5" t="s">
        <v>50</v>
      </c>
      <c r="L28" s="5" t="s">
        <v>157</v>
      </c>
      <c r="M28" s="5" t="s">
        <v>89</v>
      </c>
      <c r="N28" s="5" t="s">
        <v>56</v>
      </c>
      <c r="O28" s="6" t="s">
        <v>568</v>
      </c>
      <c r="P28" s="5" t="s">
        <v>549</v>
      </c>
      <c r="Q28" s="5"/>
      <c r="R28" s="5" t="s">
        <v>146</v>
      </c>
      <c r="S28" s="5" t="s">
        <v>569</v>
      </c>
      <c r="T28" s="5" t="s">
        <v>570</v>
      </c>
      <c r="U28" s="5" t="s">
        <v>569</v>
      </c>
      <c r="V28" s="8">
        <v>52</v>
      </c>
      <c r="W28" s="9">
        <v>78348</v>
      </c>
      <c r="X28" s="5" t="s">
        <v>35</v>
      </c>
      <c r="Y28" s="10">
        <v>100</v>
      </c>
      <c r="Z28" s="10">
        <v>25.44</v>
      </c>
      <c r="AA28" s="10">
        <v>25.44</v>
      </c>
      <c r="AB28" s="10">
        <v>76957</v>
      </c>
      <c r="AC28" s="10">
        <v>8243</v>
      </c>
      <c r="AD28" s="10">
        <v>0</v>
      </c>
      <c r="AE28" s="11">
        <v>85200</v>
      </c>
      <c r="AF28" s="12" t="s">
        <v>52</v>
      </c>
      <c r="AG28" s="14" t="s">
        <v>231</v>
      </c>
      <c r="AH28" s="14" t="e">
        <v>#N/A</v>
      </c>
      <c r="AI28" s="14" t="s">
        <v>36</v>
      </c>
      <c r="AJ28" s="14">
        <v>80000</v>
      </c>
      <c r="AK28" s="14">
        <v>80000</v>
      </c>
      <c r="AL28" s="13">
        <v>54</v>
      </c>
      <c r="AM28" s="13">
        <v>54</v>
      </c>
      <c r="AN28" s="14" t="s">
        <v>527</v>
      </c>
      <c r="AO28" s="14" t="s">
        <v>87</v>
      </c>
      <c r="AP28" s="14" t="s">
        <v>90</v>
      </c>
      <c r="AQ28" s="20">
        <v>202512</v>
      </c>
      <c r="AR28" s="14" t="s">
        <v>153</v>
      </c>
      <c r="AS28" s="14" t="s">
        <v>169</v>
      </c>
      <c r="AT28" s="12" t="s">
        <v>52</v>
      </c>
      <c r="AU28" s="19" t="s">
        <v>199</v>
      </c>
      <c r="AV28" s="12" t="s">
        <v>301</v>
      </c>
      <c r="AW28"/>
    </row>
    <row r="29" spans="1:49" x14ac:dyDescent="0.3">
      <c r="A29" s="5" t="s">
        <v>30</v>
      </c>
      <c r="B29" s="5" t="s">
        <v>31</v>
      </c>
      <c r="C29" s="5" t="s">
        <v>425</v>
      </c>
      <c r="D29" s="5" t="s">
        <v>32</v>
      </c>
      <c r="E29" s="6" t="s">
        <v>33</v>
      </c>
      <c r="F29" s="7">
        <v>180</v>
      </c>
      <c r="G29" s="5" t="s">
        <v>426</v>
      </c>
      <c r="H29" s="5" t="s">
        <v>571</v>
      </c>
      <c r="I29" s="5" t="s">
        <v>572</v>
      </c>
      <c r="J29" s="5" t="s">
        <v>34</v>
      </c>
      <c r="K29" s="5" t="s">
        <v>50</v>
      </c>
      <c r="L29" s="5" t="s">
        <v>173</v>
      </c>
      <c r="M29" s="5" t="s">
        <v>89</v>
      </c>
      <c r="N29" s="5" t="s">
        <v>56</v>
      </c>
      <c r="O29" s="6" t="s">
        <v>573</v>
      </c>
      <c r="P29" s="5" t="s">
        <v>47</v>
      </c>
      <c r="Q29" s="5"/>
      <c r="R29" s="5" t="s">
        <v>146</v>
      </c>
      <c r="S29" s="5" t="s">
        <v>574</v>
      </c>
      <c r="T29" s="5" t="s">
        <v>575</v>
      </c>
      <c r="U29" s="5" t="s">
        <v>380</v>
      </c>
      <c r="V29" s="8">
        <v>38</v>
      </c>
      <c r="W29" s="9">
        <v>92101</v>
      </c>
      <c r="X29" s="5" t="s">
        <v>35</v>
      </c>
      <c r="Y29" s="10">
        <v>100</v>
      </c>
      <c r="Z29" s="10">
        <v>25.44</v>
      </c>
      <c r="AA29" s="10">
        <v>25.44</v>
      </c>
      <c r="AB29" s="10">
        <v>50073</v>
      </c>
      <c r="AC29" s="10">
        <v>7225</v>
      </c>
      <c r="AD29" s="10">
        <v>0</v>
      </c>
      <c r="AE29" s="11">
        <v>57298</v>
      </c>
      <c r="AF29" s="12" t="s">
        <v>52</v>
      </c>
      <c r="AG29" s="14" t="s">
        <v>140</v>
      </c>
      <c r="AH29" s="14" t="e">
        <v>#N/A</v>
      </c>
      <c r="AI29" s="14" t="s">
        <v>36</v>
      </c>
      <c r="AJ29" s="14">
        <v>100000</v>
      </c>
      <c r="AK29" s="14">
        <v>95000</v>
      </c>
      <c r="AL29" s="13">
        <v>42</v>
      </c>
      <c r="AM29" s="13">
        <v>39</v>
      </c>
      <c r="AN29" s="14" t="s">
        <v>576</v>
      </c>
      <c r="AO29" s="14" t="s">
        <v>87</v>
      </c>
      <c r="AP29" s="14" t="s">
        <v>90</v>
      </c>
      <c r="AQ29" s="20">
        <v>202512</v>
      </c>
      <c r="AR29" s="14" t="s">
        <v>153</v>
      </c>
      <c r="AS29" s="14" t="s">
        <v>169</v>
      </c>
      <c r="AT29" s="12" t="s">
        <v>52</v>
      </c>
      <c r="AU29" s="19" t="s">
        <v>199</v>
      </c>
      <c r="AV29" s="12" t="s">
        <v>301</v>
      </c>
      <c r="AW29"/>
    </row>
    <row r="30" spans="1:49" x14ac:dyDescent="0.3">
      <c r="A30" s="5" t="s">
        <v>30</v>
      </c>
      <c r="B30" s="5" t="s">
        <v>31</v>
      </c>
      <c r="C30" s="5" t="s">
        <v>425</v>
      </c>
      <c r="D30" s="5" t="s">
        <v>32</v>
      </c>
      <c r="E30" s="6" t="s">
        <v>33</v>
      </c>
      <c r="F30" s="7">
        <v>181</v>
      </c>
      <c r="G30" s="5" t="s">
        <v>426</v>
      </c>
      <c r="H30" s="5" t="s">
        <v>577</v>
      </c>
      <c r="I30" s="5" t="s">
        <v>578</v>
      </c>
      <c r="J30" s="5" t="s">
        <v>34</v>
      </c>
      <c r="K30" s="5" t="s">
        <v>42</v>
      </c>
      <c r="L30" s="5" t="s">
        <v>579</v>
      </c>
      <c r="M30" s="5" t="s">
        <v>48</v>
      </c>
      <c r="N30" s="5" t="s">
        <v>56</v>
      </c>
      <c r="O30" s="6" t="s">
        <v>580</v>
      </c>
      <c r="P30" s="5" t="s">
        <v>51</v>
      </c>
      <c r="Q30" s="5"/>
      <c r="R30" s="5" t="s">
        <v>581</v>
      </c>
      <c r="S30" s="5" t="s">
        <v>582</v>
      </c>
      <c r="T30" s="5" t="s">
        <v>583</v>
      </c>
      <c r="U30" s="5" t="s">
        <v>584</v>
      </c>
      <c r="V30" s="8">
        <v>6</v>
      </c>
      <c r="W30" s="9">
        <v>21828</v>
      </c>
      <c r="X30" s="5" t="s">
        <v>35</v>
      </c>
      <c r="Y30" s="10">
        <v>100</v>
      </c>
      <c r="Z30" s="10">
        <v>25.44</v>
      </c>
      <c r="AA30" s="10">
        <v>25.44</v>
      </c>
      <c r="AB30" s="10">
        <v>12675</v>
      </c>
      <c r="AC30" s="10">
        <v>3320</v>
      </c>
      <c r="AD30" s="10">
        <v>0</v>
      </c>
      <c r="AE30" s="11">
        <v>15995</v>
      </c>
      <c r="AF30" s="12" t="s">
        <v>44</v>
      </c>
      <c r="AG30" s="14" t="s">
        <v>585</v>
      </c>
      <c r="AH30" s="14" t="e">
        <v>#N/A</v>
      </c>
      <c r="AI30" s="14" t="s">
        <v>49</v>
      </c>
      <c r="AJ30" s="14">
        <v>30000</v>
      </c>
      <c r="AK30" s="14">
        <v>25000</v>
      </c>
      <c r="AL30" s="13">
        <v>12</v>
      </c>
      <c r="AM30" s="13">
        <v>9</v>
      </c>
      <c r="AN30" s="14" t="s">
        <v>308</v>
      </c>
      <c r="AO30" s="14" t="s">
        <v>87</v>
      </c>
      <c r="AP30" s="14" t="s">
        <v>48</v>
      </c>
      <c r="AQ30" s="20">
        <v>202512</v>
      </c>
      <c r="AR30" s="14" t="s">
        <v>166</v>
      </c>
      <c r="AS30"/>
      <c r="AT30" s="12" t="s">
        <v>44</v>
      </c>
      <c r="AU30" s="19" t="s">
        <v>199</v>
      </c>
      <c r="AV30" s="12" t="s">
        <v>301</v>
      </c>
      <c r="AW30"/>
    </row>
    <row r="31" spans="1:49" x14ac:dyDescent="0.3">
      <c r="A31" s="5" t="s">
        <v>30</v>
      </c>
      <c r="B31" s="5" t="s">
        <v>31</v>
      </c>
      <c r="C31" s="5" t="s">
        <v>425</v>
      </c>
      <c r="D31" s="5" t="s">
        <v>32</v>
      </c>
      <c r="E31" s="6" t="s">
        <v>33</v>
      </c>
      <c r="F31" s="7">
        <v>182</v>
      </c>
      <c r="G31" s="5" t="s">
        <v>426</v>
      </c>
      <c r="H31" s="5" t="s">
        <v>586</v>
      </c>
      <c r="I31" s="5" t="s">
        <v>587</v>
      </c>
      <c r="J31" s="5" t="s">
        <v>34</v>
      </c>
      <c r="K31" s="5" t="s">
        <v>132</v>
      </c>
      <c r="L31" s="5" t="s">
        <v>311</v>
      </c>
      <c r="M31" s="5" t="s">
        <v>46</v>
      </c>
      <c r="N31" s="5" t="s">
        <v>56</v>
      </c>
      <c r="O31" s="6" t="s">
        <v>588</v>
      </c>
      <c r="P31" s="5" t="s">
        <v>47</v>
      </c>
      <c r="Q31" s="5"/>
      <c r="R31" s="5" t="s">
        <v>286</v>
      </c>
      <c r="S31" s="5" t="s">
        <v>589</v>
      </c>
      <c r="T31" s="5" t="s">
        <v>590</v>
      </c>
      <c r="U31" s="5" t="s">
        <v>591</v>
      </c>
      <c r="V31" s="8">
        <v>8</v>
      </c>
      <c r="W31" s="9">
        <v>18524</v>
      </c>
      <c r="X31" s="5" t="s">
        <v>35</v>
      </c>
      <c r="Y31" s="10">
        <v>100</v>
      </c>
      <c r="Z31" s="10">
        <v>25.44</v>
      </c>
      <c r="AA31" s="10">
        <v>25.44</v>
      </c>
      <c r="AB31" s="10">
        <v>34731</v>
      </c>
      <c r="AC31" s="10">
        <v>3816</v>
      </c>
      <c r="AD31" s="10">
        <v>0</v>
      </c>
      <c r="AE31" s="11">
        <v>38547</v>
      </c>
      <c r="AF31" s="12" t="s">
        <v>134</v>
      </c>
      <c r="AG31" s="14" t="s">
        <v>313</v>
      </c>
      <c r="AH31" s="14" t="e">
        <v>#N/A</v>
      </c>
      <c r="AI31" s="14" t="s">
        <v>49</v>
      </c>
      <c r="AJ31" s="14">
        <v>20000</v>
      </c>
      <c r="AK31" s="14">
        <v>20000</v>
      </c>
      <c r="AL31" s="13">
        <v>12</v>
      </c>
      <c r="AM31" s="13">
        <v>9</v>
      </c>
      <c r="AN31" s="14" t="s">
        <v>365</v>
      </c>
      <c r="AO31" s="14" t="s">
        <v>87</v>
      </c>
      <c r="AP31" s="14" t="s">
        <v>46</v>
      </c>
      <c r="AQ31" s="20">
        <v>202512</v>
      </c>
      <c r="AR31" s="14" t="s">
        <v>166</v>
      </c>
      <c r="AS31"/>
      <c r="AT31" s="12" t="s">
        <v>134</v>
      </c>
      <c r="AU31" s="19" t="s">
        <v>199</v>
      </c>
      <c r="AV31" s="12" t="s">
        <v>301</v>
      </c>
      <c r="AW31"/>
    </row>
    <row r="32" spans="1:49" x14ac:dyDescent="0.3">
      <c r="A32" s="5" t="s">
        <v>30</v>
      </c>
      <c r="B32" s="5" t="s">
        <v>31</v>
      </c>
      <c r="C32" s="5" t="s">
        <v>425</v>
      </c>
      <c r="D32" s="5" t="s">
        <v>32</v>
      </c>
      <c r="E32" s="6" t="s">
        <v>33</v>
      </c>
      <c r="F32" s="7">
        <v>183</v>
      </c>
      <c r="G32" s="5" t="s">
        <v>426</v>
      </c>
      <c r="H32" s="5" t="s">
        <v>592</v>
      </c>
      <c r="I32" s="5" t="s">
        <v>593</v>
      </c>
      <c r="J32" s="5" t="s">
        <v>34</v>
      </c>
      <c r="K32" s="5" t="s">
        <v>50</v>
      </c>
      <c r="L32" s="5" t="s">
        <v>594</v>
      </c>
      <c r="M32" s="5" t="s">
        <v>46</v>
      </c>
      <c r="N32" s="5" t="s">
        <v>56</v>
      </c>
      <c r="O32" s="6" t="s">
        <v>595</v>
      </c>
      <c r="P32" s="5" t="s">
        <v>189</v>
      </c>
      <c r="Q32" s="5"/>
      <c r="R32" s="5" t="s">
        <v>369</v>
      </c>
      <c r="S32" s="5" t="s">
        <v>596</v>
      </c>
      <c r="T32" s="5" t="s">
        <v>597</v>
      </c>
      <c r="U32" s="5" t="s">
        <v>598</v>
      </c>
      <c r="V32" s="8">
        <v>33</v>
      </c>
      <c r="W32" s="9">
        <v>42919</v>
      </c>
      <c r="X32" s="5" t="s">
        <v>35</v>
      </c>
      <c r="Y32" s="10">
        <v>100</v>
      </c>
      <c r="Z32" s="10">
        <v>25.44</v>
      </c>
      <c r="AA32" s="10">
        <v>25.44</v>
      </c>
      <c r="AB32" s="10">
        <v>0</v>
      </c>
      <c r="AC32" s="10">
        <v>4643</v>
      </c>
      <c r="AD32" s="10">
        <v>0</v>
      </c>
      <c r="AE32" s="11">
        <v>4643</v>
      </c>
      <c r="AF32" s="12" t="s">
        <v>52</v>
      </c>
      <c r="AG32" s="14" t="s">
        <v>191</v>
      </c>
      <c r="AH32" s="14" t="e">
        <v>#N/A</v>
      </c>
      <c r="AI32" s="14" t="s">
        <v>338</v>
      </c>
      <c r="AJ32" s="14">
        <v>50000</v>
      </c>
      <c r="AK32" s="14">
        <v>45000</v>
      </c>
      <c r="AL32" s="13">
        <v>36</v>
      </c>
      <c r="AM32" s="13">
        <v>36</v>
      </c>
      <c r="AN32" s="14" t="s">
        <v>251</v>
      </c>
      <c r="AO32" s="14" t="s">
        <v>87</v>
      </c>
      <c r="AP32" s="14" t="s">
        <v>46</v>
      </c>
      <c r="AQ32" s="20">
        <v>202512</v>
      </c>
      <c r="AR32" s="14" t="s">
        <v>166</v>
      </c>
      <c r="AS32"/>
      <c r="AT32" s="12" t="s">
        <v>52</v>
      </c>
      <c r="AU32" s="19" t="s">
        <v>199</v>
      </c>
      <c r="AV32" s="12" t="s">
        <v>301</v>
      </c>
      <c r="AW32"/>
    </row>
    <row r="33" spans="1:49" x14ac:dyDescent="0.3">
      <c r="A33" s="5" t="s">
        <v>30</v>
      </c>
      <c r="B33" s="5" t="s">
        <v>31</v>
      </c>
      <c r="C33" s="5" t="s">
        <v>425</v>
      </c>
      <c r="D33" s="5" t="s">
        <v>32</v>
      </c>
      <c r="E33" s="6" t="s">
        <v>33</v>
      </c>
      <c r="F33" s="7">
        <v>184</v>
      </c>
      <c r="G33" s="5" t="s">
        <v>426</v>
      </c>
      <c r="H33" s="5" t="s">
        <v>599</v>
      </c>
      <c r="I33" s="5" t="s">
        <v>600</v>
      </c>
      <c r="J33" s="5" t="s">
        <v>34</v>
      </c>
      <c r="K33" s="5" t="s">
        <v>50</v>
      </c>
      <c r="L33" s="5" t="s">
        <v>594</v>
      </c>
      <c r="M33" s="5" t="s">
        <v>46</v>
      </c>
      <c r="N33" s="5" t="s">
        <v>56</v>
      </c>
      <c r="O33" s="6" t="s">
        <v>601</v>
      </c>
      <c r="P33" s="5" t="s">
        <v>372</v>
      </c>
      <c r="Q33" s="5"/>
      <c r="R33" s="5" t="s">
        <v>602</v>
      </c>
      <c r="S33" s="5" t="s">
        <v>321</v>
      </c>
      <c r="T33" s="5" t="s">
        <v>575</v>
      </c>
      <c r="U33" s="5" t="s">
        <v>374</v>
      </c>
      <c r="V33" s="8">
        <v>2</v>
      </c>
      <c r="W33" s="9">
        <v>2631</v>
      </c>
      <c r="X33" s="5" t="s">
        <v>35</v>
      </c>
      <c r="Y33" s="10">
        <v>100</v>
      </c>
      <c r="Z33" s="10">
        <v>25.44</v>
      </c>
      <c r="AA33" s="10">
        <v>25.44</v>
      </c>
      <c r="AB33" s="10">
        <v>0</v>
      </c>
      <c r="AC33" s="10">
        <v>3511</v>
      </c>
      <c r="AD33" s="10">
        <v>0</v>
      </c>
      <c r="AE33" s="11">
        <v>3511</v>
      </c>
      <c r="AF33" s="12" t="s">
        <v>52</v>
      </c>
      <c r="AG33" s="14" t="s">
        <v>603</v>
      </c>
      <c r="AH33" s="14" t="e">
        <v>#N/A</v>
      </c>
      <c r="AI33" s="14" t="s">
        <v>49</v>
      </c>
      <c r="AJ33" s="14">
        <v>10000</v>
      </c>
      <c r="AK33" s="14">
        <v>5000</v>
      </c>
      <c r="AL33" s="13">
        <v>6</v>
      </c>
      <c r="AM33" s="13">
        <v>3</v>
      </c>
      <c r="AN33" s="14" t="s">
        <v>251</v>
      </c>
      <c r="AO33" s="14" t="s">
        <v>87</v>
      </c>
      <c r="AP33" s="14" t="s">
        <v>46</v>
      </c>
      <c r="AQ33" s="20">
        <v>202512</v>
      </c>
      <c r="AR33" s="14" t="s">
        <v>166</v>
      </c>
      <c r="AS33"/>
      <c r="AT33" s="12" t="s">
        <v>52</v>
      </c>
      <c r="AU33" s="19" t="s">
        <v>199</v>
      </c>
      <c r="AV33" s="12" t="s">
        <v>301</v>
      </c>
      <c r="AW33"/>
    </row>
    <row r="34" spans="1:49" x14ac:dyDescent="0.3">
      <c r="A34" s="5" t="s">
        <v>30</v>
      </c>
      <c r="B34" s="5" t="s">
        <v>31</v>
      </c>
      <c r="C34" s="5" t="s">
        <v>425</v>
      </c>
      <c r="D34" s="5" t="s">
        <v>32</v>
      </c>
      <c r="E34" s="6" t="s">
        <v>33</v>
      </c>
      <c r="F34" s="7">
        <v>185</v>
      </c>
      <c r="G34" s="5" t="s">
        <v>426</v>
      </c>
      <c r="H34" s="5" t="s">
        <v>604</v>
      </c>
      <c r="I34" s="5" t="s">
        <v>605</v>
      </c>
      <c r="J34" s="5" t="s">
        <v>34</v>
      </c>
      <c r="K34" s="5" t="s">
        <v>94</v>
      </c>
      <c r="L34" s="5" t="s">
        <v>606</v>
      </c>
      <c r="M34" s="5" t="s">
        <v>53</v>
      </c>
      <c r="N34" s="5" t="s">
        <v>56</v>
      </c>
      <c r="O34" s="6" t="s">
        <v>607</v>
      </c>
      <c r="P34" s="5" t="s">
        <v>372</v>
      </c>
      <c r="Q34" s="5"/>
      <c r="R34" s="5" t="s">
        <v>602</v>
      </c>
      <c r="S34" s="5" t="s">
        <v>608</v>
      </c>
      <c r="T34" s="5" t="s">
        <v>609</v>
      </c>
      <c r="U34" s="5" t="s">
        <v>610</v>
      </c>
      <c r="V34" s="8">
        <v>13</v>
      </c>
      <c r="W34" s="9">
        <v>7233</v>
      </c>
      <c r="X34" s="5" t="s">
        <v>35</v>
      </c>
      <c r="Y34" s="10">
        <v>100</v>
      </c>
      <c r="Z34" s="10">
        <v>25.44</v>
      </c>
      <c r="AA34" s="10">
        <v>25.44</v>
      </c>
      <c r="AB34" s="10">
        <v>19790</v>
      </c>
      <c r="AC34" s="10">
        <v>33581</v>
      </c>
      <c r="AD34" s="10">
        <v>0</v>
      </c>
      <c r="AE34" s="11">
        <v>53371</v>
      </c>
      <c r="AF34" s="12" t="s">
        <v>96</v>
      </c>
      <c r="AG34" s="14" t="s">
        <v>337</v>
      </c>
      <c r="AH34" s="14" t="e">
        <v>#N/A</v>
      </c>
      <c r="AI34" s="14" t="s">
        <v>49</v>
      </c>
      <c r="AJ34" s="14">
        <v>10000</v>
      </c>
      <c r="AK34" s="14">
        <v>10000</v>
      </c>
      <c r="AL34" s="13">
        <v>18</v>
      </c>
      <c r="AM34" s="13">
        <v>15</v>
      </c>
      <c r="AN34" s="14" t="s">
        <v>611</v>
      </c>
      <c r="AO34" s="14" t="s">
        <v>87</v>
      </c>
      <c r="AP34" s="14" t="s">
        <v>53</v>
      </c>
      <c r="AQ34" s="20">
        <v>202512</v>
      </c>
      <c r="AR34" s="14" t="s">
        <v>166</v>
      </c>
      <c r="AS34"/>
      <c r="AT34" s="12" t="s">
        <v>96</v>
      </c>
      <c r="AU34" s="19" t="s">
        <v>199</v>
      </c>
      <c r="AV34" s="12" t="s">
        <v>301</v>
      </c>
      <c r="AW34"/>
    </row>
    <row r="35" spans="1:49" x14ac:dyDescent="0.3">
      <c r="A35" s="5" t="s">
        <v>30</v>
      </c>
      <c r="B35" s="5" t="s">
        <v>31</v>
      </c>
      <c r="C35" s="5" t="s">
        <v>612</v>
      </c>
      <c r="D35" s="5" t="s">
        <v>32</v>
      </c>
      <c r="E35" s="6" t="s">
        <v>33</v>
      </c>
      <c r="F35" s="7">
        <v>1</v>
      </c>
      <c r="G35" s="5" t="s">
        <v>300</v>
      </c>
      <c r="H35" s="5" t="s">
        <v>613</v>
      </c>
      <c r="I35" s="5" t="s">
        <v>614</v>
      </c>
      <c r="J35" s="5" t="s">
        <v>34</v>
      </c>
      <c r="K35" s="5" t="s">
        <v>291</v>
      </c>
      <c r="L35" s="5" t="s">
        <v>371</v>
      </c>
      <c r="M35" s="5" t="s">
        <v>43</v>
      </c>
      <c r="N35" s="5" t="s">
        <v>56</v>
      </c>
      <c r="O35" s="6" t="s">
        <v>615</v>
      </c>
      <c r="P35" s="5" t="s">
        <v>47</v>
      </c>
      <c r="Q35" s="5"/>
      <c r="R35" s="5" t="s">
        <v>309</v>
      </c>
      <c r="S35" s="5" t="s">
        <v>616</v>
      </c>
      <c r="T35" s="5" t="s">
        <v>617</v>
      </c>
      <c r="U35" s="5" t="s">
        <v>618</v>
      </c>
      <c r="V35" s="8">
        <v>11</v>
      </c>
      <c r="W35" s="9">
        <v>26352</v>
      </c>
      <c r="X35" s="5" t="s">
        <v>35</v>
      </c>
      <c r="Y35" s="10">
        <v>100</v>
      </c>
      <c r="Z35" s="10">
        <v>25.44</v>
      </c>
      <c r="AA35" s="10">
        <v>25.44</v>
      </c>
      <c r="AB35" s="10">
        <v>78136</v>
      </c>
      <c r="AC35" s="10">
        <v>10049</v>
      </c>
      <c r="AD35" s="10">
        <v>0</v>
      </c>
      <c r="AE35" s="11">
        <v>88185</v>
      </c>
      <c r="AF35" s="12" t="s">
        <v>52</v>
      </c>
      <c r="AG35" s="14" t="s">
        <v>339</v>
      </c>
      <c r="AH35" s="14" t="e">
        <v>#N/A</v>
      </c>
      <c r="AI35" s="14" t="s">
        <v>49</v>
      </c>
      <c r="AJ35" s="14">
        <v>30000</v>
      </c>
      <c r="AK35" s="14">
        <v>30000</v>
      </c>
      <c r="AL35" s="13">
        <v>12</v>
      </c>
      <c r="AM35" s="13">
        <v>12</v>
      </c>
      <c r="AN35" s="14" t="s">
        <v>187</v>
      </c>
      <c r="AO35" s="14" t="s">
        <v>87</v>
      </c>
      <c r="AP35" s="14" t="s">
        <v>46</v>
      </c>
      <c r="AQ35" s="20">
        <v>202512</v>
      </c>
      <c r="AR35" s="14" t="s">
        <v>166</v>
      </c>
      <c r="AS35"/>
      <c r="AT35" s="12" t="s">
        <v>52</v>
      </c>
      <c r="AU35" s="19" t="s">
        <v>199</v>
      </c>
      <c r="AV35" s="12" t="s">
        <v>301</v>
      </c>
      <c r="AW35"/>
    </row>
    <row r="36" spans="1:49" x14ac:dyDescent="0.3">
      <c r="A36" s="5" t="s">
        <v>30</v>
      </c>
      <c r="B36" s="5" t="s">
        <v>54</v>
      </c>
      <c r="C36" s="5" t="s">
        <v>425</v>
      </c>
      <c r="D36" s="5" t="s">
        <v>32</v>
      </c>
      <c r="E36" s="6" t="s">
        <v>33</v>
      </c>
      <c r="F36" s="7">
        <v>1</v>
      </c>
      <c r="G36" s="5" t="s">
        <v>426</v>
      </c>
      <c r="H36" s="5" t="s">
        <v>619</v>
      </c>
      <c r="I36" s="5" t="s">
        <v>620</v>
      </c>
      <c r="J36" s="5" t="s">
        <v>34</v>
      </c>
      <c r="K36" s="5" t="s">
        <v>55</v>
      </c>
      <c r="L36" s="5" t="s">
        <v>236</v>
      </c>
      <c r="M36" s="5" t="s">
        <v>176</v>
      </c>
      <c r="N36" s="5" t="s">
        <v>56</v>
      </c>
      <c r="O36" s="6" t="e">
        <v>#N/A</v>
      </c>
      <c r="P36" s="5" t="s">
        <v>68</v>
      </c>
      <c r="Q36" s="5" t="s">
        <v>64</v>
      </c>
      <c r="R36" s="5" t="s">
        <v>145</v>
      </c>
      <c r="S36" s="5" t="s">
        <v>621</v>
      </c>
      <c r="T36" s="5" t="s">
        <v>622</v>
      </c>
      <c r="U36" s="5" t="s">
        <v>623</v>
      </c>
      <c r="V36" s="8">
        <v>80</v>
      </c>
      <c r="W36" s="9">
        <v>84820</v>
      </c>
      <c r="X36" s="5" t="s">
        <v>35</v>
      </c>
      <c r="Y36" s="10">
        <v>100</v>
      </c>
      <c r="Z36" s="10">
        <v>18.18</v>
      </c>
      <c r="AA36" s="10">
        <v>18.18</v>
      </c>
      <c r="AB36" s="10">
        <v>131461</v>
      </c>
      <c r="AC36" s="10">
        <v>45148</v>
      </c>
      <c r="AD36" s="10">
        <v>0</v>
      </c>
      <c r="AE36" s="11">
        <v>176609</v>
      </c>
      <c r="AF36" s="12" t="s">
        <v>57</v>
      </c>
      <c r="AG36" s="14" t="s">
        <v>624</v>
      </c>
      <c r="AH36" s="14" t="s">
        <v>65</v>
      </c>
      <c r="AI36" s="14" t="s">
        <v>36</v>
      </c>
      <c r="AJ36" s="14">
        <v>90000</v>
      </c>
      <c r="AK36" s="14">
        <v>85000</v>
      </c>
      <c r="AL36" s="13" t="s">
        <v>124</v>
      </c>
      <c r="AM36" s="13" t="s">
        <v>124</v>
      </c>
      <c r="AN36" s="14" t="s">
        <v>75</v>
      </c>
      <c r="AO36" s="14" t="s">
        <v>76</v>
      </c>
      <c r="AP36" s="14" t="s">
        <v>37</v>
      </c>
      <c r="AQ36" s="20">
        <v>202512</v>
      </c>
      <c r="AR36" s="14" t="s">
        <v>153</v>
      </c>
      <c r="AS36" s="14" t="s">
        <v>165</v>
      </c>
      <c r="AT36" s="14" t="s">
        <v>165</v>
      </c>
      <c r="AU36" s="19" t="s">
        <v>199</v>
      </c>
      <c r="AV36" s="12" t="s">
        <v>301</v>
      </c>
      <c r="AW36"/>
    </row>
    <row r="37" spans="1:49" x14ac:dyDescent="0.3">
      <c r="A37" s="5" t="s">
        <v>30</v>
      </c>
      <c r="B37" s="5" t="s">
        <v>54</v>
      </c>
      <c r="C37" s="5" t="s">
        <v>425</v>
      </c>
      <c r="D37" s="5" t="s">
        <v>32</v>
      </c>
      <c r="E37" s="6" t="s">
        <v>33</v>
      </c>
      <c r="F37" s="7">
        <v>52</v>
      </c>
      <c r="G37" s="5" t="s">
        <v>426</v>
      </c>
      <c r="H37" s="5" t="s">
        <v>625</v>
      </c>
      <c r="I37" s="5" t="s">
        <v>626</v>
      </c>
      <c r="J37" s="5" t="s">
        <v>34</v>
      </c>
      <c r="K37" s="5" t="s">
        <v>135</v>
      </c>
      <c r="L37" s="5" t="s">
        <v>247</v>
      </c>
      <c r="M37" s="5" t="s">
        <v>39</v>
      </c>
      <c r="N37" s="5" t="s">
        <v>56</v>
      </c>
      <c r="O37" s="6" t="s">
        <v>627</v>
      </c>
      <c r="P37" s="5" t="s">
        <v>182</v>
      </c>
      <c r="Q37" s="5" t="s">
        <v>64</v>
      </c>
      <c r="R37" s="5" t="s">
        <v>40</v>
      </c>
      <c r="S37" s="5" t="s">
        <v>628</v>
      </c>
      <c r="T37" s="5" t="s">
        <v>485</v>
      </c>
      <c r="U37" s="5" t="s">
        <v>629</v>
      </c>
      <c r="V37" s="8">
        <v>29</v>
      </c>
      <c r="W37" s="9">
        <v>47146</v>
      </c>
      <c r="X37" s="5" t="s">
        <v>35</v>
      </c>
      <c r="Y37" s="10">
        <v>100</v>
      </c>
      <c r="Z37" s="10">
        <v>18.18</v>
      </c>
      <c r="AA37" s="10">
        <v>18.18</v>
      </c>
      <c r="AB37" s="10">
        <v>187341</v>
      </c>
      <c r="AC37" s="10">
        <v>76337</v>
      </c>
      <c r="AD37" s="10">
        <v>0</v>
      </c>
      <c r="AE37" s="11">
        <v>263678</v>
      </c>
      <c r="AF37" s="12" t="s">
        <v>136</v>
      </c>
      <c r="AG37" s="14" t="s">
        <v>630</v>
      </c>
      <c r="AH37" s="14" t="s">
        <v>65</v>
      </c>
      <c r="AI37" s="14" t="s">
        <v>36</v>
      </c>
      <c r="AJ37" s="14">
        <v>50000</v>
      </c>
      <c r="AK37" s="14">
        <v>50000</v>
      </c>
      <c r="AL37" s="13">
        <v>30</v>
      </c>
      <c r="AM37" s="13">
        <v>30</v>
      </c>
      <c r="AN37" s="14" t="s">
        <v>58</v>
      </c>
      <c r="AO37" s="14" t="s">
        <v>59</v>
      </c>
      <c r="AP37" s="14" t="s">
        <v>37</v>
      </c>
      <c r="AQ37" s="20">
        <v>202512</v>
      </c>
      <c r="AR37" s="14" t="s">
        <v>153</v>
      </c>
      <c r="AS37" s="14" t="s">
        <v>185</v>
      </c>
      <c r="AT37" s="14" t="s">
        <v>185</v>
      </c>
      <c r="AU37" s="19" t="s">
        <v>199</v>
      </c>
      <c r="AV37" s="12" t="s">
        <v>301</v>
      </c>
      <c r="AW37"/>
    </row>
    <row r="38" spans="1:49" x14ac:dyDescent="0.3">
      <c r="A38" s="5" t="s">
        <v>30</v>
      </c>
      <c r="B38" s="5" t="s">
        <v>54</v>
      </c>
      <c r="C38" s="5" t="s">
        <v>425</v>
      </c>
      <c r="D38" s="5" t="s">
        <v>32</v>
      </c>
      <c r="E38" s="6" t="s">
        <v>33</v>
      </c>
      <c r="F38" s="7">
        <v>53</v>
      </c>
      <c r="G38" s="5" t="s">
        <v>426</v>
      </c>
      <c r="H38" s="5" t="s">
        <v>631</v>
      </c>
      <c r="I38" s="5" t="s">
        <v>632</v>
      </c>
      <c r="J38" s="5" t="s">
        <v>34</v>
      </c>
      <c r="K38" s="5" t="s">
        <v>435</v>
      </c>
      <c r="L38" s="5" t="s">
        <v>633</v>
      </c>
      <c r="M38" s="5" t="s">
        <v>39</v>
      </c>
      <c r="N38" s="5" t="s">
        <v>56</v>
      </c>
      <c r="O38" s="6" t="e">
        <v>#N/A</v>
      </c>
      <c r="P38" s="5" t="s">
        <v>130</v>
      </c>
      <c r="Q38" s="5" t="s">
        <v>64</v>
      </c>
      <c r="R38" s="5" t="s">
        <v>145</v>
      </c>
      <c r="S38" s="5" t="s">
        <v>634</v>
      </c>
      <c r="T38" s="5" t="s">
        <v>362</v>
      </c>
      <c r="U38" s="5" t="s">
        <v>635</v>
      </c>
      <c r="V38" s="8">
        <v>15</v>
      </c>
      <c r="W38" s="9">
        <v>39177</v>
      </c>
      <c r="X38" s="5" t="s">
        <v>35</v>
      </c>
      <c r="Y38" s="10">
        <v>100</v>
      </c>
      <c r="Z38" s="10">
        <v>18.18</v>
      </c>
      <c r="AA38" s="10">
        <v>18.18</v>
      </c>
      <c r="AB38" s="10">
        <v>104783</v>
      </c>
      <c r="AC38" s="10">
        <v>8788</v>
      </c>
      <c r="AD38" s="10">
        <v>0</v>
      </c>
      <c r="AE38" s="11">
        <v>113571</v>
      </c>
      <c r="AF38" s="12" t="s">
        <v>441</v>
      </c>
      <c r="AG38" s="14" t="s">
        <v>164</v>
      </c>
      <c r="AH38" s="14" t="s">
        <v>65</v>
      </c>
      <c r="AI38" s="14" t="s">
        <v>36</v>
      </c>
      <c r="AJ38" s="14">
        <v>40000</v>
      </c>
      <c r="AK38" s="14">
        <v>40000</v>
      </c>
      <c r="AL38" s="13">
        <v>18</v>
      </c>
      <c r="AM38" s="13">
        <v>18</v>
      </c>
      <c r="AN38" s="14" t="s">
        <v>317</v>
      </c>
      <c r="AO38" s="14" t="s">
        <v>318</v>
      </c>
      <c r="AP38" s="14" t="s">
        <v>37</v>
      </c>
      <c r="AQ38" s="20">
        <v>202512</v>
      </c>
      <c r="AR38" s="14" t="s">
        <v>153</v>
      </c>
      <c r="AS38" s="14" t="s">
        <v>185</v>
      </c>
      <c r="AT38" s="14" t="s">
        <v>185</v>
      </c>
      <c r="AU38" s="19" t="s">
        <v>199</v>
      </c>
      <c r="AV38" s="12" t="s">
        <v>301</v>
      </c>
      <c r="AW38"/>
    </row>
    <row r="39" spans="1:49" x14ac:dyDescent="0.3">
      <c r="A39" s="5" t="s">
        <v>30</v>
      </c>
      <c r="B39" s="5" t="s">
        <v>54</v>
      </c>
      <c r="C39" s="5" t="s">
        <v>425</v>
      </c>
      <c r="D39" s="5" t="s">
        <v>32</v>
      </c>
      <c r="E39" s="6" t="s">
        <v>33</v>
      </c>
      <c r="F39" s="7">
        <v>54</v>
      </c>
      <c r="G39" s="5" t="s">
        <v>426</v>
      </c>
      <c r="H39" s="5" t="s">
        <v>636</v>
      </c>
      <c r="I39" s="5" t="s">
        <v>637</v>
      </c>
      <c r="J39" s="5" t="s">
        <v>34</v>
      </c>
      <c r="K39" s="5" t="s">
        <v>135</v>
      </c>
      <c r="L39" s="5" t="s">
        <v>638</v>
      </c>
      <c r="M39" s="5" t="s">
        <v>39</v>
      </c>
      <c r="N39" s="5" t="s">
        <v>56</v>
      </c>
      <c r="O39" s="6" t="s">
        <v>639</v>
      </c>
      <c r="P39" s="5" t="s">
        <v>182</v>
      </c>
      <c r="Q39" s="5" t="s">
        <v>61</v>
      </c>
      <c r="R39" s="5" t="s">
        <v>146</v>
      </c>
      <c r="S39" s="5" t="s">
        <v>640</v>
      </c>
      <c r="T39" s="5" t="s">
        <v>304</v>
      </c>
      <c r="U39" s="5" t="s">
        <v>276</v>
      </c>
      <c r="V39" s="8">
        <v>1</v>
      </c>
      <c r="W39" s="9">
        <v>1300</v>
      </c>
      <c r="X39" s="5" t="s">
        <v>35</v>
      </c>
      <c r="Y39" s="10">
        <v>100</v>
      </c>
      <c r="Z39" s="10">
        <v>18.18</v>
      </c>
      <c r="AA39" s="10">
        <v>18.18</v>
      </c>
      <c r="AB39" s="10">
        <v>659130</v>
      </c>
      <c r="AC39" s="10">
        <v>6775</v>
      </c>
      <c r="AD39" s="10">
        <v>0</v>
      </c>
      <c r="AE39" s="11">
        <v>665905</v>
      </c>
      <c r="AF39" s="12" t="s">
        <v>136</v>
      </c>
      <c r="AG39" s="14" t="s">
        <v>585</v>
      </c>
      <c r="AH39" s="14" t="s">
        <v>63</v>
      </c>
      <c r="AI39" s="14" t="s">
        <v>36</v>
      </c>
      <c r="AJ39" s="14">
        <v>10000</v>
      </c>
      <c r="AK39" s="14">
        <v>5000</v>
      </c>
      <c r="AL39" s="13">
        <v>6</v>
      </c>
      <c r="AM39" s="13">
        <v>3</v>
      </c>
      <c r="AN39" s="14" t="s">
        <v>298</v>
      </c>
      <c r="AO39" s="14" t="s">
        <v>299</v>
      </c>
      <c r="AP39" s="14" t="s">
        <v>37</v>
      </c>
      <c r="AQ39" s="20">
        <v>202512</v>
      </c>
      <c r="AR39" s="14" t="s">
        <v>153</v>
      </c>
      <c r="AS39" s="14" t="s">
        <v>165</v>
      </c>
      <c r="AT39" s="14" t="s">
        <v>165</v>
      </c>
      <c r="AU39" s="19" t="s">
        <v>199</v>
      </c>
      <c r="AV39" s="12" t="s">
        <v>301</v>
      </c>
      <c r="AW39"/>
    </row>
    <row r="40" spans="1:49" x14ac:dyDescent="0.3">
      <c r="A40" s="5" t="s">
        <v>30</v>
      </c>
      <c r="B40" s="5" t="s">
        <v>54</v>
      </c>
      <c r="C40" s="5" t="s">
        <v>425</v>
      </c>
      <c r="D40" s="5" t="s">
        <v>32</v>
      </c>
      <c r="E40" s="6" t="s">
        <v>33</v>
      </c>
      <c r="F40" s="7">
        <v>55</v>
      </c>
      <c r="G40" s="5" t="s">
        <v>426</v>
      </c>
      <c r="H40" s="5" t="s">
        <v>641</v>
      </c>
      <c r="I40" s="5" t="s">
        <v>642</v>
      </c>
      <c r="J40" s="5" t="s">
        <v>34</v>
      </c>
      <c r="K40" s="5" t="s">
        <v>38</v>
      </c>
      <c r="L40" s="5" t="s">
        <v>69</v>
      </c>
      <c r="M40" s="5" t="s">
        <v>39</v>
      </c>
      <c r="N40" s="5" t="s">
        <v>56</v>
      </c>
      <c r="O40" s="6" t="s">
        <v>643</v>
      </c>
      <c r="P40" s="5" t="s">
        <v>244</v>
      </c>
      <c r="Q40" s="5" t="s">
        <v>64</v>
      </c>
      <c r="R40" s="5" t="s">
        <v>145</v>
      </c>
      <c r="S40" s="5" t="s">
        <v>644</v>
      </c>
      <c r="T40" s="5" t="s">
        <v>307</v>
      </c>
      <c r="U40" s="5" t="s">
        <v>378</v>
      </c>
      <c r="V40" s="8">
        <v>91</v>
      </c>
      <c r="W40" s="9">
        <v>111523</v>
      </c>
      <c r="X40" s="5" t="s">
        <v>35</v>
      </c>
      <c r="Y40" s="10">
        <v>100</v>
      </c>
      <c r="Z40" s="10">
        <v>18.18</v>
      </c>
      <c r="AA40" s="10">
        <v>18.18</v>
      </c>
      <c r="AB40" s="10">
        <v>485573</v>
      </c>
      <c r="AC40" s="10">
        <v>213648</v>
      </c>
      <c r="AD40" s="10">
        <v>0</v>
      </c>
      <c r="AE40" s="11">
        <v>699221</v>
      </c>
      <c r="AF40" s="12" t="s">
        <v>41</v>
      </c>
      <c r="AG40" s="14" t="s">
        <v>645</v>
      </c>
      <c r="AH40" s="14" t="s">
        <v>65</v>
      </c>
      <c r="AI40" s="14" t="s">
        <v>36</v>
      </c>
      <c r="AJ40" s="14" t="s">
        <v>142</v>
      </c>
      <c r="AK40" s="14" t="s">
        <v>142</v>
      </c>
      <c r="AL40" s="13" t="s">
        <v>124</v>
      </c>
      <c r="AM40" s="13" t="s">
        <v>124</v>
      </c>
      <c r="AN40" s="14" t="s">
        <v>58</v>
      </c>
      <c r="AO40" s="14" t="s">
        <v>59</v>
      </c>
      <c r="AP40" s="14" t="s">
        <v>37</v>
      </c>
      <c r="AQ40" s="20">
        <v>202512</v>
      </c>
      <c r="AR40" s="14" t="s">
        <v>153</v>
      </c>
      <c r="AS40" s="14" t="s">
        <v>165</v>
      </c>
      <c r="AT40" s="14" t="s">
        <v>165</v>
      </c>
      <c r="AU40" s="19" t="s">
        <v>199</v>
      </c>
      <c r="AV40" s="12" t="s">
        <v>301</v>
      </c>
      <c r="AW40"/>
    </row>
    <row r="41" spans="1:49" x14ac:dyDescent="0.3">
      <c r="A41" s="5" t="s">
        <v>30</v>
      </c>
      <c r="B41" s="5" t="s">
        <v>54</v>
      </c>
      <c r="C41" s="5" t="s">
        <v>425</v>
      </c>
      <c r="D41" s="5" t="s">
        <v>32</v>
      </c>
      <c r="E41" s="6" t="s">
        <v>33</v>
      </c>
      <c r="F41" s="7">
        <v>56</v>
      </c>
      <c r="G41" s="5" t="s">
        <v>426</v>
      </c>
      <c r="H41" s="5" t="s">
        <v>646</v>
      </c>
      <c r="I41" s="5" t="s">
        <v>647</v>
      </c>
      <c r="J41" s="5" t="s">
        <v>34</v>
      </c>
      <c r="K41" s="5" t="s">
        <v>55</v>
      </c>
      <c r="L41" s="5" t="s">
        <v>282</v>
      </c>
      <c r="M41" s="5" t="s">
        <v>39</v>
      </c>
      <c r="N41" s="5" t="s">
        <v>56</v>
      </c>
      <c r="O41" s="6" t="e">
        <v>#N/A</v>
      </c>
      <c r="P41" s="5" t="s">
        <v>68</v>
      </c>
      <c r="Q41" s="5" t="s">
        <v>64</v>
      </c>
      <c r="R41" s="5" t="s">
        <v>145</v>
      </c>
      <c r="S41" s="5" t="s">
        <v>648</v>
      </c>
      <c r="T41" s="5" t="s">
        <v>353</v>
      </c>
      <c r="U41" s="5" t="s">
        <v>358</v>
      </c>
      <c r="V41" s="8">
        <v>72</v>
      </c>
      <c r="W41" s="9">
        <v>68841</v>
      </c>
      <c r="X41" s="5" t="s">
        <v>35</v>
      </c>
      <c r="Y41" s="10">
        <v>100</v>
      </c>
      <c r="Z41" s="10">
        <v>18.18</v>
      </c>
      <c r="AA41" s="10">
        <v>18.18</v>
      </c>
      <c r="AB41" s="10">
        <v>166244</v>
      </c>
      <c r="AC41" s="10">
        <v>36680</v>
      </c>
      <c r="AD41" s="10">
        <v>0</v>
      </c>
      <c r="AE41" s="11">
        <v>202924</v>
      </c>
      <c r="AF41" s="12" t="s">
        <v>57</v>
      </c>
      <c r="AG41" s="14" t="s">
        <v>424</v>
      </c>
      <c r="AH41" s="14" t="s">
        <v>65</v>
      </c>
      <c r="AI41" s="14" t="s">
        <v>36</v>
      </c>
      <c r="AJ41" s="14">
        <v>70000</v>
      </c>
      <c r="AK41" s="14">
        <v>70000</v>
      </c>
      <c r="AL41" s="13" t="s">
        <v>124</v>
      </c>
      <c r="AM41" s="13" t="s">
        <v>124</v>
      </c>
      <c r="AN41" s="14" t="s">
        <v>75</v>
      </c>
      <c r="AO41" s="14" t="s">
        <v>76</v>
      </c>
      <c r="AP41" s="14" t="s">
        <v>37</v>
      </c>
      <c r="AQ41" s="20">
        <v>202512</v>
      </c>
      <c r="AR41" s="14" t="s">
        <v>153</v>
      </c>
      <c r="AS41" s="14" t="s">
        <v>165</v>
      </c>
      <c r="AT41" s="14" t="s">
        <v>165</v>
      </c>
      <c r="AU41" s="19" t="s">
        <v>199</v>
      </c>
      <c r="AV41" s="12" t="s">
        <v>301</v>
      </c>
      <c r="AW41"/>
    </row>
    <row r="42" spans="1:49" x14ac:dyDescent="0.3">
      <c r="A42" s="5" t="s">
        <v>30</v>
      </c>
      <c r="B42" s="5" t="s">
        <v>54</v>
      </c>
      <c r="C42" s="5" t="s">
        <v>425</v>
      </c>
      <c r="D42" s="5" t="s">
        <v>32</v>
      </c>
      <c r="E42" s="6" t="s">
        <v>33</v>
      </c>
      <c r="F42" s="7">
        <v>64</v>
      </c>
      <c r="G42" s="5" t="s">
        <v>426</v>
      </c>
      <c r="H42" s="5" t="s">
        <v>649</v>
      </c>
      <c r="I42" s="5" t="s">
        <v>650</v>
      </c>
      <c r="J42" s="5" t="s">
        <v>34</v>
      </c>
      <c r="K42" s="5" t="s">
        <v>42</v>
      </c>
      <c r="L42" s="5" t="s">
        <v>127</v>
      </c>
      <c r="M42" s="5" t="s">
        <v>43</v>
      </c>
      <c r="N42" s="5" t="s">
        <v>56</v>
      </c>
      <c r="O42" s="6" t="s">
        <v>651</v>
      </c>
      <c r="P42" s="5" t="s">
        <v>47</v>
      </c>
      <c r="Q42" s="5" t="s">
        <v>64</v>
      </c>
      <c r="R42" s="5" t="s">
        <v>214</v>
      </c>
      <c r="S42" s="5" t="s">
        <v>652</v>
      </c>
      <c r="T42" s="5" t="s">
        <v>370</v>
      </c>
      <c r="U42" s="5" t="s">
        <v>653</v>
      </c>
      <c r="V42" s="8">
        <v>20</v>
      </c>
      <c r="W42" s="9">
        <v>40208</v>
      </c>
      <c r="X42" s="5" t="s">
        <v>35</v>
      </c>
      <c r="Y42" s="10">
        <v>100</v>
      </c>
      <c r="Z42" s="10">
        <v>18.18</v>
      </c>
      <c r="AA42" s="10">
        <v>18.18</v>
      </c>
      <c r="AB42" s="10">
        <v>169185</v>
      </c>
      <c r="AC42" s="10">
        <v>4330</v>
      </c>
      <c r="AD42" s="10">
        <v>0</v>
      </c>
      <c r="AE42" s="11">
        <v>173515</v>
      </c>
      <c r="AF42" s="12" t="s">
        <v>44</v>
      </c>
      <c r="AG42" s="14" t="s">
        <v>178</v>
      </c>
      <c r="AH42" s="14" t="s">
        <v>65</v>
      </c>
      <c r="AI42" s="14" t="s">
        <v>254</v>
      </c>
      <c r="AJ42" s="14">
        <v>50000</v>
      </c>
      <c r="AK42" s="14">
        <v>45000</v>
      </c>
      <c r="AL42" s="13">
        <v>24</v>
      </c>
      <c r="AM42" s="13">
        <v>21</v>
      </c>
      <c r="AN42" s="14" t="s">
        <v>174</v>
      </c>
      <c r="AO42" s="14" t="s">
        <v>175</v>
      </c>
      <c r="AP42" s="14" t="s">
        <v>46</v>
      </c>
      <c r="AQ42" s="20">
        <v>202512</v>
      </c>
      <c r="AR42" s="21" t="s">
        <v>153</v>
      </c>
      <c r="AS42" s="14" t="s">
        <v>314</v>
      </c>
      <c r="AT42" s="12" t="s">
        <v>44</v>
      </c>
      <c r="AU42" s="19" t="s">
        <v>199</v>
      </c>
      <c r="AV42" s="12" t="s">
        <v>301</v>
      </c>
      <c r="AW42"/>
    </row>
    <row r="43" spans="1:49" x14ac:dyDescent="0.3">
      <c r="A43" s="5" t="s">
        <v>30</v>
      </c>
      <c r="B43" s="5" t="s">
        <v>54</v>
      </c>
      <c r="C43" s="5" t="s">
        <v>425</v>
      </c>
      <c r="D43" s="5" t="s">
        <v>32</v>
      </c>
      <c r="E43" s="6" t="s">
        <v>33</v>
      </c>
      <c r="F43" s="7">
        <v>65</v>
      </c>
      <c r="G43" s="5" t="s">
        <v>426</v>
      </c>
      <c r="H43" s="5" t="s">
        <v>654</v>
      </c>
      <c r="I43" s="5" t="s">
        <v>655</v>
      </c>
      <c r="J43" s="5" t="s">
        <v>34</v>
      </c>
      <c r="K43" s="5" t="s">
        <v>42</v>
      </c>
      <c r="L43" s="5" t="s">
        <v>127</v>
      </c>
      <c r="M43" s="5" t="s">
        <v>43</v>
      </c>
      <c r="N43" s="5" t="s">
        <v>56</v>
      </c>
      <c r="O43" s="6" t="s">
        <v>656</v>
      </c>
      <c r="P43" s="5" t="s">
        <v>47</v>
      </c>
      <c r="Q43" s="5" t="s">
        <v>64</v>
      </c>
      <c r="R43" s="5" t="s">
        <v>146</v>
      </c>
      <c r="S43" s="5" t="s">
        <v>657</v>
      </c>
      <c r="T43" s="5" t="s">
        <v>302</v>
      </c>
      <c r="U43" s="5" t="s">
        <v>658</v>
      </c>
      <c r="V43" s="8">
        <v>15</v>
      </c>
      <c r="W43" s="9">
        <v>8100</v>
      </c>
      <c r="X43" s="5" t="s">
        <v>35</v>
      </c>
      <c r="Y43" s="10">
        <v>100</v>
      </c>
      <c r="Z43" s="10">
        <v>18.18</v>
      </c>
      <c r="AA43" s="10">
        <v>18.18</v>
      </c>
      <c r="AB43" s="10">
        <v>169185</v>
      </c>
      <c r="AC43" s="10">
        <v>4330</v>
      </c>
      <c r="AD43" s="10">
        <v>0</v>
      </c>
      <c r="AE43" s="11">
        <v>173515</v>
      </c>
      <c r="AF43" s="12" t="s">
        <v>44</v>
      </c>
      <c r="AG43" s="14" t="s">
        <v>212</v>
      </c>
      <c r="AH43" s="14" t="s">
        <v>65</v>
      </c>
      <c r="AI43" s="14" t="s">
        <v>36</v>
      </c>
      <c r="AJ43" s="14">
        <v>10000</v>
      </c>
      <c r="AK43" s="14">
        <v>10000</v>
      </c>
      <c r="AL43" s="13">
        <v>18</v>
      </c>
      <c r="AM43" s="13">
        <v>18</v>
      </c>
      <c r="AN43" s="14" t="s">
        <v>174</v>
      </c>
      <c r="AO43" s="14" t="s">
        <v>175</v>
      </c>
      <c r="AP43" s="14" t="s">
        <v>46</v>
      </c>
      <c r="AQ43" s="20">
        <v>202512</v>
      </c>
      <c r="AR43" s="21" t="s">
        <v>153</v>
      </c>
      <c r="AS43" s="14" t="s">
        <v>314</v>
      </c>
      <c r="AT43" s="12" t="s">
        <v>44</v>
      </c>
      <c r="AU43" s="19" t="s">
        <v>199</v>
      </c>
      <c r="AV43" s="12" t="s">
        <v>301</v>
      </c>
      <c r="AW43"/>
    </row>
    <row r="44" spans="1:49" x14ac:dyDescent="0.3">
      <c r="A44" s="5" t="s">
        <v>30</v>
      </c>
      <c r="B44" s="5" t="s">
        <v>54</v>
      </c>
      <c r="C44" s="5" t="s">
        <v>425</v>
      </c>
      <c r="D44" s="5" t="s">
        <v>32</v>
      </c>
      <c r="E44" s="6" t="s">
        <v>33</v>
      </c>
      <c r="F44" s="7">
        <v>66</v>
      </c>
      <c r="G44" s="5" t="s">
        <v>426</v>
      </c>
      <c r="H44" s="5" t="s">
        <v>659</v>
      </c>
      <c r="I44" s="5" t="s">
        <v>660</v>
      </c>
      <c r="J44" s="5" t="s">
        <v>34</v>
      </c>
      <c r="K44" s="5" t="s">
        <v>42</v>
      </c>
      <c r="L44" s="5" t="s">
        <v>127</v>
      </c>
      <c r="M44" s="5" t="s">
        <v>43</v>
      </c>
      <c r="N44" s="5" t="s">
        <v>56</v>
      </c>
      <c r="O44" s="6" t="s">
        <v>661</v>
      </c>
      <c r="P44" s="5" t="s">
        <v>47</v>
      </c>
      <c r="Q44" s="5" t="s">
        <v>71</v>
      </c>
      <c r="R44" s="5" t="s">
        <v>284</v>
      </c>
      <c r="S44" s="5" t="s">
        <v>662</v>
      </c>
      <c r="T44" s="5" t="s">
        <v>551</v>
      </c>
      <c r="U44" s="5" t="s">
        <v>663</v>
      </c>
      <c r="V44" s="8">
        <v>18</v>
      </c>
      <c r="W44" s="9">
        <v>33449</v>
      </c>
      <c r="X44" s="5" t="s">
        <v>35</v>
      </c>
      <c r="Y44" s="10">
        <v>100</v>
      </c>
      <c r="Z44" s="10">
        <v>18.18</v>
      </c>
      <c r="AA44" s="10">
        <v>18.18</v>
      </c>
      <c r="AB44" s="10">
        <v>169185</v>
      </c>
      <c r="AC44" s="10">
        <v>4330</v>
      </c>
      <c r="AD44" s="10">
        <v>0</v>
      </c>
      <c r="AE44" s="11">
        <v>173515</v>
      </c>
      <c r="AF44" s="12" t="s">
        <v>44</v>
      </c>
      <c r="AG44" s="14" t="s">
        <v>181</v>
      </c>
      <c r="AH44" s="14" t="s">
        <v>72</v>
      </c>
      <c r="AI44" s="14" t="s">
        <v>123</v>
      </c>
      <c r="AJ44" s="14">
        <v>40000</v>
      </c>
      <c r="AK44" s="14">
        <v>35000</v>
      </c>
      <c r="AL44" s="13">
        <v>24</v>
      </c>
      <c r="AM44" s="13">
        <v>21</v>
      </c>
      <c r="AN44" s="14" t="s">
        <v>174</v>
      </c>
      <c r="AO44" s="14" t="s">
        <v>175</v>
      </c>
      <c r="AP44" s="14" t="s">
        <v>46</v>
      </c>
      <c r="AQ44" s="20">
        <v>202512</v>
      </c>
      <c r="AR44" s="21" t="s">
        <v>153</v>
      </c>
      <c r="AS44" s="14" t="s">
        <v>314</v>
      </c>
      <c r="AT44" s="12" t="s">
        <v>44</v>
      </c>
      <c r="AU44" s="19" t="s">
        <v>199</v>
      </c>
      <c r="AV44" s="12" t="s">
        <v>301</v>
      </c>
      <c r="AW44"/>
    </row>
    <row r="45" spans="1:49" x14ac:dyDescent="0.3">
      <c r="A45" s="5" t="s">
        <v>30</v>
      </c>
      <c r="B45" s="5" t="s">
        <v>54</v>
      </c>
      <c r="C45" s="5" t="s">
        <v>425</v>
      </c>
      <c r="D45" s="5" t="s">
        <v>32</v>
      </c>
      <c r="E45" s="6" t="s">
        <v>33</v>
      </c>
      <c r="F45" s="7">
        <v>67</v>
      </c>
      <c r="G45" s="5" t="s">
        <v>426</v>
      </c>
      <c r="H45" s="5" t="s">
        <v>664</v>
      </c>
      <c r="I45" s="5" t="s">
        <v>665</v>
      </c>
      <c r="J45" s="5" t="s">
        <v>34</v>
      </c>
      <c r="K45" s="5" t="s">
        <v>42</v>
      </c>
      <c r="L45" s="5" t="s">
        <v>127</v>
      </c>
      <c r="M45" s="5" t="s">
        <v>43</v>
      </c>
      <c r="N45" s="5" t="s">
        <v>56</v>
      </c>
      <c r="O45" s="6" t="s">
        <v>666</v>
      </c>
      <c r="P45" s="5" t="s">
        <v>47</v>
      </c>
      <c r="Q45" s="5" t="s">
        <v>64</v>
      </c>
      <c r="R45" s="5" t="s">
        <v>145</v>
      </c>
      <c r="S45" s="5" t="s">
        <v>382</v>
      </c>
      <c r="T45" s="5" t="s">
        <v>667</v>
      </c>
      <c r="U45" s="5" t="s">
        <v>668</v>
      </c>
      <c r="V45" s="8">
        <v>16</v>
      </c>
      <c r="W45" s="9">
        <v>27787</v>
      </c>
      <c r="X45" s="5" t="s">
        <v>35</v>
      </c>
      <c r="Y45" s="10">
        <v>100</v>
      </c>
      <c r="Z45" s="10">
        <v>18.18</v>
      </c>
      <c r="AA45" s="10">
        <v>18.18</v>
      </c>
      <c r="AB45" s="10">
        <v>169185</v>
      </c>
      <c r="AC45" s="10">
        <v>4330</v>
      </c>
      <c r="AD45" s="10">
        <v>0</v>
      </c>
      <c r="AE45" s="11">
        <v>173515</v>
      </c>
      <c r="AF45" s="12" t="s">
        <v>44</v>
      </c>
      <c r="AG45" s="14" t="s">
        <v>181</v>
      </c>
      <c r="AH45" s="14" t="s">
        <v>65</v>
      </c>
      <c r="AI45" s="14" t="s">
        <v>36</v>
      </c>
      <c r="AJ45" s="14">
        <v>30000</v>
      </c>
      <c r="AK45" s="14">
        <v>30000</v>
      </c>
      <c r="AL45" s="13">
        <v>18</v>
      </c>
      <c r="AM45" s="13">
        <v>18</v>
      </c>
      <c r="AN45" s="14" t="s">
        <v>174</v>
      </c>
      <c r="AO45" s="14" t="s">
        <v>175</v>
      </c>
      <c r="AP45" s="14" t="s">
        <v>46</v>
      </c>
      <c r="AQ45" s="20">
        <v>202512</v>
      </c>
      <c r="AR45" s="21" t="s">
        <v>153</v>
      </c>
      <c r="AS45" s="14" t="s">
        <v>314</v>
      </c>
      <c r="AT45" s="12" t="s">
        <v>44</v>
      </c>
      <c r="AU45" s="19" t="s">
        <v>199</v>
      </c>
      <c r="AV45" s="12" t="s">
        <v>301</v>
      </c>
      <c r="AW45"/>
    </row>
    <row r="46" spans="1:49" x14ac:dyDescent="0.3">
      <c r="A46" s="5" t="s">
        <v>30</v>
      </c>
      <c r="B46" s="5" t="s">
        <v>54</v>
      </c>
      <c r="C46" s="5" t="s">
        <v>425</v>
      </c>
      <c r="D46" s="5" t="s">
        <v>32</v>
      </c>
      <c r="E46" s="6" t="s">
        <v>33</v>
      </c>
      <c r="F46" s="7">
        <v>68</v>
      </c>
      <c r="G46" s="5" t="s">
        <v>426</v>
      </c>
      <c r="H46" s="5" t="s">
        <v>669</v>
      </c>
      <c r="I46" s="5" t="s">
        <v>670</v>
      </c>
      <c r="J46" s="5" t="s">
        <v>34</v>
      </c>
      <c r="K46" s="5" t="s">
        <v>42</v>
      </c>
      <c r="L46" s="5" t="s">
        <v>127</v>
      </c>
      <c r="M46" s="5" t="s">
        <v>43</v>
      </c>
      <c r="N46" s="5" t="s">
        <v>56</v>
      </c>
      <c r="O46" s="6" t="s">
        <v>671</v>
      </c>
      <c r="P46" s="5" t="s">
        <v>47</v>
      </c>
      <c r="Q46" s="5" t="s">
        <v>64</v>
      </c>
      <c r="R46" s="5" t="s">
        <v>284</v>
      </c>
      <c r="S46" s="5" t="s">
        <v>672</v>
      </c>
      <c r="T46" s="5" t="s">
        <v>374</v>
      </c>
      <c r="U46" s="5" t="s">
        <v>383</v>
      </c>
      <c r="V46" s="8">
        <v>15</v>
      </c>
      <c r="W46" s="9">
        <v>97804</v>
      </c>
      <c r="X46" s="5" t="s">
        <v>35</v>
      </c>
      <c r="Y46" s="10">
        <v>100</v>
      </c>
      <c r="Z46" s="10">
        <v>18.18</v>
      </c>
      <c r="AA46" s="10">
        <v>18.18</v>
      </c>
      <c r="AB46" s="10">
        <v>169185</v>
      </c>
      <c r="AC46" s="10">
        <v>4330</v>
      </c>
      <c r="AD46" s="10">
        <v>0</v>
      </c>
      <c r="AE46" s="11">
        <v>173515</v>
      </c>
      <c r="AF46" s="12" t="s">
        <v>44</v>
      </c>
      <c r="AG46" s="14" t="s">
        <v>342</v>
      </c>
      <c r="AH46" s="14" t="s">
        <v>65</v>
      </c>
      <c r="AI46" s="14" t="s">
        <v>123</v>
      </c>
      <c r="AJ46" s="14">
        <v>100000</v>
      </c>
      <c r="AK46" s="14">
        <v>100000</v>
      </c>
      <c r="AL46" s="13">
        <v>18</v>
      </c>
      <c r="AM46" s="13">
        <v>18</v>
      </c>
      <c r="AN46" s="14" t="s">
        <v>174</v>
      </c>
      <c r="AO46" s="14" t="s">
        <v>175</v>
      </c>
      <c r="AP46" s="14" t="s">
        <v>46</v>
      </c>
      <c r="AQ46" s="20">
        <v>202512</v>
      </c>
      <c r="AR46" s="21" t="s">
        <v>153</v>
      </c>
      <c r="AS46" s="14" t="s">
        <v>314</v>
      </c>
      <c r="AT46" s="12" t="s">
        <v>44</v>
      </c>
      <c r="AU46" s="19" t="s">
        <v>199</v>
      </c>
      <c r="AV46" s="12" t="s">
        <v>301</v>
      </c>
      <c r="AW46"/>
    </row>
    <row r="47" spans="1:49" x14ac:dyDescent="0.3">
      <c r="A47" s="5" t="s">
        <v>30</v>
      </c>
      <c r="B47" s="5" t="s">
        <v>54</v>
      </c>
      <c r="C47" s="5" t="s">
        <v>425</v>
      </c>
      <c r="D47" s="5" t="s">
        <v>32</v>
      </c>
      <c r="E47" s="6" t="s">
        <v>33</v>
      </c>
      <c r="F47" s="7">
        <v>69</v>
      </c>
      <c r="G47" s="5" t="s">
        <v>426</v>
      </c>
      <c r="H47" s="5" t="s">
        <v>673</v>
      </c>
      <c r="I47" s="5" t="s">
        <v>674</v>
      </c>
      <c r="J47" s="5" t="s">
        <v>34</v>
      </c>
      <c r="K47" s="5" t="s">
        <v>675</v>
      </c>
      <c r="L47" s="5" t="s">
        <v>676</v>
      </c>
      <c r="M47" s="5" t="s">
        <v>43</v>
      </c>
      <c r="N47" s="5" t="s">
        <v>56</v>
      </c>
      <c r="O47" s="6" t="s">
        <v>677</v>
      </c>
      <c r="P47" s="5" t="s">
        <v>51</v>
      </c>
      <c r="Q47" s="5" t="s">
        <v>64</v>
      </c>
      <c r="R47" s="5" t="s">
        <v>678</v>
      </c>
      <c r="S47" s="5" t="s">
        <v>679</v>
      </c>
      <c r="T47" s="5" t="s">
        <v>359</v>
      </c>
      <c r="U47" s="5" t="s">
        <v>680</v>
      </c>
      <c r="V47" s="8">
        <v>87</v>
      </c>
      <c r="W47" s="9">
        <v>31085</v>
      </c>
      <c r="X47" s="5" t="s">
        <v>35</v>
      </c>
      <c r="Y47" s="10">
        <v>100</v>
      </c>
      <c r="Z47" s="10">
        <v>18.18</v>
      </c>
      <c r="AA47" s="10">
        <v>18.18</v>
      </c>
      <c r="AB47" s="10">
        <v>85043</v>
      </c>
      <c r="AC47" s="10">
        <v>28173</v>
      </c>
      <c r="AD47" s="10">
        <v>0</v>
      </c>
      <c r="AE47" s="11">
        <v>113216</v>
      </c>
      <c r="AF47" s="12" t="s">
        <v>681</v>
      </c>
      <c r="AG47" s="14" t="s">
        <v>253</v>
      </c>
      <c r="AH47" s="14" t="s">
        <v>65</v>
      </c>
      <c r="AI47" s="14" t="s">
        <v>254</v>
      </c>
      <c r="AJ47" s="14">
        <v>40000</v>
      </c>
      <c r="AK47" s="14">
        <v>35000</v>
      </c>
      <c r="AL47" s="13" t="s">
        <v>124</v>
      </c>
      <c r="AM47" s="13" t="s">
        <v>124</v>
      </c>
      <c r="AN47" s="14" t="s">
        <v>58</v>
      </c>
      <c r="AO47" s="14" t="s">
        <v>59</v>
      </c>
      <c r="AP47" s="14" t="s">
        <v>46</v>
      </c>
      <c r="AQ47" s="20">
        <v>202512</v>
      </c>
      <c r="AR47" s="14" t="s">
        <v>166</v>
      </c>
      <c r="AS47"/>
      <c r="AT47" s="12" t="s">
        <v>681</v>
      </c>
      <c r="AU47" s="19" t="s">
        <v>199</v>
      </c>
      <c r="AV47" s="12" t="s">
        <v>301</v>
      </c>
      <c r="AW47"/>
    </row>
    <row r="48" spans="1:49" x14ac:dyDescent="0.3">
      <c r="A48" s="5" t="s">
        <v>30</v>
      </c>
      <c r="B48" s="5" t="s">
        <v>54</v>
      </c>
      <c r="C48" s="5" t="s">
        <v>425</v>
      </c>
      <c r="D48" s="5" t="s">
        <v>32</v>
      </c>
      <c r="E48" s="6" t="s">
        <v>33</v>
      </c>
      <c r="F48" s="7">
        <v>74</v>
      </c>
      <c r="G48" s="5" t="s">
        <v>426</v>
      </c>
      <c r="H48" s="5" t="s">
        <v>682</v>
      </c>
      <c r="I48" s="5" t="s">
        <v>683</v>
      </c>
      <c r="J48" s="5" t="s">
        <v>34</v>
      </c>
      <c r="K48" s="5" t="s">
        <v>50</v>
      </c>
      <c r="L48" s="5" t="s">
        <v>285</v>
      </c>
      <c r="M48" s="5" t="s">
        <v>43</v>
      </c>
      <c r="N48" s="5" t="s">
        <v>56</v>
      </c>
      <c r="O48" s="6" t="s">
        <v>684</v>
      </c>
      <c r="P48" s="5" t="s">
        <v>685</v>
      </c>
      <c r="Q48" s="5" t="s">
        <v>64</v>
      </c>
      <c r="R48" s="5" t="s">
        <v>686</v>
      </c>
      <c r="S48" s="5" t="s">
        <v>687</v>
      </c>
      <c r="T48" s="5" t="s">
        <v>355</v>
      </c>
      <c r="U48" s="5" t="s">
        <v>688</v>
      </c>
      <c r="V48" s="8">
        <v>53</v>
      </c>
      <c r="W48" s="9">
        <v>86734</v>
      </c>
      <c r="X48" s="5" t="s">
        <v>35</v>
      </c>
      <c r="Y48" s="10">
        <v>100</v>
      </c>
      <c r="Z48" s="10">
        <v>18.18</v>
      </c>
      <c r="AA48" s="10">
        <v>18.18</v>
      </c>
      <c r="AB48" s="10">
        <v>104054</v>
      </c>
      <c r="AC48" s="10">
        <v>19265</v>
      </c>
      <c r="AD48" s="10">
        <v>0</v>
      </c>
      <c r="AE48" s="11">
        <v>123319</v>
      </c>
      <c r="AF48" s="12" t="s">
        <v>52</v>
      </c>
      <c r="AG48" s="14" t="s">
        <v>211</v>
      </c>
      <c r="AH48" s="14" t="s">
        <v>65</v>
      </c>
      <c r="AI48" s="14" t="s">
        <v>123</v>
      </c>
      <c r="AJ48" s="14">
        <v>90000</v>
      </c>
      <c r="AK48" s="14">
        <v>90000</v>
      </c>
      <c r="AL48" s="13">
        <v>54</v>
      </c>
      <c r="AM48" s="13">
        <v>54</v>
      </c>
      <c r="AN48" s="14" t="s">
        <v>58</v>
      </c>
      <c r="AO48" s="14" t="s">
        <v>59</v>
      </c>
      <c r="AP48" s="14" t="s">
        <v>46</v>
      </c>
      <c r="AQ48" s="20">
        <v>202512</v>
      </c>
      <c r="AR48" s="14" t="s">
        <v>166</v>
      </c>
      <c r="AS48"/>
      <c r="AT48" s="12" t="s">
        <v>52</v>
      </c>
      <c r="AU48" s="19" t="s">
        <v>199</v>
      </c>
      <c r="AV48" s="12" t="s">
        <v>301</v>
      </c>
      <c r="AW48"/>
    </row>
    <row r="49" spans="1:49" x14ac:dyDescent="0.3">
      <c r="A49" s="5" t="s">
        <v>30</v>
      </c>
      <c r="B49" s="5" t="s">
        <v>54</v>
      </c>
      <c r="C49" s="5" t="s">
        <v>425</v>
      </c>
      <c r="D49" s="5" t="s">
        <v>32</v>
      </c>
      <c r="E49" s="6" t="s">
        <v>33</v>
      </c>
      <c r="F49" s="7">
        <v>76</v>
      </c>
      <c r="G49" s="5" t="s">
        <v>426</v>
      </c>
      <c r="H49" s="5" t="s">
        <v>689</v>
      </c>
      <c r="I49" s="5" t="s">
        <v>690</v>
      </c>
      <c r="J49" s="5" t="s">
        <v>34</v>
      </c>
      <c r="K49" s="5" t="s">
        <v>135</v>
      </c>
      <c r="L49" s="5" t="s">
        <v>158</v>
      </c>
      <c r="M49" s="5" t="s">
        <v>155</v>
      </c>
      <c r="N49" s="5" t="s">
        <v>56</v>
      </c>
      <c r="O49" s="6" t="s">
        <v>691</v>
      </c>
      <c r="P49" s="5" t="s">
        <v>385</v>
      </c>
      <c r="Q49" s="5" t="s">
        <v>64</v>
      </c>
      <c r="R49" s="5" t="s">
        <v>325</v>
      </c>
      <c r="S49" s="5" t="s">
        <v>324</v>
      </c>
      <c r="T49" s="5" t="s">
        <v>277</v>
      </c>
      <c r="U49" s="5" t="s">
        <v>692</v>
      </c>
      <c r="V49" s="8">
        <v>25</v>
      </c>
      <c r="W49" s="9">
        <v>28488</v>
      </c>
      <c r="X49" s="5" t="s">
        <v>35</v>
      </c>
      <c r="Y49" s="10">
        <v>100</v>
      </c>
      <c r="Z49" s="10">
        <v>18.18</v>
      </c>
      <c r="AA49" s="10">
        <v>18.18</v>
      </c>
      <c r="AB49" s="10">
        <v>62114</v>
      </c>
      <c r="AC49" s="10">
        <v>71670</v>
      </c>
      <c r="AD49" s="10">
        <v>0</v>
      </c>
      <c r="AE49" s="11">
        <v>133784</v>
      </c>
      <c r="AF49" s="12" t="s">
        <v>136</v>
      </c>
      <c r="AG49" s="14" t="s">
        <v>297</v>
      </c>
      <c r="AH49" s="14" t="s">
        <v>65</v>
      </c>
      <c r="AI49" s="14" t="s">
        <v>326</v>
      </c>
      <c r="AJ49" s="14">
        <v>30000</v>
      </c>
      <c r="AK49" s="14">
        <v>30000</v>
      </c>
      <c r="AL49" s="13">
        <v>30</v>
      </c>
      <c r="AM49" s="13">
        <v>27</v>
      </c>
      <c r="AN49" s="14" t="s">
        <v>58</v>
      </c>
      <c r="AO49" s="14" t="s">
        <v>59</v>
      </c>
      <c r="AP49" s="14" t="s">
        <v>167</v>
      </c>
      <c r="AQ49" s="20">
        <v>202512</v>
      </c>
      <c r="AR49" s="14" t="s">
        <v>166</v>
      </c>
      <c r="AS49"/>
      <c r="AT49" s="12" t="s">
        <v>136</v>
      </c>
      <c r="AU49" s="19" t="s">
        <v>199</v>
      </c>
      <c r="AV49" s="12" t="s">
        <v>301</v>
      </c>
      <c r="AW49"/>
    </row>
    <row r="50" spans="1:49" x14ac:dyDescent="0.3">
      <c r="A50" s="5" t="s">
        <v>30</v>
      </c>
      <c r="B50" s="5" t="s">
        <v>54</v>
      </c>
      <c r="C50" s="5" t="s">
        <v>425</v>
      </c>
      <c r="D50" s="5" t="s">
        <v>32</v>
      </c>
      <c r="E50" s="6" t="s">
        <v>33</v>
      </c>
      <c r="F50" s="7">
        <v>77</v>
      </c>
      <c r="G50" s="5" t="s">
        <v>426</v>
      </c>
      <c r="H50" s="5" t="s">
        <v>693</v>
      </c>
      <c r="I50" s="5" t="s">
        <v>694</v>
      </c>
      <c r="J50" s="5" t="s">
        <v>34</v>
      </c>
      <c r="K50" s="5" t="s">
        <v>60</v>
      </c>
      <c r="L50" s="5" t="s">
        <v>695</v>
      </c>
      <c r="M50" s="5" t="s">
        <v>48</v>
      </c>
      <c r="N50" s="5" t="s">
        <v>56</v>
      </c>
      <c r="O50" s="6" t="s">
        <v>696</v>
      </c>
      <c r="P50" s="5" t="s">
        <v>697</v>
      </c>
      <c r="Q50" s="5" t="s">
        <v>71</v>
      </c>
      <c r="R50" s="5" t="s">
        <v>698</v>
      </c>
      <c r="S50" s="5" t="s">
        <v>699</v>
      </c>
      <c r="T50" s="5" t="s">
        <v>700</v>
      </c>
      <c r="U50" s="5" t="s">
        <v>701</v>
      </c>
      <c r="V50" s="8">
        <v>9</v>
      </c>
      <c r="W50" s="9">
        <v>3495</v>
      </c>
      <c r="X50" s="5" t="s">
        <v>35</v>
      </c>
      <c r="Y50" s="10">
        <v>100</v>
      </c>
      <c r="Z50" s="10">
        <v>18.18</v>
      </c>
      <c r="AA50" s="10">
        <v>18.18</v>
      </c>
      <c r="AB50" s="10">
        <v>0</v>
      </c>
      <c r="AC50" s="10">
        <v>0</v>
      </c>
      <c r="AD50" s="10">
        <v>62868</v>
      </c>
      <c r="AE50" s="11">
        <v>62868</v>
      </c>
      <c r="AF50" s="12" t="s">
        <v>62</v>
      </c>
      <c r="AG50" s="14" t="s">
        <v>234</v>
      </c>
      <c r="AH50" s="14" t="s">
        <v>72</v>
      </c>
      <c r="AI50" s="14" t="s">
        <v>86</v>
      </c>
      <c r="AJ50" s="14">
        <v>10000</v>
      </c>
      <c r="AK50" s="14">
        <v>5000</v>
      </c>
      <c r="AL50" s="13">
        <v>12</v>
      </c>
      <c r="AM50" s="13">
        <v>12</v>
      </c>
      <c r="AN50" s="14" t="s">
        <v>333</v>
      </c>
      <c r="AO50" s="14" t="s">
        <v>334</v>
      </c>
      <c r="AP50" s="14" t="s">
        <v>48</v>
      </c>
      <c r="AQ50" s="20">
        <v>202512</v>
      </c>
      <c r="AR50" s="14" t="s">
        <v>166</v>
      </c>
      <c r="AS50"/>
      <c r="AT50" s="12" t="s">
        <v>62</v>
      </c>
      <c r="AU50" s="19" t="s">
        <v>199</v>
      </c>
      <c r="AV50" s="12" t="s">
        <v>301</v>
      </c>
      <c r="AW50"/>
    </row>
    <row r="51" spans="1:49" x14ac:dyDescent="0.3">
      <c r="A51" s="5" t="s">
        <v>30</v>
      </c>
      <c r="B51" s="5" t="s">
        <v>54</v>
      </c>
      <c r="C51" s="5" t="s">
        <v>425</v>
      </c>
      <c r="D51" s="5" t="s">
        <v>32</v>
      </c>
      <c r="E51" s="6" t="s">
        <v>33</v>
      </c>
      <c r="F51" s="7">
        <v>81</v>
      </c>
      <c r="G51" s="5" t="s">
        <v>426</v>
      </c>
      <c r="H51" s="5" t="s">
        <v>702</v>
      </c>
      <c r="I51" s="5" t="s">
        <v>703</v>
      </c>
      <c r="J51" s="5" t="s">
        <v>34</v>
      </c>
      <c r="K51" s="5" t="s">
        <v>704</v>
      </c>
      <c r="L51" s="5" t="s">
        <v>705</v>
      </c>
      <c r="M51" s="5" t="s">
        <v>48</v>
      </c>
      <c r="N51" s="5" t="s">
        <v>56</v>
      </c>
      <c r="O51" s="6" t="s">
        <v>706</v>
      </c>
      <c r="P51" s="5" t="s">
        <v>51</v>
      </c>
      <c r="Q51" s="5" t="s">
        <v>71</v>
      </c>
      <c r="R51" s="5" t="s">
        <v>389</v>
      </c>
      <c r="S51" s="5" t="s">
        <v>377</v>
      </c>
      <c r="T51" s="5" t="s">
        <v>464</v>
      </c>
      <c r="U51" s="5" t="s">
        <v>486</v>
      </c>
      <c r="V51" s="8">
        <v>7</v>
      </c>
      <c r="W51" s="9">
        <v>6754</v>
      </c>
      <c r="X51" s="5" t="s">
        <v>35</v>
      </c>
      <c r="Y51" s="10">
        <v>100</v>
      </c>
      <c r="Z51" s="10">
        <v>18.18</v>
      </c>
      <c r="AA51" s="10">
        <v>18.18</v>
      </c>
      <c r="AB51" s="10">
        <v>98127</v>
      </c>
      <c r="AC51" s="10">
        <v>9253</v>
      </c>
      <c r="AD51" s="10">
        <v>0</v>
      </c>
      <c r="AE51" s="11">
        <v>107380</v>
      </c>
      <c r="AF51" s="12" t="s">
        <v>707</v>
      </c>
      <c r="AG51" s="14" t="s">
        <v>235</v>
      </c>
      <c r="AH51" s="14" t="s">
        <v>72</v>
      </c>
      <c r="AI51" s="14" t="s">
        <v>391</v>
      </c>
      <c r="AJ51" s="14">
        <v>10000</v>
      </c>
      <c r="AK51" s="14">
        <v>10000</v>
      </c>
      <c r="AL51" s="13">
        <v>12</v>
      </c>
      <c r="AM51" s="13">
        <v>9</v>
      </c>
      <c r="AN51" s="14" t="s">
        <v>77</v>
      </c>
      <c r="AO51" s="14" t="s">
        <v>78</v>
      </c>
      <c r="AP51" s="14" t="s">
        <v>48</v>
      </c>
      <c r="AQ51" s="20">
        <v>202512</v>
      </c>
      <c r="AR51" s="14" t="s">
        <v>166</v>
      </c>
      <c r="AS51"/>
      <c r="AT51" s="12" t="s">
        <v>707</v>
      </c>
      <c r="AU51" s="19" t="s">
        <v>199</v>
      </c>
      <c r="AV51" s="12" t="s">
        <v>301</v>
      </c>
      <c r="AW51"/>
    </row>
    <row r="52" spans="1:49" x14ac:dyDescent="0.3">
      <c r="A52" s="5" t="s">
        <v>30</v>
      </c>
      <c r="B52" s="5" t="s">
        <v>54</v>
      </c>
      <c r="C52" s="5" t="s">
        <v>425</v>
      </c>
      <c r="D52" s="5" t="s">
        <v>32</v>
      </c>
      <c r="E52" s="6" t="s">
        <v>33</v>
      </c>
      <c r="F52" s="7">
        <v>90</v>
      </c>
      <c r="G52" s="5" t="s">
        <v>426</v>
      </c>
      <c r="H52" s="5" t="s">
        <v>708</v>
      </c>
      <c r="I52" s="5" t="s">
        <v>709</v>
      </c>
      <c r="J52" s="5" t="s">
        <v>34</v>
      </c>
      <c r="K52" s="5" t="s">
        <v>204</v>
      </c>
      <c r="L52" s="5" t="s">
        <v>710</v>
      </c>
      <c r="M52" s="5" t="s">
        <v>46</v>
      </c>
      <c r="N52" s="5" t="s">
        <v>56</v>
      </c>
      <c r="O52" s="6" t="e">
        <v>#N/A</v>
      </c>
      <c r="P52" s="5" t="s">
        <v>711</v>
      </c>
      <c r="Q52" s="5" t="s">
        <v>61</v>
      </c>
      <c r="R52" s="5" t="s">
        <v>149</v>
      </c>
      <c r="S52" s="5" t="s">
        <v>712</v>
      </c>
      <c r="T52" s="5" t="s">
        <v>302</v>
      </c>
      <c r="U52" s="5" t="s">
        <v>713</v>
      </c>
      <c r="V52" s="8">
        <v>32</v>
      </c>
      <c r="W52" s="9">
        <v>28823</v>
      </c>
      <c r="X52" s="5" t="s">
        <v>35</v>
      </c>
      <c r="Y52" s="10">
        <v>100</v>
      </c>
      <c r="Z52" s="10">
        <v>18.18</v>
      </c>
      <c r="AA52" s="10">
        <v>18.18</v>
      </c>
      <c r="AB52" s="10">
        <v>52223</v>
      </c>
      <c r="AC52" s="10">
        <v>18868</v>
      </c>
      <c r="AD52" s="10">
        <v>0</v>
      </c>
      <c r="AE52" s="11">
        <v>71091</v>
      </c>
      <c r="AF52" s="12" t="s">
        <v>205</v>
      </c>
      <c r="AG52" s="14" t="s">
        <v>141</v>
      </c>
      <c r="AH52" s="14" t="s">
        <v>63</v>
      </c>
      <c r="AI52" s="14" t="s">
        <v>144</v>
      </c>
      <c r="AJ52" s="14">
        <v>30000</v>
      </c>
      <c r="AK52" s="14">
        <v>30000</v>
      </c>
      <c r="AL52" s="13">
        <v>36</v>
      </c>
      <c r="AM52" s="13">
        <v>33</v>
      </c>
      <c r="AN52" s="14" t="s">
        <v>237</v>
      </c>
      <c r="AO52" s="14" t="s">
        <v>238</v>
      </c>
      <c r="AP52" s="14" t="s">
        <v>46</v>
      </c>
      <c r="AQ52" s="20">
        <v>202512</v>
      </c>
      <c r="AR52" s="14" t="s">
        <v>166</v>
      </c>
      <c r="AS52"/>
      <c r="AT52" s="12" t="s">
        <v>205</v>
      </c>
      <c r="AU52" s="19" t="s">
        <v>199</v>
      </c>
      <c r="AV52" s="12" t="s">
        <v>301</v>
      </c>
      <c r="AW52"/>
    </row>
    <row r="53" spans="1:49" x14ac:dyDescent="0.3">
      <c r="A53" s="5" t="s">
        <v>30</v>
      </c>
      <c r="B53" s="5" t="s">
        <v>54</v>
      </c>
      <c r="C53" s="5" t="s">
        <v>425</v>
      </c>
      <c r="D53" s="5" t="s">
        <v>32</v>
      </c>
      <c r="E53" s="6" t="s">
        <v>33</v>
      </c>
      <c r="F53" s="7">
        <v>91</v>
      </c>
      <c r="G53" s="5" t="s">
        <v>426</v>
      </c>
      <c r="H53" s="5" t="s">
        <v>714</v>
      </c>
      <c r="I53" s="5" t="s">
        <v>715</v>
      </c>
      <c r="J53" s="5" t="s">
        <v>34</v>
      </c>
      <c r="K53" s="5" t="s">
        <v>42</v>
      </c>
      <c r="L53" s="5" t="s">
        <v>257</v>
      </c>
      <c r="M53" s="5" t="s">
        <v>213</v>
      </c>
      <c r="N53" s="5" t="s">
        <v>56</v>
      </c>
      <c r="O53" s="6" t="s">
        <v>716</v>
      </c>
      <c r="P53" s="5" t="s">
        <v>250</v>
      </c>
      <c r="Q53" s="5" t="s">
        <v>71</v>
      </c>
      <c r="R53" s="5" t="s">
        <v>284</v>
      </c>
      <c r="S53" s="5" t="s">
        <v>717</v>
      </c>
      <c r="T53" s="5" t="s">
        <v>315</v>
      </c>
      <c r="U53" s="5" t="s">
        <v>718</v>
      </c>
      <c r="V53" s="8">
        <v>3</v>
      </c>
      <c r="W53" s="9">
        <v>15677</v>
      </c>
      <c r="X53" s="5" t="s">
        <v>35</v>
      </c>
      <c r="Y53" s="10">
        <v>100</v>
      </c>
      <c r="Z53" s="10">
        <v>18.18</v>
      </c>
      <c r="AA53" s="10">
        <v>18.18</v>
      </c>
      <c r="AB53" s="10">
        <v>31271</v>
      </c>
      <c r="AC53" s="10">
        <v>5262</v>
      </c>
      <c r="AD53" s="10">
        <v>0</v>
      </c>
      <c r="AE53" s="11">
        <v>36533</v>
      </c>
      <c r="AF53" s="12" t="s">
        <v>44</v>
      </c>
      <c r="AG53" s="14" t="s">
        <v>198</v>
      </c>
      <c r="AH53" s="14" t="s">
        <v>72</v>
      </c>
      <c r="AI53" s="14" t="s">
        <v>123</v>
      </c>
      <c r="AJ53" s="14">
        <v>20000</v>
      </c>
      <c r="AK53" s="14">
        <v>20000</v>
      </c>
      <c r="AL53" s="13">
        <v>6</v>
      </c>
      <c r="AM53" s="13">
        <v>6</v>
      </c>
      <c r="AN53" s="14" t="s">
        <v>258</v>
      </c>
      <c r="AO53" s="14" t="s">
        <v>259</v>
      </c>
      <c r="AP53" s="14" t="s">
        <v>53</v>
      </c>
      <c r="AQ53" s="20">
        <v>202512</v>
      </c>
      <c r="AR53" s="14" t="s">
        <v>166</v>
      </c>
      <c r="AS53"/>
      <c r="AT53" s="12" t="s">
        <v>44</v>
      </c>
      <c r="AU53" s="19" t="s">
        <v>199</v>
      </c>
      <c r="AV53" s="12" t="s">
        <v>301</v>
      </c>
      <c r="AW53"/>
    </row>
    <row r="54" spans="1:49" x14ac:dyDescent="0.3">
      <c r="A54" s="5" t="s">
        <v>30</v>
      </c>
      <c r="B54" s="5" t="s">
        <v>54</v>
      </c>
      <c r="C54" s="5" t="s">
        <v>425</v>
      </c>
      <c r="D54" s="5" t="s">
        <v>32</v>
      </c>
      <c r="E54" s="6" t="s">
        <v>33</v>
      </c>
      <c r="F54" s="7">
        <v>92</v>
      </c>
      <c r="G54" s="5" t="s">
        <v>426</v>
      </c>
      <c r="H54" s="5" t="s">
        <v>719</v>
      </c>
      <c r="I54" s="5" t="s">
        <v>720</v>
      </c>
      <c r="J54" s="5" t="s">
        <v>34</v>
      </c>
      <c r="K54" s="5" t="s">
        <v>42</v>
      </c>
      <c r="L54" s="5" t="s">
        <v>257</v>
      </c>
      <c r="M54" s="5" t="s">
        <v>213</v>
      </c>
      <c r="N54" s="5" t="s">
        <v>56</v>
      </c>
      <c r="O54" s="6" t="s">
        <v>721</v>
      </c>
      <c r="P54" s="5" t="s">
        <v>73</v>
      </c>
      <c r="Q54" s="5" t="s">
        <v>64</v>
      </c>
      <c r="R54" s="5" t="s">
        <v>309</v>
      </c>
      <c r="S54" s="5" t="s">
        <v>722</v>
      </c>
      <c r="T54" s="5" t="s">
        <v>364</v>
      </c>
      <c r="U54" s="5" t="s">
        <v>398</v>
      </c>
      <c r="V54" s="8">
        <v>4</v>
      </c>
      <c r="W54" s="9">
        <v>8882</v>
      </c>
      <c r="X54" s="5" t="s">
        <v>35</v>
      </c>
      <c r="Y54" s="10">
        <v>100</v>
      </c>
      <c r="Z54" s="10">
        <v>18.18</v>
      </c>
      <c r="AA54" s="10">
        <v>18.18</v>
      </c>
      <c r="AB54" s="10">
        <v>31750</v>
      </c>
      <c r="AC54" s="10">
        <v>4576</v>
      </c>
      <c r="AD54" s="10">
        <v>0</v>
      </c>
      <c r="AE54" s="11">
        <v>36326</v>
      </c>
      <c r="AF54" s="12" t="s">
        <v>44</v>
      </c>
      <c r="AG54" s="14" t="s">
        <v>198</v>
      </c>
      <c r="AH54" s="14" t="s">
        <v>65</v>
      </c>
      <c r="AI54" s="14" t="s">
        <v>49</v>
      </c>
      <c r="AJ54" s="14">
        <v>10000</v>
      </c>
      <c r="AK54" s="14">
        <v>10000</v>
      </c>
      <c r="AL54" s="13">
        <v>6</v>
      </c>
      <c r="AM54" s="13">
        <v>6</v>
      </c>
      <c r="AN54" s="14" t="s">
        <v>258</v>
      </c>
      <c r="AO54" s="14" t="s">
        <v>259</v>
      </c>
      <c r="AP54" s="14" t="s">
        <v>53</v>
      </c>
      <c r="AQ54" s="20">
        <v>202512</v>
      </c>
      <c r="AR54" s="14" t="s">
        <v>166</v>
      </c>
      <c r="AS54"/>
      <c r="AT54" s="12" t="s">
        <v>44</v>
      </c>
      <c r="AU54" s="19" t="s">
        <v>199</v>
      </c>
      <c r="AV54" s="12" t="s">
        <v>301</v>
      </c>
      <c r="AW54"/>
    </row>
    <row r="55" spans="1:49" x14ac:dyDescent="0.3">
      <c r="A55" s="5" t="s">
        <v>30</v>
      </c>
      <c r="B55" s="5" t="s">
        <v>54</v>
      </c>
      <c r="C55" s="5" t="s">
        <v>425</v>
      </c>
      <c r="D55" s="5" t="s">
        <v>32</v>
      </c>
      <c r="E55" s="6" t="s">
        <v>33</v>
      </c>
      <c r="F55" s="7">
        <v>93</v>
      </c>
      <c r="G55" s="5" t="s">
        <v>426</v>
      </c>
      <c r="H55" s="5" t="s">
        <v>723</v>
      </c>
      <c r="I55" s="5" t="s">
        <v>724</v>
      </c>
      <c r="J55" s="5" t="s">
        <v>34</v>
      </c>
      <c r="K55" s="5" t="s">
        <v>60</v>
      </c>
      <c r="L55" s="5" t="s">
        <v>725</v>
      </c>
      <c r="M55" s="5" t="s">
        <v>53</v>
      </c>
      <c r="N55" s="5" t="s">
        <v>56</v>
      </c>
      <c r="O55" s="6" t="s">
        <v>726</v>
      </c>
      <c r="P55" s="5" t="s">
        <v>73</v>
      </c>
      <c r="Q55" s="5" t="s">
        <v>64</v>
      </c>
      <c r="R55" s="5" t="s">
        <v>369</v>
      </c>
      <c r="S55" s="5" t="s">
        <v>727</v>
      </c>
      <c r="T55" s="5" t="s">
        <v>353</v>
      </c>
      <c r="U55" s="5" t="s">
        <v>728</v>
      </c>
      <c r="V55" s="8">
        <v>36</v>
      </c>
      <c r="W55" s="9">
        <v>9131</v>
      </c>
      <c r="X55" s="5" t="s">
        <v>35</v>
      </c>
      <c r="Y55" s="10">
        <v>100</v>
      </c>
      <c r="Z55" s="10">
        <v>18.18</v>
      </c>
      <c r="AA55" s="10">
        <v>18.18</v>
      </c>
      <c r="AB55" s="10">
        <v>12898</v>
      </c>
      <c r="AC55" s="10">
        <v>14546</v>
      </c>
      <c r="AD55" s="10">
        <v>0</v>
      </c>
      <c r="AE55" s="11">
        <v>27444</v>
      </c>
      <c r="AF55" s="12" t="s">
        <v>62</v>
      </c>
      <c r="AG55" s="14" t="s">
        <v>316</v>
      </c>
      <c r="AH55" s="14" t="s">
        <v>65</v>
      </c>
      <c r="AI55" s="14" t="s">
        <v>338</v>
      </c>
      <c r="AJ55" s="14">
        <v>10000</v>
      </c>
      <c r="AK55" s="14">
        <v>10000</v>
      </c>
      <c r="AL55" s="13">
        <v>42</v>
      </c>
      <c r="AM55" s="13">
        <v>39</v>
      </c>
      <c r="AN55" s="14" t="s">
        <v>66</v>
      </c>
      <c r="AO55" s="14" t="s">
        <v>67</v>
      </c>
      <c r="AP55" s="14" t="s">
        <v>53</v>
      </c>
      <c r="AQ55" s="20">
        <v>202512</v>
      </c>
      <c r="AR55" s="14" t="s">
        <v>166</v>
      </c>
      <c r="AS55"/>
      <c r="AT55" s="12" t="s">
        <v>62</v>
      </c>
      <c r="AU55" s="19" t="s">
        <v>199</v>
      </c>
      <c r="AV55" s="12" t="s">
        <v>301</v>
      </c>
      <c r="AW55"/>
    </row>
    <row r="56" spans="1:49" x14ac:dyDescent="0.3">
      <c r="A56" s="5" t="s">
        <v>30</v>
      </c>
      <c r="B56" s="5" t="s">
        <v>54</v>
      </c>
      <c r="C56" s="5" t="s">
        <v>425</v>
      </c>
      <c r="D56" s="5" t="s">
        <v>32</v>
      </c>
      <c r="E56" s="6" t="s">
        <v>33</v>
      </c>
      <c r="F56" s="7">
        <v>94</v>
      </c>
      <c r="G56" s="5" t="s">
        <v>426</v>
      </c>
      <c r="H56" s="5" t="s">
        <v>729</v>
      </c>
      <c r="I56" s="5" t="s">
        <v>730</v>
      </c>
      <c r="J56" s="5" t="s">
        <v>34</v>
      </c>
      <c r="K56" s="5" t="s">
        <v>60</v>
      </c>
      <c r="L56" s="5" t="s">
        <v>731</v>
      </c>
      <c r="M56" s="5" t="s">
        <v>53</v>
      </c>
      <c r="N56" s="5" t="s">
        <v>56</v>
      </c>
      <c r="O56" s="6" t="s">
        <v>732</v>
      </c>
      <c r="P56" s="5" t="s">
        <v>73</v>
      </c>
      <c r="Q56" s="5" t="s">
        <v>64</v>
      </c>
      <c r="R56" s="5" t="s">
        <v>602</v>
      </c>
      <c r="S56" s="5" t="s">
        <v>733</v>
      </c>
      <c r="T56" s="5" t="s">
        <v>734</v>
      </c>
      <c r="U56" s="5" t="s">
        <v>735</v>
      </c>
      <c r="V56" s="8">
        <v>15</v>
      </c>
      <c r="W56" s="9">
        <v>12320</v>
      </c>
      <c r="X56" s="5" t="s">
        <v>35</v>
      </c>
      <c r="Y56" s="10">
        <v>100</v>
      </c>
      <c r="Z56" s="10">
        <v>18.18</v>
      </c>
      <c r="AA56" s="10">
        <v>18.18</v>
      </c>
      <c r="AB56" s="10">
        <v>12725</v>
      </c>
      <c r="AC56" s="10">
        <v>4576</v>
      </c>
      <c r="AD56" s="10">
        <v>0</v>
      </c>
      <c r="AE56" s="11">
        <v>17301</v>
      </c>
      <c r="AF56" s="12" t="s">
        <v>62</v>
      </c>
      <c r="AG56" s="14" t="s">
        <v>181</v>
      </c>
      <c r="AH56" s="14" t="s">
        <v>65</v>
      </c>
      <c r="AI56" s="14" t="s">
        <v>49</v>
      </c>
      <c r="AJ56" s="14">
        <v>20000</v>
      </c>
      <c r="AK56" s="14">
        <v>15000</v>
      </c>
      <c r="AL56" s="13">
        <v>18</v>
      </c>
      <c r="AM56" s="13">
        <v>18</v>
      </c>
      <c r="AN56" s="14" t="s">
        <v>258</v>
      </c>
      <c r="AO56" s="14" t="s">
        <v>259</v>
      </c>
      <c r="AP56" s="14" t="s">
        <v>53</v>
      </c>
      <c r="AQ56" s="20">
        <v>202512</v>
      </c>
      <c r="AR56" s="14" t="s">
        <v>166</v>
      </c>
      <c r="AS56"/>
      <c r="AT56" s="12" t="s">
        <v>62</v>
      </c>
      <c r="AU56" s="19" t="s">
        <v>199</v>
      </c>
      <c r="AV56" s="12" t="s">
        <v>301</v>
      </c>
      <c r="AW56"/>
    </row>
    <row r="57" spans="1:49" x14ac:dyDescent="0.3">
      <c r="A57" s="5" t="s">
        <v>30</v>
      </c>
      <c r="B57" s="5" t="s">
        <v>54</v>
      </c>
      <c r="C57" s="5" t="s">
        <v>425</v>
      </c>
      <c r="D57" s="5" t="s">
        <v>32</v>
      </c>
      <c r="E57" s="6" t="s">
        <v>33</v>
      </c>
      <c r="F57" s="7">
        <v>95</v>
      </c>
      <c r="G57" s="5" t="s">
        <v>426</v>
      </c>
      <c r="H57" s="5" t="s">
        <v>736</v>
      </c>
      <c r="I57" s="5" t="s">
        <v>737</v>
      </c>
      <c r="J57" s="5" t="s">
        <v>34</v>
      </c>
      <c r="K57" s="5" t="s">
        <v>42</v>
      </c>
      <c r="L57" s="5" t="s">
        <v>170</v>
      </c>
      <c r="M57" s="5" t="s">
        <v>171</v>
      </c>
      <c r="N57" s="5" t="s">
        <v>56</v>
      </c>
      <c r="O57" s="6" t="s">
        <v>738</v>
      </c>
      <c r="P57" s="5" t="s">
        <v>172</v>
      </c>
      <c r="Q57" s="5" t="s">
        <v>61</v>
      </c>
      <c r="R57" s="5" t="s">
        <v>214</v>
      </c>
      <c r="S57" s="5" t="s">
        <v>739</v>
      </c>
      <c r="T57" s="5" t="s">
        <v>525</v>
      </c>
      <c r="U57" s="5" t="s">
        <v>740</v>
      </c>
      <c r="V57" s="8">
        <v>31</v>
      </c>
      <c r="W57" s="9">
        <v>40360</v>
      </c>
      <c r="X57" s="5" t="s">
        <v>35</v>
      </c>
      <c r="Y57" s="10">
        <v>100</v>
      </c>
      <c r="Z57" s="10">
        <v>18.18</v>
      </c>
      <c r="AA57" s="10">
        <v>18.18</v>
      </c>
      <c r="AB57" s="10">
        <v>12961</v>
      </c>
      <c r="AC57" s="10">
        <v>2713</v>
      </c>
      <c r="AD57" s="10">
        <v>0</v>
      </c>
      <c r="AE57" s="11">
        <v>15674</v>
      </c>
      <c r="AF57" s="12" t="s">
        <v>44</v>
      </c>
      <c r="AG57" s="14" t="s">
        <v>183</v>
      </c>
      <c r="AH57" s="14" t="s">
        <v>63</v>
      </c>
      <c r="AI57" s="14" t="s">
        <v>254</v>
      </c>
      <c r="AJ57" s="14">
        <v>50000</v>
      </c>
      <c r="AK57" s="14">
        <v>45000</v>
      </c>
      <c r="AL57" s="13">
        <v>36</v>
      </c>
      <c r="AM57" s="13">
        <v>33</v>
      </c>
      <c r="AN57" s="14" t="s">
        <v>289</v>
      </c>
      <c r="AO57" s="14" t="s">
        <v>290</v>
      </c>
      <c r="AP57" s="14" t="s">
        <v>171</v>
      </c>
      <c r="AQ57" s="20">
        <v>202512</v>
      </c>
      <c r="AR57" s="14" t="s">
        <v>166</v>
      </c>
      <c r="AS57"/>
      <c r="AT57" s="12" t="s">
        <v>44</v>
      </c>
      <c r="AU57" s="19" t="s">
        <v>199</v>
      </c>
      <c r="AV57" s="12" t="s">
        <v>301</v>
      </c>
      <c r="AW57"/>
    </row>
    <row r="58" spans="1:49" x14ac:dyDescent="0.3">
      <c r="A58" s="5" t="s">
        <v>30</v>
      </c>
      <c r="B58" s="5" t="s">
        <v>54</v>
      </c>
      <c r="C58" s="5" t="s">
        <v>425</v>
      </c>
      <c r="D58" s="5" t="s">
        <v>32</v>
      </c>
      <c r="E58" s="6" t="s">
        <v>33</v>
      </c>
      <c r="F58" s="7">
        <v>96</v>
      </c>
      <c r="G58" s="5" t="s">
        <v>426</v>
      </c>
      <c r="H58" s="5" t="s">
        <v>741</v>
      </c>
      <c r="I58" s="5" t="s">
        <v>742</v>
      </c>
      <c r="J58" s="5" t="s">
        <v>34</v>
      </c>
      <c r="K58" s="5" t="s">
        <v>42</v>
      </c>
      <c r="L58" s="5" t="s">
        <v>170</v>
      </c>
      <c r="M58" s="5" t="s">
        <v>171</v>
      </c>
      <c r="N58" s="5" t="s">
        <v>56</v>
      </c>
      <c r="O58" s="6" t="s">
        <v>743</v>
      </c>
      <c r="P58" s="5" t="s">
        <v>172</v>
      </c>
      <c r="Q58" s="5" t="s">
        <v>64</v>
      </c>
      <c r="R58" s="5" t="s">
        <v>70</v>
      </c>
      <c r="S58" s="5" t="s">
        <v>744</v>
      </c>
      <c r="T58" s="5" t="s">
        <v>700</v>
      </c>
      <c r="U58" s="5" t="s">
        <v>393</v>
      </c>
      <c r="V58" s="8">
        <v>17</v>
      </c>
      <c r="W58" s="9">
        <v>27600</v>
      </c>
      <c r="X58" s="5" t="s">
        <v>35</v>
      </c>
      <c r="Y58" s="10">
        <v>100</v>
      </c>
      <c r="Z58" s="10">
        <v>18.18</v>
      </c>
      <c r="AA58" s="10">
        <v>18.18</v>
      </c>
      <c r="AB58" s="10">
        <v>0</v>
      </c>
      <c r="AC58" s="10">
        <v>2186</v>
      </c>
      <c r="AD58" s="10">
        <v>56271</v>
      </c>
      <c r="AE58" s="11">
        <v>58457</v>
      </c>
      <c r="AF58" s="12" t="s">
        <v>44</v>
      </c>
      <c r="AG58" s="14" t="s">
        <v>246</v>
      </c>
      <c r="AH58" s="14" t="s">
        <v>65</v>
      </c>
      <c r="AI58" s="14" t="s">
        <v>49</v>
      </c>
      <c r="AJ58" s="14">
        <v>30000</v>
      </c>
      <c r="AK58" s="14">
        <v>30000</v>
      </c>
      <c r="AL58" s="13">
        <v>18</v>
      </c>
      <c r="AM58" s="13">
        <v>18</v>
      </c>
      <c r="AN58" s="14" t="s">
        <v>255</v>
      </c>
      <c r="AO58" s="14" t="s">
        <v>256</v>
      </c>
      <c r="AP58" s="14" t="s">
        <v>171</v>
      </c>
      <c r="AQ58" s="20">
        <v>202512</v>
      </c>
      <c r="AR58" s="14" t="s">
        <v>166</v>
      </c>
      <c r="AS58"/>
      <c r="AT58" s="12" t="s">
        <v>44</v>
      </c>
      <c r="AU58" s="19" t="s">
        <v>199</v>
      </c>
      <c r="AV58" s="12" t="s">
        <v>301</v>
      </c>
      <c r="AW58"/>
    </row>
    <row r="59" spans="1:49" x14ac:dyDescent="0.3">
      <c r="A59" s="5" t="s">
        <v>30</v>
      </c>
      <c r="B59" s="5" t="s">
        <v>54</v>
      </c>
      <c r="C59" s="5" t="s">
        <v>612</v>
      </c>
      <c r="D59" s="5" t="s">
        <v>32</v>
      </c>
      <c r="E59" s="6" t="s">
        <v>33</v>
      </c>
      <c r="F59" s="7">
        <v>1</v>
      </c>
      <c r="G59" s="5" t="s">
        <v>352</v>
      </c>
      <c r="H59" s="5" t="s">
        <v>745</v>
      </c>
      <c r="I59" s="5" t="s">
        <v>746</v>
      </c>
      <c r="J59" s="5" t="s">
        <v>34</v>
      </c>
      <c r="K59" s="5" t="s">
        <v>704</v>
      </c>
      <c r="L59" s="5" t="s">
        <v>747</v>
      </c>
      <c r="M59" s="5" t="s">
        <v>53</v>
      </c>
      <c r="N59" s="5" t="s">
        <v>56</v>
      </c>
      <c r="O59" s="6" t="s">
        <v>748</v>
      </c>
      <c r="P59" s="5" t="s">
        <v>73</v>
      </c>
      <c r="Q59" s="5" t="s">
        <v>61</v>
      </c>
      <c r="R59" s="5" t="s">
        <v>70</v>
      </c>
      <c r="S59" s="5" t="s">
        <v>749</v>
      </c>
      <c r="T59" s="5" t="s">
        <v>750</v>
      </c>
      <c r="U59" s="5" t="s">
        <v>751</v>
      </c>
      <c r="V59" s="8">
        <v>9</v>
      </c>
      <c r="W59" s="9">
        <v>2820</v>
      </c>
      <c r="X59" s="5" t="s">
        <v>35</v>
      </c>
      <c r="Y59" s="10">
        <v>100</v>
      </c>
      <c r="Z59" s="10">
        <v>18.18</v>
      </c>
      <c r="AA59" s="10">
        <v>18.18</v>
      </c>
      <c r="AB59" s="10">
        <v>63994</v>
      </c>
      <c r="AC59" s="10">
        <v>7171</v>
      </c>
      <c r="AD59" s="10">
        <v>0</v>
      </c>
      <c r="AE59" s="11">
        <v>71165</v>
      </c>
      <c r="AF59" s="12" t="s">
        <v>707</v>
      </c>
      <c r="AG59" s="14" t="s">
        <v>207</v>
      </c>
      <c r="AH59" s="14" t="s">
        <v>63</v>
      </c>
      <c r="AI59" s="14" t="s">
        <v>49</v>
      </c>
      <c r="AJ59" s="14">
        <v>10000</v>
      </c>
      <c r="AK59" s="14">
        <v>5000</v>
      </c>
      <c r="AL59" s="13">
        <v>12</v>
      </c>
      <c r="AM59" s="13">
        <v>12</v>
      </c>
      <c r="AN59" s="14" t="s">
        <v>77</v>
      </c>
      <c r="AO59" s="14" t="s">
        <v>78</v>
      </c>
      <c r="AP59" s="14" t="s">
        <v>53</v>
      </c>
      <c r="AQ59" s="20">
        <v>202512</v>
      </c>
      <c r="AR59" s="14" t="s">
        <v>166</v>
      </c>
      <c r="AS59"/>
      <c r="AT59" s="12" t="s">
        <v>707</v>
      </c>
      <c r="AU59" s="19" t="s">
        <v>199</v>
      </c>
      <c r="AV59" s="12" t="s">
        <v>301</v>
      </c>
      <c r="AW59"/>
    </row>
    <row r="60" spans="1:49" x14ac:dyDescent="0.3">
      <c r="A60" s="5" t="s">
        <v>30</v>
      </c>
      <c r="B60" s="5" t="s">
        <v>54</v>
      </c>
      <c r="C60" s="5" t="s">
        <v>612</v>
      </c>
      <c r="D60" s="5" t="s">
        <v>32</v>
      </c>
      <c r="E60" s="6" t="s">
        <v>33</v>
      </c>
      <c r="F60" s="7">
        <v>2</v>
      </c>
      <c r="G60" s="5" t="s">
        <v>273</v>
      </c>
      <c r="H60" s="5" t="s">
        <v>752</v>
      </c>
      <c r="I60" s="5" t="s">
        <v>753</v>
      </c>
      <c r="J60" s="5" t="s">
        <v>34</v>
      </c>
      <c r="K60" s="5" t="s">
        <v>50</v>
      </c>
      <c r="L60" s="5" t="s">
        <v>754</v>
      </c>
      <c r="M60" s="5" t="s">
        <v>755</v>
      </c>
      <c r="N60" s="5" t="s">
        <v>56</v>
      </c>
      <c r="O60" s="6" t="e">
        <v>#N/A</v>
      </c>
      <c r="P60" s="5" t="s">
        <v>756</v>
      </c>
      <c r="Q60" s="5" t="s">
        <v>64</v>
      </c>
      <c r="R60" s="5" t="s">
        <v>686</v>
      </c>
      <c r="S60" s="5" t="s">
        <v>757</v>
      </c>
      <c r="T60" s="5" t="s">
        <v>758</v>
      </c>
      <c r="U60" s="5" t="s">
        <v>759</v>
      </c>
      <c r="V60" s="8">
        <v>17</v>
      </c>
      <c r="W60" s="9">
        <v>34483</v>
      </c>
      <c r="X60" s="5" t="s">
        <v>35</v>
      </c>
      <c r="Y60" s="10">
        <v>100</v>
      </c>
      <c r="Z60" s="10">
        <v>18.18</v>
      </c>
      <c r="AA60" s="10">
        <v>18.18</v>
      </c>
      <c r="AB60" s="10">
        <v>0</v>
      </c>
      <c r="AC60" s="10">
        <v>0</v>
      </c>
      <c r="AD60" s="10">
        <v>124834</v>
      </c>
      <c r="AE60" s="11">
        <v>124834</v>
      </c>
      <c r="AF60" s="12" t="s">
        <v>52</v>
      </c>
      <c r="AG60" s="14" t="s">
        <v>184</v>
      </c>
      <c r="AH60" s="14" t="s">
        <v>65</v>
      </c>
      <c r="AI60" s="14" t="s">
        <v>123</v>
      </c>
      <c r="AJ60" s="14">
        <v>40000</v>
      </c>
      <c r="AK60" s="14">
        <v>35000</v>
      </c>
      <c r="AL60" s="13">
        <v>18</v>
      </c>
      <c r="AM60" s="13">
        <v>18</v>
      </c>
      <c r="AN60" s="14" t="s">
        <v>58</v>
      </c>
      <c r="AO60" s="14" t="s">
        <v>59</v>
      </c>
      <c r="AP60" s="14" t="s">
        <v>755</v>
      </c>
      <c r="AQ60" s="20">
        <v>202512</v>
      </c>
      <c r="AR60" s="14" t="s">
        <v>166</v>
      </c>
      <c r="AS60"/>
      <c r="AT60" s="12" t="s">
        <v>52</v>
      </c>
      <c r="AU60" s="19" t="s">
        <v>199</v>
      </c>
      <c r="AV60" s="12" t="s">
        <v>301</v>
      </c>
      <c r="AW60"/>
    </row>
    <row r="61" spans="1:49" x14ac:dyDescent="0.3">
      <c r="A61" s="5" t="s">
        <v>30</v>
      </c>
      <c r="B61" s="5" t="s">
        <v>54</v>
      </c>
      <c r="C61" s="5" t="s">
        <v>612</v>
      </c>
      <c r="D61" s="5" t="s">
        <v>32</v>
      </c>
      <c r="E61" s="6" t="s">
        <v>33</v>
      </c>
      <c r="F61" s="7">
        <v>3</v>
      </c>
      <c r="G61" s="5" t="s">
        <v>273</v>
      </c>
      <c r="H61" s="5" t="s">
        <v>760</v>
      </c>
      <c r="I61" s="5" t="s">
        <v>753</v>
      </c>
      <c r="J61" s="5" t="s">
        <v>34</v>
      </c>
      <c r="K61" s="5" t="s">
        <v>50</v>
      </c>
      <c r="L61" s="5" t="s">
        <v>754</v>
      </c>
      <c r="M61" s="5" t="s">
        <v>755</v>
      </c>
      <c r="N61" s="5" t="s">
        <v>56</v>
      </c>
      <c r="O61" s="6" t="e">
        <v>#N/A</v>
      </c>
      <c r="P61" s="5" t="s">
        <v>761</v>
      </c>
      <c r="Q61" s="5" t="s">
        <v>64</v>
      </c>
      <c r="R61" s="5" t="s">
        <v>686</v>
      </c>
      <c r="S61" s="5" t="s">
        <v>757</v>
      </c>
      <c r="T61" s="5" t="s">
        <v>758</v>
      </c>
      <c r="U61" s="5" t="s">
        <v>759</v>
      </c>
      <c r="V61" s="8">
        <v>17</v>
      </c>
      <c r="W61" s="9">
        <v>34483</v>
      </c>
      <c r="X61" s="5" t="s">
        <v>35</v>
      </c>
      <c r="Y61" s="10">
        <v>100</v>
      </c>
      <c r="Z61" s="10">
        <v>18.18</v>
      </c>
      <c r="AA61" s="10">
        <v>18.18</v>
      </c>
      <c r="AB61" s="10">
        <v>1040408</v>
      </c>
      <c r="AC61" s="10">
        <v>455675</v>
      </c>
      <c r="AD61" s="10">
        <v>0</v>
      </c>
      <c r="AE61" s="11">
        <v>1496083</v>
      </c>
      <c r="AF61" s="12" t="s">
        <v>52</v>
      </c>
      <c r="AG61" s="14" t="s">
        <v>184</v>
      </c>
      <c r="AH61" s="14" t="s">
        <v>65</v>
      </c>
      <c r="AI61" s="14" t="s">
        <v>123</v>
      </c>
      <c r="AJ61" s="14">
        <v>40000</v>
      </c>
      <c r="AK61" s="14">
        <v>35000</v>
      </c>
      <c r="AL61" s="13">
        <v>18</v>
      </c>
      <c r="AM61" s="13">
        <v>18</v>
      </c>
      <c r="AN61" s="14" t="s">
        <v>58</v>
      </c>
      <c r="AO61" s="14" t="s">
        <v>59</v>
      </c>
      <c r="AP61" s="14" t="s">
        <v>755</v>
      </c>
      <c r="AQ61" s="20">
        <v>202512</v>
      </c>
      <c r="AR61" s="14" t="s">
        <v>166</v>
      </c>
      <c r="AS61"/>
      <c r="AT61" s="12" t="s">
        <v>52</v>
      </c>
      <c r="AU61" s="19" t="s">
        <v>199</v>
      </c>
      <c r="AV61" s="12" t="s">
        <v>301</v>
      </c>
      <c r="AW61"/>
    </row>
    <row r="62" spans="1:49" x14ac:dyDescent="0.3">
      <c r="A62" s="5" t="s">
        <v>260</v>
      </c>
      <c r="B62" s="5" t="s">
        <v>54</v>
      </c>
      <c r="C62" s="5" t="s">
        <v>762</v>
      </c>
      <c r="D62" s="5" t="s">
        <v>81</v>
      </c>
      <c r="E62" s="6" t="s">
        <v>33</v>
      </c>
      <c r="F62" s="7">
        <v>1</v>
      </c>
      <c r="G62" s="5" t="s">
        <v>426</v>
      </c>
      <c r="H62" s="5" t="s">
        <v>763</v>
      </c>
      <c r="I62" s="5" t="s">
        <v>764</v>
      </c>
      <c r="J62" s="5" t="s">
        <v>34</v>
      </c>
      <c r="K62" s="5" t="s">
        <v>261</v>
      </c>
      <c r="L62" s="5" t="s">
        <v>262</v>
      </c>
      <c r="M62" s="5" t="s">
        <v>263</v>
      </c>
      <c r="N62" s="5" t="s">
        <v>56</v>
      </c>
      <c r="O62" s="6" t="e">
        <v>#N/A</v>
      </c>
      <c r="P62" s="5" t="s">
        <v>267</v>
      </c>
      <c r="Q62" s="5" t="s">
        <v>64</v>
      </c>
      <c r="R62" s="5" t="s">
        <v>79</v>
      </c>
      <c r="S62" s="5" t="s">
        <v>296</v>
      </c>
      <c r="T62" s="5" t="s">
        <v>388</v>
      </c>
      <c r="U62" s="5" t="s">
        <v>765</v>
      </c>
      <c r="V62" s="8">
        <v>40</v>
      </c>
      <c r="W62" s="9">
        <v>29448</v>
      </c>
      <c r="X62" s="5" t="s">
        <v>35</v>
      </c>
      <c r="Y62" s="10">
        <v>100</v>
      </c>
      <c r="Z62" s="10">
        <v>19.8</v>
      </c>
      <c r="AA62" s="10">
        <v>19.8</v>
      </c>
      <c r="AB62" s="10">
        <v>139093</v>
      </c>
      <c r="AC62" s="10">
        <v>12393</v>
      </c>
      <c r="AD62" s="10">
        <v>0</v>
      </c>
      <c r="AE62" s="11">
        <v>151486</v>
      </c>
      <c r="AF62" s="12" t="s">
        <v>264</v>
      </c>
      <c r="AG62" s="14" t="s">
        <v>129</v>
      </c>
      <c r="AH62" s="14" t="s">
        <v>65</v>
      </c>
      <c r="AI62" s="14" t="s">
        <v>45</v>
      </c>
      <c r="AJ62" s="14">
        <v>30000</v>
      </c>
      <c r="AK62" s="14">
        <v>30000</v>
      </c>
      <c r="AL62" s="13">
        <v>42</v>
      </c>
      <c r="AM62" s="13">
        <v>42</v>
      </c>
      <c r="AN62" s="14" t="s">
        <v>268</v>
      </c>
      <c r="AO62" s="14" t="s">
        <v>269</v>
      </c>
      <c r="AP62" s="14" t="s">
        <v>37</v>
      </c>
      <c r="AQ62" s="20">
        <v>202512</v>
      </c>
      <c r="AR62" s="14" t="s">
        <v>153</v>
      </c>
      <c r="AS62" s="14" t="s">
        <v>265</v>
      </c>
      <c r="AT62" s="12" t="s">
        <v>266</v>
      </c>
      <c r="AU62" s="19" t="s">
        <v>199</v>
      </c>
      <c r="AV62" s="12" t="s">
        <v>301</v>
      </c>
      <c r="AW62"/>
    </row>
    <row r="63" spans="1:49" x14ac:dyDescent="0.3">
      <c r="A63" s="5" t="s">
        <v>151</v>
      </c>
      <c r="B63" s="5" t="s">
        <v>31</v>
      </c>
      <c r="C63" s="5" t="s">
        <v>425</v>
      </c>
      <c r="D63" s="5" t="s">
        <v>32</v>
      </c>
      <c r="E63" s="6" t="s">
        <v>33</v>
      </c>
      <c r="F63" s="5">
        <v>11</v>
      </c>
      <c r="G63" s="5" t="s">
        <v>426</v>
      </c>
      <c r="H63" s="5" t="s">
        <v>766</v>
      </c>
      <c r="I63" s="5" t="s">
        <v>767</v>
      </c>
      <c r="J63" s="5" t="s">
        <v>34</v>
      </c>
      <c r="K63" s="5" t="s">
        <v>94</v>
      </c>
      <c r="L63" s="5" t="s">
        <v>98</v>
      </c>
      <c r="M63" s="5" t="s">
        <v>39</v>
      </c>
      <c r="N63" s="5"/>
      <c r="O63" s="6"/>
      <c r="P63" s="5" t="s">
        <v>768</v>
      </c>
      <c r="Q63" s="5" t="s">
        <v>95</v>
      </c>
      <c r="R63" s="5" t="s">
        <v>146</v>
      </c>
      <c r="S63" s="5" t="s">
        <v>405</v>
      </c>
      <c r="T63" s="5" t="s">
        <v>769</v>
      </c>
      <c r="U63" s="5" t="s">
        <v>770</v>
      </c>
      <c r="V63" s="8">
        <v>31</v>
      </c>
      <c r="W63" s="9">
        <v>41868</v>
      </c>
      <c r="X63" s="5"/>
      <c r="Y63" s="10">
        <v>100</v>
      </c>
      <c r="Z63" s="10">
        <v>25.44</v>
      </c>
      <c r="AA63" s="10">
        <v>25.44</v>
      </c>
      <c r="AB63" s="10">
        <v>8205</v>
      </c>
      <c r="AC63" s="10">
        <v>11576</v>
      </c>
      <c r="AD63" s="10">
        <v>0</v>
      </c>
      <c r="AE63" s="11">
        <v>19781</v>
      </c>
      <c r="AF63" s="12" t="s">
        <v>96</v>
      </c>
      <c r="AG63" s="14" t="s">
        <v>152</v>
      </c>
      <c r="AH63" s="14" t="e">
        <v>#N/A</v>
      </c>
      <c r="AI63" s="14" t="s">
        <v>36</v>
      </c>
      <c r="AJ63" s="14">
        <v>50000</v>
      </c>
      <c r="AK63" s="14">
        <v>45000</v>
      </c>
      <c r="AL63" s="13">
        <v>36</v>
      </c>
      <c r="AM63" s="13">
        <v>33</v>
      </c>
      <c r="AN63" s="14" t="s">
        <v>340</v>
      </c>
      <c r="AO63" s="14" t="s">
        <v>87</v>
      </c>
      <c r="AP63" s="14" t="s">
        <v>37</v>
      </c>
      <c r="AQ63" s="20">
        <v>202512</v>
      </c>
      <c r="AR63" s="21" t="s">
        <v>153</v>
      </c>
      <c r="AS63" s="14" t="s">
        <v>336</v>
      </c>
      <c r="AT63" s="14" t="s">
        <v>336</v>
      </c>
      <c r="AU63" s="19" t="s">
        <v>199</v>
      </c>
      <c r="AV63" s="12" t="s">
        <v>301</v>
      </c>
      <c r="AW63"/>
    </row>
    <row r="64" spans="1:49" x14ac:dyDescent="0.3">
      <c r="A64" s="5" t="s">
        <v>151</v>
      </c>
      <c r="B64" s="5" t="s">
        <v>31</v>
      </c>
      <c r="C64" s="5" t="s">
        <v>425</v>
      </c>
      <c r="D64" s="5" t="s">
        <v>32</v>
      </c>
      <c r="E64" s="6" t="s">
        <v>33</v>
      </c>
      <c r="F64" s="5">
        <v>12</v>
      </c>
      <c r="G64" s="5" t="s">
        <v>426</v>
      </c>
      <c r="H64" s="5" t="s">
        <v>771</v>
      </c>
      <c r="I64" s="5" t="s">
        <v>767</v>
      </c>
      <c r="J64" s="5" t="s">
        <v>34</v>
      </c>
      <c r="K64" s="5" t="s">
        <v>94</v>
      </c>
      <c r="L64" s="5" t="s">
        <v>98</v>
      </c>
      <c r="M64" s="5" t="s">
        <v>39</v>
      </c>
      <c r="N64" s="5"/>
      <c r="O64" s="6"/>
      <c r="P64" s="5" t="s">
        <v>293</v>
      </c>
      <c r="Q64" s="5" t="s">
        <v>95</v>
      </c>
      <c r="R64" s="5" t="s">
        <v>146</v>
      </c>
      <c r="S64" s="5" t="s">
        <v>405</v>
      </c>
      <c r="T64" s="5" t="s">
        <v>772</v>
      </c>
      <c r="U64" s="5" t="s">
        <v>770</v>
      </c>
      <c r="V64" s="8">
        <v>32</v>
      </c>
      <c r="W64" s="9">
        <v>41942</v>
      </c>
      <c r="X64" s="5"/>
      <c r="Y64" s="10">
        <v>100</v>
      </c>
      <c r="Z64" s="10">
        <v>25.44</v>
      </c>
      <c r="AA64" s="10">
        <v>25.44</v>
      </c>
      <c r="AB64" s="10">
        <v>147234</v>
      </c>
      <c r="AC64" s="10">
        <v>18520</v>
      </c>
      <c r="AD64" s="10">
        <v>0</v>
      </c>
      <c r="AE64" s="11">
        <v>165754</v>
      </c>
      <c r="AF64" s="12" t="s">
        <v>96</v>
      </c>
      <c r="AG64" s="14" t="s">
        <v>152</v>
      </c>
      <c r="AH64" s="14" t="e">
        <v>#N/A</v>
      </c>
      <c r="AI64" s="14" t="s">
        <v>36</v>
      </c>
      <c r="AJ64" s="14">
        <v>50000</v>
      </c>
      <c r="AK64" s="14">
        <v>45000</v>
      </c>
      <c r="AL64" s="13">
        <v>36</v>
      </c>
      <c r="AM64" s="13">
        <v>33</v>
      </c>
      <c r="AN64" s="14" t="s">
        <v>340</v>
      </c>
      <c r="AO64" s="14" t="s">
        <v>87</v>
      </c>
      <c r="AP64" s="14" t="s">
        <v>37</v>
      </c>
      <c r="AQ64" s="20">
        <v>202512</v>
      </c>
      <c r="AR64" s="21" t="s">
        <v>153</v>
      </c>
      <c r="AS64" s="14" t="s">
        <v>336</v>
      </c>
      <c r="AT64" s="14" t="s">
        <v>336</v>
      </c>
      <c r="AU64" s="19" t="s">
        <v>199</v>
      </c>
      <c r="AV64" s="12" t="s">
        <v>301</v>
      </c>
      <c r="AW64"/>
    </row>
    <row r="65" spans="1:49" x14ac:dyDescent="0.3">
      <c r="A65" s="5" t="s">
        <v>151</v>
      </c>
      <c r="B65" s="5" t="s">
        <v>31</v>
      </c>
      <c r="C65" s="5" t="s">
        <v>425</v>
      </c>
      <c r="D65" s="5" t="s">
        <v>32</v>
      </c>
      <c r="E65" s="6" t="s">
        <v>33</v>
      </c>
      <c r="F65" s="5">
        <v>13</v>
      </c>
      <c r="G65" s="5" t="s">
        <v>426</v>
      </c>
      <c r="H65" s="5" t="s">
        <v>773</v>
      </c>
      <c r="I65" s="5" t="s">
        <v>774</v>
      </c>
      <c r="J65" s="5" t="s">
        <v>34</v>
      </c>
      <c r="K65" s="5" t="s">
        <v>94</v>
      </c>
      <c r="L65" s="5" t="s">
        <v>98</v>
      </c>
      <c r="M65" s="5" t="s">
        <v>39</v>
      </c>
      <c r="N65" s="5"/>
      <c r="O65" s="6"/>
      <c r="P65" s="5" t="s">
        <v>84</v>
      </c>
      <c r="Q65" s="5" t="s">
        <v>95</v>
      </c>
      <c r="R65" s="5" t="s">
        <v>146</v>
      </c>
      <c r="S65" s="5" t="s">
        <v>775</v>
      </c>
      <c r="T65" s="5" t="s">
        <v>776</v>
      </c>
      <c r="U65" s="5" t="s">
        <v>777</v>
      </c>
      <c r="V65" s="8">
        <v>29</v>
      </c>
      <c r="W65" s="9">
        <v>42880</v>
      </c>
      <c r="X65" s="5"/>
      <c r="Y65" s="10">
        <v>100</v>
      </c>
      <c r="Z65" s="10">
        <v>25.44</v>
      </c>
      <c r="AA65" s="10">
        <v>25.44</v>
      </c>
      <c r="AB65" s="10">
        <v>118570</v>
      </c>
      <c r="AC65" s="10">
        <v>34802</v>
      </c>
      <c r="AD65" s="10">
        <v>0</v>
      </c>
      <c r="AE65" s="11">
        <v>153372</v>
      </c>
      <c r="AF65" s="12" t="s">
        <v>96</v>
      </c>
      <c r="AG65" s="14" t="s">
        <v>184</v>
      </c>
      <c r="AH65" s="14" t="e">
        <v>#N/A</v>
      </c>
      <c r="AI65" s="14" t="s">
        <v>36</v>
      </c>
      <c r="AJ65" s="14">
        <v>50000</v>
      </c>
      <c r="AK65" s="14">
        <v>45000</v>
      </c>
      <c r="AL65" s="13">
        <v>30</v>
      </c>
      <c r="AM65" s="13">
        <v>30</v>
      </c>
      <c r="AN65" s="14" t="s">
        <v>278</v>
      </c>
      <c r="AO65" s="14" t="s">
        <v>87</v>
      </c>
      <c r="AP65" s="14" t="s">
        <v>37</v>
      </c>
      <c r="AQ65" s="20">
        <v>202512</v>
      </c>
      <c r="AR65" s="21" t="s">
        <v>153</v>
      </c>
      <c r="AS65" s="14" t="s">
        <v>336</v>
      </c>
      <c r="AT65" s="14" t="s">
        <v>336</v>
      </c>
      <c r="AU65" s="19" t="s">
        <v>199</v>
      </c>
      <c r="AV65" s="12" t="s">
        <v>301</v>
      </c>
      <c r="AW65"/>
    </row>
    <row r="66" spans="1:49" x14ac:dyDescent="0.3">
      <c r="A66" s="5" t="s">
        <v>151</v>
      </c>
      <c r="B66" s="5" t="s">
        <v>31</v>
      </c>
      <c r="C66" s="5" t="s">
        <v>425</v>
      </c>
      <c r="D66" s="5" t="s">
        <v>32</v>
      </c>
      <c r="E66" s="6" t="s">
        <v>33</v>
      </c>
      <c r="F66" s="5">
        <v>14</v>
      </c>
      <c r="G66" s="5" t="s">
        <v>426</v>
      </c>
      <c r="H66" s="5" t="s">
        <v>778</v>
      </c>
      <c r="I66" s="5" t="s">
        <v>779</v>
      </c>
      <c r="J66" s="5" t="s">
        <v>34</v>
      </c>
      <c r="K66" s="5" t="s">
        <v>94</v>
      </c>
      <c r="L66" s="5" t="s">
        <v>98</v>
      </c>
      <c r="M66" s="5" t="s">
        <v>39</v>
      </c>
      <c r="N66" s="5"/>
      <c r="O66" s="6"/>
      <c r="P66" s="5" t="s">
        <v>780</v>
      </c>
      <c r="Q66" s="5" t="s">
        <v>95</v>
      </c>
      <c r="R66" s="5" t="s">
        <v>79</v>
      </c>
      <c r="S66" s="5" t="s">
        <v>781</v>
      </c>
      <c r="T66" s="5" t="s">
        <v>782</v>
      </c>
      <c r="U66" s="5" t="s">
        <v>783</v>
      </c>
      <c r="V66" s="8">
        <v>26</v>
      </c>
      <c r="W66" s="9">
        <v>56508</v>
      </c>
      <c r="X66" s="5"/>
      <c r="Y66" s="10">
        <v>100</v>
      </c>
      <c r="Z66" s="10">
        <v>25.44</v>
      </c>
      <c r="AA66" s="10">
        <v>25.44</v>
      </c>
      <c r="AB66" s="10">
        <v>176210</v>
      </c>
      <c r="AC66" s="10">
        <v>34306</v>
      </c>
      <c r="AD66" s="10">
        <v>0</v>
      </c>
      <c r="AE66" s="11">
        <v>210516</v>
      </c>
      <c r="AF66" s="12" t="s">
        <v>96</v>
      </c>
      <c r="AG66" s="14" t="s">
        <v>164</v>
      </c>
      <c r="AH66" s="14" t="e">
        <v>#N/A</v>
      </c>
      <c r="AI66" s="14" t="s">
        <v>45</v>
      </c>
      <c r="AJ66" s="14">
        <v>60000</v>
      </c>
      <c r="AK66" s="14">
        <v>60000</v>
      </c>
      <c r="AL66" s="13">
        <v>30</v>
      </c>
      <c r="AM66" s="13">
        <v>27</v>
      </c>
      <c r="AN66" s="14" t="s">
        <v>308</v>
      </c>
      <c r="AO66" s="14" t="s">
        <v>87</v>
      </c>
      <c r="AP66" s="14" t="s">
        <v>37</v>
      </c>
      <c r="AQ66" s="20">
        <v>202512</v>
      </c>
      <c r="AR66" s="21" t="s">
        <v>153</v>
      </c>
      <c r="AS66" s="14" t="s">
        <v>336</v>
      </c>
      <c r="AT66" s="14" t="s">
        <v>336</v>
      </c>
      <c r="AU66" s="19" t="s">
        <v>199</v>
      </c>
      <c r="AV66" s="12" t="s">
        <v>301</v>
      </c>
      <c r="AW66"/>
    </row>
    <row r="67" spans="1:49" x14ac:dyDescent="0.3">
      <c r="A67" s="5" t="s">
        <v>151</v>
      </c>
      <c r="B67" s="5" t="s">
        <v>54</v>
      </c>
      <c r="C67" s="5" t="s">
        <v>425</v>
      </c>
      <c r="D67" s="5" t="s">
        <v>32</v>
      </c>
      <c r="E67" s="6" t="s">
        <v>33</v>
      </c>
      <c r="F67" s="5">
        <v>52</v>
      </c>
      <c r="G67" s="5" t="s">
        <v>426</v>
      </c>
      <c r="H67" s="5" t="s">
        <v>784</v>
      </c>
      <c r="I67" s="5" t="s">
        <v>785</v>
      </c>
      <c r="J67" s="5" t="s">
        <v>34</v>
      </c>
      <c r="K67" s="5" t="s">
        <v>60</v>
      </c>
      <c r="L67" s="5" t="s">
        <v>100</v>
      </c>
      <c r="M67" s="5" t="s">
        <v>92</v>
      </c>
      <c r="N67" s="5"/>
      <c r="O67" s="6"/>
      <c r="P67" s="5" t="s">
        <v>97</v>
      </c>
      <c r="Q67" s="5" t="s">
        <v>64</v>
      </c>
      <c r="R67" s="5" t="s">
        <v>698</v>
      </c>
      <c r="S67" s="5" t="s">
        <v>347</v>
      </c>
      <c r="T67" s="5" t="s">
        <v>786</v>
      </c>
      <c r="U67" s="5" t="s">
        <v>413</v>
      </c>
      <c r="V67" s="8">
        <v>7</v>
      </c>
      <c r="W67" s="9">
        <v>2622</v>
      </c>
      <c r="X67" s="5"/>
      <c r="Y67" s="10">
        <v>100</v>
      </c>
      <c r="Z67" s="10">
        <v>18.18</v>
      </c>
      <c r="AA67" s="10">
        <v>18.18</v>
      </c>
      <c r="AB67" s="10">
        <v>166674</v>
      </c>
      <c r="AC67" s="10">
        <v>47668</v>
      </c>
      <c r="AD67" s="10">
        <v>0</v>
      </c>
      <c r="AE67" s="11">
        <v>214342</v>
      </c>
      <c r="AF67" s="12" t="s">
        <v>62</v>
      </c>
      <c r="AG67" s="14" t="s">
        <v>313</v>
      </c>
      <c r="AH67" s="14" t="s">
        <v>65</v>
      </c>
      <c r="AI67" s="14" t="s">
        <v>86</v>
      </c>
      <c r="AJ67" s="14">
        <v>10000</v>
      </c>
      <c r="AK67" s="14">
        <v>5000</v>
      </c>
      <c r="AL67" s="13">
        <v>12</v>
      </c>
      <c r="AM67" s="13">
        <v>9</v>
      </c>
      <c r="AN67" s="14" t="s">
        <v>77</v>
      </c>
      <c r="AO67" s="14" t="s">
        <v>78</v>
      </c>
      <c r="AP67" s="14" t="s">
        <v>37</v>
      </c>
      <c r="AQ67" s="20">
        <v>202512</v>
      </c>
      <c r="AR67" s="21" t="s">
        <v>153</v>
      </c>
      <c r="AS67" s="14" t="s">
        <v>336</v>
      </c>
      <c r="AT67" s="14" t="s">
        <v>336</v>
      </c>
      <c r="AU67" s="19" t="s">
        <v>199</v>
      </c>
      <c r="AV67" s="12" t="s">
        <v>301</v>
      </c>
      <c r="AW67"/>
    </row>
    <row r="68" spans="1:49" x14ac:dyDescent="0.3">
      <c r="A68" s="5" t="s">
        <v>151</v>
      </c>
      <c r="B68" s="5" t="s">
        <v>54</v>
      </c>
      <c r="C68" s="5" t="s">
        <v>425</v>
      </c>
      <c r="D68" s="5" t="s">
        <v>32</v>
      </c>
      <c r="E68" s="6" t="s">
        <v>33</v>
      </c>
      <c r="F68" s="5">
        <v>53</v>
      </c>
      <c r="G68" s="5" t="s">
        <v>426</v>
      </c>
      <c r="H68" s="5" t="s">
        <v>787</v>
      </c>
      <c r="I68" s="5" t="s">
        <v>788</v>
      </c>
      <c r="J68" s="5" t="s">
        <v>34</v>
      </c>
      <c r="K68" s="5" t="s">
        <v>60</v>
      </c>
      <c r="L68" s="5" t="s">
        <v>270</v>
      </c>
      <c r="M68" s="5" t="s">
        <v>92</v>
      </c>
      <c r="N68" s="5"/>
      <c r="O68" s="6"/>
      <c r="P68" s="5" t="s">
        <v>93</v>
      </c>
      <c r="Q68" s="5" t="s">
        <v>64</v>
      </c>
      <c r="R68" s="5" t="s">
        <v>309</v>
      </c>
      <c r="S68" s="5" t="s">
        <v>789</v>
      </c>
      <c r="T68" s="5" t="s">
        <v>422</v>
      </c>
      <c r="U68" s="5" t="s">
        <v>341</v>
      </c>
      <c r="V68" s="8">
        <v>2</v>
      </c>
      <c r="W68" s="9">
        <v>16</v>
      </c>
      <c r="X68" s="5"/>
      <c r="Y68" s="10">
        <v>100</v>
      </c>
      <c r="Z68" s="10">
        <v>18.18</v>
      </c>
      <c r="AA68" s="10">
        <v>18.18</v>
      </c>
      <c r="AB68" s="10">
        <v>87617</v>
      </c>
      <c r="AC68" s="10">
        <v>6104</v>
      </c>
      <c r="AD68" s="10">
        <v>0</v>
      </c>
      <c r="AE68" s="11">
        <v>93721</v>
      </c>
      <c r="AF68" s="12" t="s">
        <v>62</v>
      </c>
      <c r="AG68" s="14" t="s">
        <v>248</v>
      </c>
      <c r="AH68" s="14" t="s">
        <v>65</v>
      </c>
      <c r="AI68" s="14" t="s">
        <v>49</v>
      </c>
      <c r="AJ68" s="14">
        <v>10000</v>
      </c>
      <c r="AK68" s="14">
        <v>5000</v>
      </c>
      <c r="AL68" s="13">
        <v>6</v>
      </c>
      <c r="AM68" s="13">
        <v>3</v>
      </c>
      <c r="AN68" s="14" t="s">
        <v>271</v>
      </c>
      <c r="AO68" s="14" t="s">
        <v>272</v>
      </c>
      <c r="AP68" s="14" t="s">
        <v>37</v>
      </c>
      <c r="AQ68" s="20">
        <v>202512</v>
      </c>
      <c r="AR68" s="21" t="s">
        <v>153</v>
      </c>
      <c r="AS68" s="14" t="s">
        <v>336</v>
      </c>
      <c r="AT68" s="14" t="s">
        <v>336</v>
      </c>
      <c r="AU68" s="19" t="s">
        <v>199</v>
      </c>
      <c r="AV68" s="12" t="s">
        <v>301</v>
      </c>
      <c r="AW68"/>
    </row>
    <row r="69" spans="1:49" x14ac:dyDescent="0.3">
      <c r="A69" s="5" t="s">
        <v>151</v>
      </c>
      <c r="B69" s="5" t="s">
        <v>54</v>
      </c>
      <c r="C69" s="5" t="s">
        <v>425</v>
      </c>
      <c r="D69" s="5" t="s">
        <v>32</v>
      </c>
      <c r="E69" s="6" t="s">
        <v>33</v>
      </c>
      <c r="F69" s="5">
        <v>54</v>
      </c>
      <c r="G69" s="5" t="s">
        <v>426</v>
      </c>
      <c r="H69" s="5" t="s">
        <v>790</v>
      </c>
      <c r="I69" s="5" t="s">
        <v>791</v>
      </c>
      <c r="J69" s="5" t="s">
        <v>34</v>
      </c>
      <c r="K69" s="5" t="s">
        <v>60</v>
      </c>
      <c r="L69" s="5" t="s">
        <v>792</v>
      </c>
      <c r="M69" s="5" t="s">
        <v>92</v>
      </c>
      <c r="N69" s="5"/>
      <c r="O69" s="6"/>
      <c r="P69" s="5" t="s">
        <v>93</v>
      </c>
      <c r="Q69" s="5" t="s">
        <v>64</v>
      </c>
      <c r="R69" s="5" t="s">
        <v>286</v>
      </c>
      <c r="S69" s="5" t="s">
        <v>343</v>
      </c>
      <c r="T69" s="5" t="s">
        <v>793</v>
      </c>
      <c r="U69" s="5" t="s">
        <v>794</v>
      </c>
      <c r="V69" s="8">
        <v>50</v>
      </c>
      <c r="W69" s="9">
        <v>86489</v>
      </c>
      <c r="X69" s="5"/>
      <c r="Y69" s="10">
        <v>100</v>
      </c>
      <c r="Z69" s="10">
        <v>18.18</v>
      </c>
      <c r="AA69" s="10">
        <v>18.18</v>
      </c>
      <c r="AB69" s="10">
        <v>48767</v>
      </c>
      <c r="AC69" s="10">
        <v>5663</v>
      </c>
      <c r="AD69" s="10">
        <v>0</v>
      </c>
      <c r="AE69" s="11">
        <v>54430</v>
      </c>
      <c r="AF69" s="12" t="s">
        <v>62</v>
      </c>
      <c r="AG69" s="14" t="s">
        <v>232</v>
      </c>
      <c r="AH69" s="14" t="s">
        <v>65</v>
      </c>
      <c r="AI69" s="14" t="s">
        <v>49</v>
      </c>
      <c r="AJ69" s="14">
        <v>90000</v>
      </c>
      <c r="AK69" s="14">
        <v>90000</v>
      </c>
      <c r="AL69" s="13">
        <v>54</v>
      </c>
      <c r="AM69" s="13">
        <v>51</v>
      </c>
      <c r="AN69" s="14" t="s">
        <v>409</v>
      </c>
      <c r="AO69" s="14" t="s">
        <v>410</v>
      </c>
      <c r="AP69" s="14" t="s">
        <v>37</v>
      </c>
      <c r="AQ69" s="20">
        <v>202512</v>
      </c>
      <c r="AR69" s="21" t="s">
        <v>153</v>
      </c>
      <c r="AS69" s="14" t="s">
        <v>336</v>
      </c>
      <c r="AT69" s="14" t="s">
        <v>336</v>
      </c>
      <c r="AU69" s="19" t="s">
        <v>199</v>
      </c>
      <c r="AV69" s="12" t="s">
        <v>301</v>
      </c>
      <c r="AW69"/>
    </row>
    <row r="70" spans="1:49" x14ac:dyDescent="0.3">
      <c r="A70" s="5" t="s">
        <v>151</v>
      </c>
      <c r="B70" s="5" t="s">
        <v>54</v>
      </c>
      <c r="C70" s="5" t="s">
        <v>425</v>
      </c>
      <c r="D70" s="5" t="s">
        <v>32</v>
      </c>
      <c r="E70" s="6" t="s">
        <v>33</v>
      </c>
      <c r="F70" s="5">
        <v>55</v>
      </c>
      <c r="G70" s="5" t="s">
        <v>426</v>
      </c>
      <c r="H70" s="5" t="s">
        <v>795</v>
      </c>
      <c r="I70" s="5" t="s">
        <v>796</v>
      </c>
      <c r="J70" s="5" t="s">
        <v>34</v>
      </c>
      <c r="K70" s="5" t="s">
        <v>60</v>
      </c>
      <c r="L70" s="5" t="s">
        <v>104</v>
      </c>
      <c r="M70" s="5" t="s">
        <v>39</v>
      </c>
      <c r="N70" s="5"/>
      <c r="O70" s="6"/>
      <c r="P70" s="5" t="s">
        <v>97</v>
      </c>
      <c r="Q70" s="5" t="s">
        <v>71</v>
      </c>
      <c r="R70" s="5" t="s">
        <v>145</v>
      </c>
      <c r="S70" s="5" t="s">
        <v>797</v>
      </c>
      <c r="T70" s="5" t="s">
        <v>798</v>
      </c>
      <c r="U70" s="5" t="s">
        <v>799</v>
      </c>
      <c r="V70" s="8">
        <v>80</v>
      </c>
      <c r="W70" s="9">
        <v>49950</v>
      </c>
      <c r="X70" s="5"/>
      <c r="Y70" s="10">
        <v>100</v>
      </c>
      <c r="Z70" s="10">
        <v>18.18</v>
      </c>
      <c r="AA70" s="10">
        <v>18.18</v>
      </c>
      <c r="AB70" s="10">
        <v>160790</v>
      </c>
      <c r="AC70" s="10">
        <v>46878</v>
      </c>
      <c r="AD70" s="10">
        <v>0</v>
      </c>
      <c r="AE70" s="11">
        <v>207668</v>
      </c>
      <c r="AF70" s="12" t="s">
        <v>62</v>
      </c>
      <c r="AG70" s="14" t="s">
        <v>322</v>
      </c>
      <c r="AH70" s="14" t="s">
        <v>72</v>
      </c>
      <c r="AI70" s="14" t="s">
        <v>36</v>
      </c>
      <c r="AJ70" s="14">
        <v>50000</v>
      </c>
      <c r="AK70" s="14">
        <v>50000</v>
      </c>
      <c r="AL70" s="13" t="s">
        <v>124</v>
      </c>
      <c r="AM70" s="13" t="s">
        <v>124</v>
      </c>
      <c r="AN70" s="14" t="s">
        <v>66</v>
      </c>
      <c r="AO70" s="14" t="s">
        <v>67</v>
      </c>
      <c r="AP70" s="14" t="s">
        <v>37</v>
      </c>
      <c r="AQ70" s="20">
        <v>202512</v>
      </c>
      <c r="AR70" s="21" t="s">
        <v>153</v>
      </c>
      <c r="AS70" s="14" t="s">
        <v>336</v>
      </c>
      <c r="AT70" s="14" t="s">
        <v>336</v>
      </c>
      <c r="AU70" s="19" t="s">
        <v>199</v>
      </c>
      <c r="AV70" s="12" t="s">
        <v>301</v>
      </c>
      <c r="AW70"/>
    </row>
    <row r="71" spans="1:49" x14ac:dyDescent="0.3">
      <c r="A71" s="5" t="s">
        <v>151</v>
      </c>
      <c r="B71" s="5" t="s">
        <v>54</v>
      </c>
      <c r="C71" s="5" t="s">
        <v>612</v>
      </c>
      <c r="D71" s="5" t="s">
        <v>32</v>
      </c>
      <c r="E71" s="6" t="s">
        <v>33</v>
      </c>
      <c r="F71" s="5">
        <v>56</v>
      </c>
      <c r="G71" s="5" t="s">
        <v>426</v>
      </c>
      <c r="H71" s="5" t="s">
        <v>800</v>
      </c>
      <c r="I71" s="5" t="s">
        <v>801</v>
      </c>
      <c r="J71" s="5" t="s">
        <v>34</v>
      </c>
      <c r="K71" s="5" t="s">
        <v>60</v>
      </c>
      <c r="L71" s="5" t="s">
        <v>221</v>
      </c>
      <c r="M71" s="5" t="s">
        <v>39</v>
      </c>
      <c r="N71" s="5"/>
      <c r="O71" s="6"/>
      <c r="P71" s="5" t="s">
        <v>224</v>
      </c>
      <c r="Q71" s="5" t="s">
        <v>64</v>
      </c>
      <c r="R71" s="5" t="s">
        <v>145</v>
      </c>
      <c r="S71" s="5" t="s">
        <v>415</v>
      </c>
      <c r="T71" s="5" t="s">
        <v>802</v>
      </c>
      <c r="U71" s="5" t="s">
        <v>803</v>
      </c>
      <c r="V71" s="8">
        <v>55</v>
      </c>
      <c r="W71" s="9">
        <v>65965</v>
      </c>
      <c r="X71" s="5"/>
      <c r="Y71" s="10">
        <v>100</v>
      </c>
      <c r="Z71" s="10">
        <v>18.18</v>
      </c>
      <c r="AA71" s="10">
        <v>18.18</v>
      </c>
      <c r="AB71" s="10">
        <v>60411</v>
      </c>
      <c r="AC71" s="10">
        <v>16862</v>
      </c>
      <c r="AD71" s="10">
        <v>0</v>
      </c>
      <c r="AE71" s="11">
        <v>77273</v>
      </c>
      <c r="AF71" s="12" t="s">
        <v>62</v>
      </c>
      <c r="AG71" s="14" t="s">
        <v>218</v>
      </c>
      <c r="AH71" s="14" t="s">
        <v>65</v>
      </c>
      <c r="AI71" s="14" t="s">
        <v>36</v>
      </c>
      <c r="AJ71" s="14">
        <v>70000</v>
      </c>
      <c r="AK71" s="14">
        <v>70000</v>
      </c>
      <c r="AL71" s="13">
        <v>60</v>
      </c>
      <c r="AM71" s="13">
        <v>57</v>
      </c>
      <c r="AN71" s="14" t="s">
        <v>102</v>
      </c>
      <c r="AO71" s="14" t="s">
        <v>103</v>
      </c>
      <c r="AP71" s="14" t="s">
        <v>37</v>
      </c>
      <c r="AQ71" s="20">
        <v>202512</v>
      </c>
      <c r="AR71" s="21" t="s">
        <v>153</v>
      </c>
      <c r="AS71" s="14" t="s">
        <v>336</v>
      </c>
      <c r="AT71" s="14" t="s">
        <v>336</v>
      </c>
      <c r="AU71" s="19" t="s">
        <v>199</v>
      </c>
      <c r="AV71" s="12" t="s">
        <v>301</v>
      </c>
      <c r="AW71"/>
    </row>
    <row r="72" spans="1:49" x14ac:dyDescent="0.3">
      <c r="A72" s="5" t="s">
        <v>151</v>
      </c>
      <c r="B72" s="5" t="s">
        <v>54</v>
      </c>
      <c r="C72" s="5" t="s">
        <v>425</v>
      </c>
      <c r="D72" s="5" t="s">
        <v>32</v>
      </c>
      <c r="E72" s="6" t="s">
        <v>33</v>
      </c>
      <c r="F72" s="5">
        <v>56</v>
      </c>
      <c r="G72" s="5" t="s">
        <v>426</v>
      </c>
      <c r="H72" s="5" t="s">
        <v>804</v>
      </c>
      <c r="I72" s="5" t="s">
        <v>805</v>
      </c>
      <c r="J72" s="5" t="s">
        <v>34</v>
      </c>
      <c r="K72" s="5" t="s">
        <v>60</v>
      </c>
      <c r="L72" s="5" t="s">
        <v>104</v>
      </c>
      <c r="M72" s="5" t="s">
        <v>39</v>
      </c>
      <c r="N72" s="5"/>
      <c r="O72" s="6"/>
      <c r="P72" s="5" t="s">
        <v>97</v>
      </c>
      <c r="Q72" s="5" t="s">
        <v>125</v>
      </c>
      <c r="R72" s="5" t="s">
        <v>146</v>
      </c>
      <c r="S72" s="5" t="s">
        <v>806</v>
      </c>
      <c r="T72" s="5" t="s">
        <v>807</v>
      </c>
      <c r="U72" s="5" t="s">
        <v>808</v>
      </c>
      <c r="V72" s="8">
        <v>75</v>
      </c>
      <c r="W72" s="9">
        <v>105115</v>
      </c>
      <c r="X72" s="5"/>
      <c r="Y72" s="10">
        <v>100</v>
      </c>
      <c r="Z72" s="10">
        <v>18.18</v>
      </c>
      <c r="AA72" s="10">
        <v>18.18</v>
      </c>
      <c r="AB72" s="10">
        <v>134567</v>
      </c>
      <c r="AC72" s="10">
        <v>22852</v>
      </c>
      <c r="AD72" s="10">
        <v>0</v>
      </c>
      <c r="AE72" s="11">
        <v>157419</v>
      </c>
      <c r="AF72" s="12" t="s">
        <v>62</v>
      </c>
      <c r="AG72" s="14" t="s">
        <v>240</v>
      </c>
      <c r="AH72" s="14" t="s">
        <v>126</v>
      </c>
      <c r="AI72" s="14" t="s">
        <v>36</v>
      </c>
      <c r="AJ72" s="14" t="s">
        <v>142</v>
      </c>
      <c r="AK72" s="14" t="s">
        <v>142</v>
      </c>
      <c r="AL72" s="13" t="s">
        <v>124</v>
      </c>
      <c r="AM72" s="13" t="s">
        <v>124</v>
      </c>
      <c r="AN72" s="14" t="s">
        <v>809</v>
      </c>
      <c r="AO72" s="14" t="s">
        <v>810</v>
      </c>
      <c r="AP72" s="14" t="s">
        <v>37</v>
      </c>
      <c r="AQ72" s="20">
        <v>202512</v>
      </c>
      <c r="AR72" s="21" t="s">
        <v>153</v>
      </c>
      <c r="AS72" s="14" t="s">
        <v>336</v>
      </c>
      <c r="AT72" s="14" t="s">
        <v>336</v>
      </c>
      <c r="AU72" s="19" t="s">
        <v>199</v>
      </c>
      <c r="AV72" s="12" t="s">
        <v>301</v>
      </c>
      <c r="AW72"/>
    </row>
    <row r="73" spans="1:49" x14ac:dyDescent="0.3">
      <c r="A73" s="5" t="s">
        <v>151</v>
      </c>
      <c r="B73" s="5" t="s">
        <v>54</v>
      </c>
      <c r="C73" s="5" t="s">
        <v>612</v>
      </c>
      <c r="D73" s="5" t="s">
        <v>32</v>
      </c>
      <c r="E73" s="6" t="s">
        <v>33</v>
      </c>
      <c r="F73" s="5">
        <v>57</v>
      </c>
      <c r="G73" s="5" t="s">
        <v>426</v>
      </c>
      <c r="H73" s="5" t="s">
        <v>811</v>
      </c>
      <c r="I73" s="5" t="s">
        <v>812</v>
      </c>
      <c r="J73" s="5" t="s">
        <v>34</v>
      </c>
      <c r="K73" s="5" t="s">
        <v>60</v>
      </c>
      <c r="L73" s="5" t="s">
        <v>221</v>
      </c>
      <c r="M73" s="5" t="s">
        <v>39</v>
      </c>
      <c r="N73" s="5"/>
      <c r="O73" s="6"/>
      <c r="P73" s="5" t="s">
        <v>97</v>
      </c>
      <c r="Q73" s="5" t="s">
        <v>64</v>
      </c>
      <c r="R73" s="5" t="s">
        <v>145</v>
      </c>
      <c r="S73" s="5" t="s">
        <v>813</v>
      </c>
      <c r="T73" s="5" t="s">
        <v>814</v>
      </c>
      <c r="U73" s="5" t="s">
        <v>815</v>
      </c>
      <c r="V73" s="8">
        <v>14</v>
      </c>
      <c r="W73" s="9">
        <v>14147</v>
      </c>
      <c r="X73" s="5"/>
      <c r="Y73" s="10">
        <v>100</v>
      </c>
      <c r="Z73" s="10">
        <v>18.18</v>
      </c>
      <c r="AA73" s="10">
        <v>18.18</v>
      </c>
      <c r="AB73" s="10">
        <v>64460</v>
      </c>
      <c r="AC73" s="10">
        <v>13973</v>
      </c>
      <c r="AD73" s="10">
        <v>0</v>
      </c>
      <c r="AE73" s="11">
        <v>78433</v>
      </c>
      <c r="AF73" s="12" t="s">
        <v>62</v>
      </c>
      <c r="AG73" s="14" t="s">
        <v>319</v>
      </c>
      <c r="AH73" s="14" t="s">
        <v>65</v>
      </c>
      <c r="AI73" s="14" t="s">
        <v>36</v>
      </c>
      <c r="AJ73" s="14">
        <v>20000</v>
      </c>
      <c r="AK73" s="14">
        <v>15000</v>
      </c>
      <c r="AL73" s="13">
        <v>18</v>
      </c>
      <c r="AM73" s="13">
        <v>15</v>
      </c>
      <c r="AN73" s="14" t="s">
        <v>105</v>
      </c>
      <c r="AO73" s="14" t="s">
        <v>106</v>
      </c>
      <c r="AP73" s="14" t="s">
        <v>37</v>
      </c>
      <c r="AQ73" s="20">
        <v>202512</v>
      </c>
      <c r="AR73" s="21" t="s">
        <v>153</v>
      </c>
      <c r="AS73" s="14" t="s">
        <v>336</v>
      </c>
      <c r="AT73" s="14" t="s">
        <v>336</v>
      </c>
      <c r="AU73" s="19" t="s">
        <v>199</v>
      </c>
      <c r="AV73" s="12" t="s">
        <v>301</v>
      </c>
      <c r="AW73"/>
    </row>
    <row r="74" spans="1:49" x14ac:dyDescent="0.3">
      <c r="A74" s="5" t="s">
        <v>151</v>
      </c>
      <c r="B74" s="5" t="s">
        <v>54</v>
      </c>
      <c r="C74" s="5" t="s">
        <v>425</v>
      </c>
      <c r="D74" s="5" t="s">
        <v>32</v>
      </c>
      <c r="E74" s="6" t="s">
        <v>33</v>
      </c>
      <c r="F74" s="5">
        <v>57</v>
      </c>
      <c r="G74" s="5" t="s">
        <v>426</v>
      </c>
      <c r="H74" s="5" t="s">
        <v>816</v>
      </c>
      <c r="I74" s="5" t="s">
        <v>817</v>
      </c>
      <c r="J74" s="5" t="s">
        <v>34</v>
      </c>
      <c r="K74" s="5" t="s">
        <v>60</v>
      </c>
      <c r="L74" s="5" t="s">
        <v>104</v>
      </c>
      <c r="M74" s="5" t="s">
        <v>39</v>
      </c>
      <c r="N74" s="5"/>
      <c r="O74" s="6"/>
      <c r="P74" s="5" t="s">
        <v>97</v>
      </c>
      <c r="Q74" s="5" t="s">
        <v>64</v>
      </c>
      <c r="R74" s="5" t="s">
        <v>145</v>
      </c>
      <c r="S74" s="5" t="s">
        <v>818</v>
      </c>
      <c r="T74" s="5" t="s">
        <v>819</v>
      </c>
      <c r="U74" s="5" t="s">
        <v>820</v>
      </c>
      <c r="V74" s="8">
        <v>73</v>
      </c>
      <c r="W74" s="9">
        <v>77357</v>
      </c>
      <c r="X74" s="5"/>
      <c r="Y74" s="10">
        <v>100</v>
      </c>
      <c r="Z74" s="10">
        <v>18.18</v>
      </c>
      <c r="AA74" s="10">
        <v>18.18</v>
      </c>
      <c r="AB74" s="10">
        <v>150301</v>
      </c>
      <c r="AC74" s="10">
        <v>7672</v>
      </c>
      <c r="AD74" s="10">
        <v>0</v>
      </c>
      <c r="AE74" s="11">
        <v>157973</v>
      </c>
      <c r="AF74" s="12" t="s">
        <v>62</v>
      </c>
      <c r="AG74" s="14" t="s">
        <v>233</v>
      </c>
      <c r="AH74" s="14" t="s">
        <v>65</v>
      </c>
      <c r="AI74" s="14" t="s">
        <v>36</v>
      </c>
      <c r="AJ74" s="14">
        <v>80000</v>
      </c>
      <c r="AK74" s="14">
        <v>80000</v>
      </c>
      <c r="AL74" s="13" t="s">
        <v>124</v>
      </c>
      <c r="AM74" s="13" t="s">
        <v>124</v>
      </c>
      <c r="AN74" s="14" t="s">
        <v>222</v>
      </c>
      <c r="AO74" s="14" t="s">
        <v>223</v>
      </c>
      <c r="AP74" s="14" t="s">
        <v>37</v>
      </c>
      <c r="AQ74" s="20">
        <v>202512</v>
      </c>
      <c r="AR74" s="21" t="s">
        <v>153</v>
      </c>
      <c r="AS74" s="14" t="s">
        <v>336</v>
      </c>
      <c r="AT74" s="14" t="s">
        <v>336</v>
      </c>
      <c r="AU74" s="19" t="s">
        <v>199</v>
      </c>
      <c r="AV74" s="12" t="s">
        <v>301</v>
      </c>
      <c r="AW74"/>
    </row>
    <row r="75" spans="1:49" x14ac:dyDescent="0.3">
      <c r="A75" s="5" t="s">
        <v>151</v>
      </c>
      <c r="B75" s="5" t="s">
        <v>54</v>
      </c>
      <c r="C75" s="5" t="s">
        <v>612</v>
      </c>
      <c r="D75" s="5" t="s">
        <v>32</v>
      </c>
      <c r="E75" s="6" t="s">
        <v>33</v>
      </c>
      <c r="F75" s="5">
        <v>58</v>
      </c>
      <c r="G75" s="5" t="s">
        <v>426</v>
      </c>
      <c r="H75" s="5" t="s">
        <v>821</v>
      </c>
      <c r="I75" s="5" t="s">
        <v>822</v>
      </c>
      <c r="J75" s="5" t="s">
        <v>34</v>
      </c>
      <c r="K75" s="5" t="s">
        <v>60</v>
      </c>
      <c r="L75" s="5" t="s">
        <v>221</v>
      </c>
      <c r="M75" s="5" t="s">
        <v>39</v>
      </c>
      <c r="N75" s="5"/>
      <c r="O75" s="6"/>
      <c r="P75" s="5" t="s">
        <v>97</v>
      </c>
      <c r="Q75" s="5" t="s">
        <v>64</v>
      </c>
      <c r="R75" s="5" t="s">
        <v>145</v>
      </c>
      <c r="S75" s="5" t="s">
        <v>346</v>
      </c>
      <c r="T75" s="5" t="s">
        <v>823</v>
      </c>
      <c r="U75" s="5" t="s">
        <v>824</v>
      </c>
      <c r="V75" s="8">
        <v>1</v>
      </c>
      <c r="W75" s="9">
        <v>910</v>
      </c>
      <c r="X75" s="5"/>
      <c r="Y75" s="10">
        <v>100</v>
      </c>
      <c r="Z75" s="10">
        <v>18.18</v>
      </c>
      <c r="AA75" s="10">
        <v>18.18</v>
      </c>
      <c r="AB75" s="10">
        <v>96905</v>
      </c>
      <c r="AC75" s="10">
        <v>15453</v>
      </c>
      <c r="AD75" s="10">
        <v>0</v>
      </c>
      <c r="AE75" s="11">
        <v>112358</v>
      </c>
      <c r="AF75" s="12" t="s">
        <v>62</v>
      </c>
      <c r="AG75" s="14" t="s">
        <v>363</v>
      </c>
      <c r="AH75" s="14" t="s">
        <v>65</v>
      </c>
      <c r="AI75" s="14" t="s">
        <v>36</v>
      </c>
      <c r="AJ75" s="14">
        <v>10000</v>
      </c>
      <c r="AK75" s="14">
        <v>5000</v>
      </c>
      <c r="AL75" s="13">
        <v>6</v>
      </c>
      <c r="AM75" s="13">
        <v>3</v>
      </c>
      <c r="AN75" s="14" t="s">
        <v>105</v>
      </c>
      <c r="AO75" s="14" t="s">
        <v>106</v>
      </c>
      <c r="AP75" s="14" t="s">
        <v>37</v>
      </c>
      <c r="AQ75" s="20">
        <v>202512</v>
      </c>
      <c r="AR75" s="21" t="s">
        <v>153</v>
      </c>
      <c r="AS75" s="14" t="s">
        <v>336</v>
      </c>
      <c r="AT75" s="14" t="s">
        <v>336</v>
      </c>
      <c r="AU75" s="19" t="s">
        <v>199</v>
      </c>
      <c r="AV75" s="12" t="s">
        <v>301</v>
      </c>
      <c r="AW75"/>
    </row>
    <row r="76" spans="1:49" x14ac:dyDescent="0.3">
      <c r="A76" s="5" t="s">
        <v>151</v>
      </c>
      <c r="B76" s="5" t="s">
        <v>54</v>
      </c>
      <c r="C76" s="5" t="s">
        <v>612</v>
      </c>
      <c r="D76" s="5" t="s">
        <v>32</v>
      </c>
      <c r="E76" s="6" t="s">
        <v>33</v>
      </c>
      <c r="F76" s="5">
        <v>59</v>
      </c>
      <c r="G76" s="5" t="s">
        <v>426</v>
      </c>
      <c r="H76" s="5" t="s">
        <v>825</v>
      </c>
      <c r="I76" s="5" t="s">
        <v>826</v>
      </c>
      <c r="J76" s="5" t="s">
        <v>34</v>
      </c>
      <c r="K76" s="5" t="s">
        <v>99</v>
      </c>
      <c r="L76" s="5" t="s">
        <v>227</v>
      </c>
      <c r="M76" s="5" t="s">
        <v>39</v>
      </c>
      <c r="N76" s="5"/>
      <c r="O76" s="6"/>
      <c r="P76" s="5" t="s">
        <v>228</v>
      </c>
      <c r="Q76" s="5" t="s">
        <v>64</v>
      </c>
      <c r="R76" s="5" t="s">
        <v>145</v>
      </c>
      <c r="S76" s="5" t="s">
        <v>827</v>
      </c>
      <c r="T76" s="5" t="s">
        <v>416</v>
      </c>
      <c r="U76" s="5" t="s">
        <v>828</v>
      </c>
      <c r="V76" s="8">
        <v>33</v>
      </c>
      <c r="W76" s="9">
        <v>32939</v>
      </c>
      <c r="X76" s="5"/>
      <c r="Y76" s="10">
        <v>100</v>
      </c>
      <c r="Z76" s="10">
        <v>18.18</v>
      </c>
      <c r="AA76" s="10">
        <v>18.18</v>
      </c>
      <c r="AB76" s="10">
        <v>234952</v>
      </c>
      <c r="AC76" s="10">
        <v>92353</v>
      </c>
      <c r="AD76" s="10">
        <v>0</v>
      </c>
      <c r="AE76" s="11">
        <v>327305</v>
      </c>
      <c r="AF76" s="12" t="s">
        <v>101</v>
      </c>
      <c r="AG76" s="14" t="s">
        <v>215</v>
      </c>
      <c r="AH76" s="14" t="s">
        <v>65</v>
      </c>
      <c r="AI76" s="14" t="s">
        <v>36</v>
      </c>
      <c r="AJ76" s="14">
        <v>40000</v>
      </c>
      <c r="AK76" s="14">
        <v>35000</v>
      </c>
      <c r="AL76" s="13">
        <v>36</v>
      </c>
      <c r="AM76" s="13">
        <v>36</v>
      </c>
      <c r="AN76" s="14" t="s">
        <v>66</v>
      </c>
      <c r="AO76" s="14" t="s">
        <v>67</v>
      </c>
      <c r="AP76" s="14" t="s">
        <v>37</v>
      </c>
      <c r="AQ76" s="20">
        <v>202512</v>
      </c>
      <c r="AR76" s="21" t="s">
        <v>153</v>
      </c>
      <c r="AS76" s="14" t="s">
        <v>336</v>
      </c>
      <c r="AT76" s="14" t="s">
        <v>336</v>
      </c>
      <c r="AU76" s="19" t="s">
        <v>199</v>
      </c>
      <c r="AV76" s="12" t="s">
        <v>301</v>
      </c>
      <c r="AW76"/>
    </row>
    <row r="77" spans="1:49" x14ac:dyDescent="0.3">
      <c r="A77" s="5" t="s">
        <v>151</v>
      </c>
      <c r="B77" s="5" t="s">
        <v>54</v>
      </c>
      <c r="C77" s="5" t="s">
        <v>612</v>
      </c>
      <c r="D77" s="5" t="s">
        <v>32</v>
      </c>
      <c r="E77" s="6" t="s">
        <v>33</v>
      </c>
      <c r="F77" s="5">
        <v>60</v>
      </c>
      <c r="G77" s="5" t="s">
        <v>426</v>
      </c>
      <c r="H77" s="5" t="s">
        <v>829</v>
      </c>
      <c r="I77" s="5" t="s">
        <v>830</v>
      </c>
      <c r="J77" s="5" t="s">
        <v>34</v>
      </c>
      <c r="K77" s="5" t="s">
        <v>99</v>
      </c>
      <c r="L77" s="5" t="s">
        <v>227</v>
      </c>
      <c r="M77" s="5" t="s">
        <v>39</v>
      </c>
      <c r="N77" s="5"/>
      <c r="O77" s="6"/>
      <c r="P77" s="5" t="s">
        <v>228</v>
      </c>
      <c r="Q77" s="5" t="s">
        <v>64</v>
      </c>
      <c r="R77" s="5" t="s">
        <v>145</v>
      </c>
      <c r="S77" s="5" t="s">
        <v>831</v>
      </c>
      <c r="T77" s="5" t="s">
        <v>421</v>
      </c>
      <c r="U77" s="5" t="s">
        <v>832</v>
      </c>
      <c r="V77" s="8">
        <v>17</v>
      </c>
      <c r="W77" s="9">
        <v>32100</v>
      </c>
      <c r="X77" s="5"/>
      <c r="Y77" s="10">
        <v>100</v>
      </c>
      <c r="Z77" s="10">
        <v>18.18</v>
      </c>
      <c r="AA77" s="10">
        <v>18.18</v>
      </c>
      <c r="AB77" s="10">
        <v>261403</v>
      </c>
      <c r="AC77" s="10">
        <v>26380</v>
      </c>
      <c r="AD77" s="10">
        <v>0</v>
      </c>
      <c r="AE77" s="11">
        <v>287783</v>
      </c>
      <c r="AF77" s="12" t="s">
        <v>101</v>
      </c>
      <c r="AG77" s="14" t="s">
        <v>178</v>
      </c>
      <c r="AH77" s="14" t="s">
        <v>65</v>
      </c>
      <c r="AI77" s="14" t="s">
        <v>36</v>
      </c>
      <c r="AJ77" s="14">
        <v>40000</v>
      </c>
      <c r="AK77" s="14">
        <v>35000</v>
      </c>
      <c r="AL77" s="13">
        <v>18</v>
      </c>
      <c r="AM77" s="13">
        <v>18</v>
      </c>
      <c r="AN77" s="14" t="s">
        <v>833</v>
      </c>
      <c r="AO77" s="14" t="s">
        <v>834</v>
      </c>
      <c r="AP77" s="14" t="s">
        <v>37</v>
      </c>
      <c r="AQ77" s="20">
        <v>202512</v>
      </c>
      <c r="AR77" s="21" t="s">
        <v>153</v>
      </c>
      <c r="AS77" s="14" t="s">
        <v>336</v>
      </c>
      <c r="AT77" s="14" t="s">
        <v>336</v>
      </c>
      <c r="AU77" s="19" t="s">
        <v>199</v>
      </c>
      <c r="AV77" s="12" t="s">
        <v>301</v>
      </c>
      <c r="AW77"/>
    </row>
    <row r="78" spans="1:49" x14ac:dyDescent="0.3">
      <c r="A78" s="5" t="s">
        <v>151</v>
      </c>
      <c r="B78" s="5" t="s">
        <v>54</v>
      </c>
      <c r="C78" s="5" t="s">
        <v>612</v>
      </c>
      <c r="D78" s="5" t="s">
        <v>32</v>
      </c>
      <c r="E78" s="6" t="s">
        <v>33</v>
      </c>
      <c r="F78" s="5">
        <v>61</v>
      </c>
      <c r="G78" s="5" t="s">
        <v>426</v>
      </c>
      <c r="H78" s="5" t="s">
        <v>835</v>
      </c>
      <c r="I78" s="5" t="s">
        <v>836</v>
      </c>
      <c r="J78" s="5" t="s">
        <v>34</v>
      </c>
      <c r="K78" s="5" t="s">
        <v>99</v>
      </c>
      <c r="L78" s="5" t="s">
        <v>227</v>
      </c>
      <c r="M78" s="5" t="s">
        <v>39</v>
      </c>
      <c r="N78" s="5"/>
      <c r="O78" s="6"/>
      <c r="P78" s="5" t="s">
        <v>228</v>
      </c>
      <c r="Q78" s="5" t="s">
        <v>64</v>
      </c>
      <c r="R78" s="5" t="s">
        <v>145</v>
      </c>
      <c r="S78" s="5" t="s">
        <v>837</v>
      </c>
      <c r="T78" s="5" t="s">
        <v>838</v>
      </c>
      <c r="U78" s="5" t="s">
        <v>839</v>
      </c>
      <c r="V78" s="8">
        <v>17</v>
      </c>
      <c r="W78" s="9">
        <v>23516</v>
      </c>
      <c r="X78" s="5"/>
      <c r="Y78" s="10">
        <v>100</v>
      </c>
      <c r="Z78" s="10">
        <v>18.18</v>
      </c>
      <c r="AA78" s="10">
        <v>18.18</v>
      </c>
      <c r="AB78" s="10">
        <v>215144</v>
      </c>
      <c r="AC78" s="10">
        <v>25482</v>
      </c>
      <c r="AD78" s="10">
        <v>0</v>
      </c>
      <c r="AE78" s="11">
        <v>240626</v>
      </c>
      <c r="AF78" s="12" t="s">
        <v>101</v>
      </c>
      <c r="AG78" s="14" t="s">
        <v>212</v>
      </c>
      <c r="AH78" s="14" t="s">
        <v>65</v>
      </c>
      <c r="AI78" s="14" t="s">
        <v>36</v>
      </c>
      <c r="AJ78" s="14">
        <v>30000</v>
      </c>
      <c r="AK78" s="14">
        <v>25000</v>
      </c>
      <c r="AL78" s="13">
        <v>18</v>
      </c>
      <c r="AM78" s="13">
        <v>18</v>
      </c>
      <c r="AN78" s="14" t="s">
        <v>222</v>
      </c>
      <c r="AO78" s="14" t="s">
        <v>223</v>
      </c>
      <c r="AP78" s="14" t="s">
        <v>37</v>
      </c>
      <c r="AQ78" s="20">
        <v>202512</v>
      </c>
      <c r="AR78" s="21" t="s">
        <v>153</v>
      </c>
      <c r="AS78" s="14" t="s">
        <v>336</v>
      </c>
      <c r="AT78" s="14" t="s">
        <v>336</v>
      </c>
      <c r="AU78" s="19" t="s">
        <v>199</v>
      </c>
      <c r="AV78" s="12" t="s">
        <v>301</v>
      </c>
      <c r="AW78"/>
    </row>
    <row r="79" spans="1:49" x14ac:dyDescent="0.3">
      <c r="A79" s="5" t="s">
        <v>151</v>
      </c>
      <c r="B79" s="5" t="s">
        <v>54</v>
      </c>
      <c r="C79" s="5" t="s">
        <v>612</v>
      </c>
      <c r="D79" s="5" t="s">
        <v>32</v>
      </c>
      <c r="E79" s="6" t="s">
        <v>33</v>
      </c>
      <c r="F79" s="5">
        <v>62</v>
      </c>
      <c r="G79" s="5" t="s">
        <v>426</v>
      </c>
      <c r="H79" s="5" t="s">
        <v>840</v>
      </c>
      <c r="I79" s="5" t="s">
        <v>841</v>
      </c>
      <c r="J79" s="5" t="s">
        <v>34</v>
      </c>
      <c r="K79" s="5" t="s">
        <v>99</v>
      </c>
      <c r="L79" s="5" t="s">
        <v>227</v>
      </c>
      <c r="M79" s="5" t="s">
        <v>39</v>
      </c>
      <c r="N79" s="5"/>
      <c r="O79" s="6"/>
      <c r="P79" s="5" t="s">
        <v>228</v>
      </c>
      <c r="Q79" s="5" t="s">
        <v>64</v>
      </c>
      <c r="R79" s="5" t="s">
        <v>145</v>
      </c>
      <c r="S79" s="5" t="s">
        <v>842</v>
      </c>
      <c r="T79" s="5" t="s">
        <v>807</v>
      </c>
      <c r="U79" s="5" t="s">
        <v>839</v>
      </c>
      <c r="V79" s="8">
        <v>18</v>
      </c>
      <c r="W79" s="9">
        <v>25400</v>
      </c>
      <c r="X79" s="5"/>
      <c r="Y79" s="10">
        <v>100</v>
      </c>
      <c r="Z79" s="10">
        <v>18.18</v>
      </c>
      <c r="AA79" s="10">
        <v>18.18</v>
      </c>
      <c r="AB79" s="10">
        <v>214745</v>
      </c>
      <c r="AC79" s="10">
        <v>42291</v>
      </c>
      <c r="AD79" s="10">
        <v>0</v>
      </c>
      <c r="AE79" s="11">
        <v>257036</v>
      </c>
      <c r="AF79" s="12" t="s">
        <v>101</v>
      </c>
      <c r="AG79" s="14" t="s">
        <v>212</v>
      </c>
      <c r="AH79" s="14" t="s">
        <v>65</v>
      </c>
      <c r="AI79" s="14" t="s">
        <v>36</v>
      </c>
      <c r="AJ79" s="14">
        <v>30000</v>
      </c>
      <c r="AK79" s="14">
        <v>30000</v>
      </c>
      <c r="AL79" s="13">
        <v>24</v>
      </c>
      <c r="AM79" s="13">
        <v>21</v>
      </c>
      <c r="AN79" s="14" t="s">
        <v>222</v>
      </c>
      <c r="AO79" s="14" t="s">
        <v>223</v>
      </c>
      <c r="AP79" s="14" t="s">
        <v>37</v>
      </c>
      <c r="AQ79" s="20">
        <v>202512</v>
      </c>
      <c r="AR79" s="21" t="s">
        <v>153</v>
      </c>
      <c r="AS79" s="14" t="s">
        <v>336</v>
      </c>
      <c r="AT79" s="14" t="s">
        <v>336</v>
      </c>
      <c r="AU79" s="19" t="s">
        <v>199</v>
      </c>
      <c r="AV79" s="12" t="s">
        <v>301</v>
      </c>
      <c r="AW79"/>
    </row>
    <row r="80" spans="1:49" x14ac:dyDescent="0.3">
      <c r="A80" s="5" t="s">
        <v>151</v>
      </c>
      <c r="B80" s="5" t="s">
        <v>54</v>
      </c>
      <c r="C80" s="5" t="s">
        <v>612</v>
      </c>
      <c r="D80" s="5" t="s">
        <v>32</v>
      </c>
      <c r="E80" s="6" t="s">
        <v>33</v>
      </c>
      <c r="F80" s="5">
        <v>63</v>
      </c>
      <c r="G80" s="5" t="s">
        <v>426</v>
      </c>
      <c r="H80" s="5" t="s">
        <v>843</v>
      </c>
      <c r="I80" s="5" t="s">
        <v>844</v>
      </c>
      <c r="J80" s="5" t="s">
        <v>34</v>
      </c>
      <c r="K80" s="5" t="s">
        <v>99</v>
      </c>
      <c r="L80" s="5" t="s">
        <v>229</v>
      </c>
      <c r="M80" s="5" t="s">
        <v>39</v>
      </c>
      <c r="N80" s="5"/>
      <c r="O80" s="6"/>
      <c r="P80" s="5" t="s">
        <v>97</v>
      </c>
      <c r="Q80" s="5" t="s">
        <v>64</v>
      </c>
      <c r="R80" s="5" t="s">
        <v>146</v>
      </c>
      <c r="S80" s="5" t="s">
        <v>845</v>
      </c>
      <c r="T80" s="5" t="s">
        <v>846</v>
      </c>
      <c r="U80" s="5" t="s">
        <v>847</v>
      </c>
      <c r="V80" s="8">
        <v>53</v>
      </c>
      <c r="W80" s="9">
        <v>64146</v>
      </c>
      <c r="X80" s="5"/>
      <c r="Y80" s="10">
        <v>100</v>
      </c>
      <c r="Z80" s="10">
        <v>18.18</v>
      </c>
      <c r="AA80" s="10">
        <v>18.18</v>
      </c>
      <c r="AB80" s="10">
        <v>39660</v>
      </c>
      <c r="AC80" s="10">
        <v>3462</v>
      </c>
      <c r="AD80" s="10">
        <v>0</v>
      </c>
      <c r="AE80" s="11">
        <v>43122</v>
      </c>
      <c r="AF80" s="12" t="s">
        <v>101</v>
      </c>
      <c r="AG80" s="14" t="s">
        <v>150</v>
      </c>
      <c r="AH80" s="14" t="s">
        <v>65</v>
      </c>
      <c r="AI80" s="14" t="s">
        <v>36</v>
      </c>
      <c r="AJ80" s="14">
        <v>70000</v>
      </c>
      <c r="AK80" s="14">
        <v>65000</v>
      </c>
      <c r="AL80" s="13">
        <v>54</v>
      </c>
      <c r="AM80" s="13">
        <v>54</v>
      </c>
      <c r="AN80" s="14" t="s">
        <v>225</v>
      </c>
      <c r="AO80" s="14" t="s">
        <v>226</v>
      </c>
      <c r="AP80" s="14" t="s">
        <v>37</v>
      </c>
      <c r="AQ80" s="20">
        <v>202512</v>
      </c>
      <c r="AR80" s="21" t="s">
        <v>153</v>
      </c>
      <c r="AS80" s="14" t="s">
        <v>336</v>
      </c>
      <c r="AT80" s="14" t="s">
        <v>336</v>
      </c>
      <c r="AU80" s="19" t="s">
        <v>199</v>
      </c>
      <c r="AV80" s="12" t="s">
        <v>301</v>
      </c>
      <c r="AW80"/>
    </row>
    <row r="81" spans="1:49" x14ac:dyDescent="0.3">
      <c r="A81" s="5" t="s">
        <v>151</v>
      </c>
      <c r="B81" s="5" t="s">
        <v>54</v>
      </c>
      <c r="C81" s="5" t="s">
        <v>612</v>
      </c>
      <c r="D81" s="5" t="s">
        <v>32</v>
      </c>
      <c r="E81" s="6" t="s">
        <v>33</v>
      </c>
      <c r="F81" s="5">
        <v>64</v>
      </c>
      <c r="G81" s="5" t="s">
        <v>426</v>
      </c>
      <c r="H81" s="5" t="s">
        <v>848</v>
      </c>
      <c r="I81" s="5" t="s">
        <v>849</v>
      </c>
      <c r="J81" s="5" t="s">
        <v>34</v>
      </c>
      <c r="K81" s="5" t="s">
        <v>99</v>
      </c>
      <c r="L81" s="5" t="s">
        <v>229</v>
      </c>
      <c r="M81" s="5" t="s">
        <v>39</v>
      </c>
      <c r="N81" s="5"/>
      <c r="O81" s="6"/>
      <c r="P81" s="5" t="s">
        <v>97</v>
      </c>
      <c r="Q81" s="5" t="s">
        <v>64</v>
      </c>
      <c r="R81" s="5" t="s">
        <v>146</v>
      </c>
      <c r="S81" s="5" t="s">
        <v>850</v>
      </c>
      <c r="T81" s="5" t="s">
        <v>851</v>
      </c>
      <c r="U81" s="5" t="s">
        <v>852</v>
      </c>
      <c r="V81" s="8">
        <v>42</v>
      </c>
      <c r="W81" s="9">
        <v>99626</v>
      </c>
      <c r="X81" s="5"/>
      <c r="Y81" s="10">
        <v>100</v>
      </c>
      <c r="Z81" s="10">
        <v>18.18</v>
      </c>
      <c r="AA81" s="10">
        <v>18.18</v>
      </c>
      <c r="AB81" s="10">
        <v>39660</v>
      </c>
      <c r="AC81" s="10">
        <v>3462</v>
      </c>
      <c r="AD81" s="10">
        <v>0</v>
      </c>
      <c r="AE81" s="11">
        <v>43122</v>
      </c>
      <c r="AF81" s="12" t="s">
        <v>101</v>
      </c>
      <c r="AG81" s="14" t="s">
        <v>403</v>
      </c>
      <c r="AH81" s="14" t="s">
        <v>65</v>
      </c>
      <c r="AI81" s="14" t="s">
        <v>36</v>
      </c>
      <c r="AJ81" s="14">
        <v>100000</v>
      </c>
      <c r="AK81" s="14">
        <v>100000</v>
      </c>
      <c r="AL81" s="13">
        <v>48</v>
      </c>
      <c r="AM81" s="13">
        <v>45</v>
      </c>
      <c r="AN81" s="14" t="s">
        <v>225</v>
      </c>
      <c r="AO81" s="14" t="s">
        <v>226</v>
      </c>
      <c r="AP81" s="14" t="s">
        <v>37</v>
      </c>
      <c r="AQ81" s="20">
        <v>202512</v>
      </c>
      <c r="AR81" s="21" t="s">
        <v>153</v>
      </c>
      <c r="AS81" s="14" t="s">
        <v>336</v>
      </c>
      <c r="AT81" s="14" t="s">
        <v>336</v>
      </c>
      <c r="AU81" s="19" t="s">
        <v>199</v>
      </c>
      <c r="AV81" s="12" t="s">
        <v>301</v>
      </c>
      <c r="AW81"/>
    </row>
    <row r="82" spans="1:49" x14ac:dyDescent="0.3">
      <c r="A82" s="5" t="s">
        <v>151</v>
      </c>
      <c r="B82" s="5" t="s">
        <v>54</v>
      </c>
      <c r="C82" s="5" t="s">
        <v>612</v>
      </c>
      <c r="D82" s="5" t="s">
        <v>32</v>
      </c>
      <c r="E82" s="6" t="s">
        <v>33</v>
      </c>
      <c r="F82" s="5">
        <v>65</v>
      </c>
      <c r="G82" s="5" t="s">
        <v>426</v>
      </c>
      <c r="H82" s="5" t="s">
        <v>853</v>
      </c>
      <c r="I82" s="5" t="s">
        <v>854</v>
      </c>
      <c r="J82" s="5" t="s">
        <v>34</v>
      </c>
      <c r="K82" s="5" t="s">
        <v>99</v>
      </c>
      <c r="L82" s="5" t="s">
        <v>229</v>
      </c>
      <c r="M82" s="5" t="s">
        <v>39</v>
      </c>
      <c r="N82" s="5"/>
      <c r="O82" s="6"/>
      <c r="P82" s="5" t="s">
        <v>97</v>
      </c>
      <c r="Q82" s="5" t="s">
        <v>64</v>
      </c>
      <c r="R82" s="5" t="s">
        <v>145</v>
      </c>
      <c r="S82" s="5" t="s">
        <v>855</v>
      </c>
      <c r="T82" s="5" t="s">
        <v>856</v>
      </c>
      <c r="U82" s="5" t="s">
        <v>857</v>
      </c>
      <c r="V82" s="8">
        <v>36</v>
      </c>
      <c r="W82" s="9">
        <v>55292</v>
      </c>
      <c r="X82" s="5"/>
      <c r="Y82" s="10">
        <v>100</v>
      </c>
      <c r="Z82" s="10">
        <v>18.18</v>
      </c>
      <c r="AA82" s="10">
        <v>18.18</v>
      </c>
      <c r="AB82" s="10">
        <v>39660</v>
      </c>
      <c r="AC82" s="10">
        <v>3462</v>
      </c>
      <c r="AD82" s="10">
        <v>0</v>
      </c>
      <c r="AE82" s="11">
        <v>43122</v>
      </c>
      <c r="AF82" s="12" t="s">
        <v>101</v>
      </c>
      <c r="AG82" s="14" t="s">
        <v>139</v>
      </c>
      <c r="AH82" s="14" t="s">
        <v>65</v>
      </c>
      <c r="AI82" s="14" t="s">
        <v>36</v>
      </c>
      <c r="AJ82" s="14">
        <v>60000</v>
      </c>
      <c r="AK82" s="14">
        <v>60000</v>
      </c>
      <c r="AL82" s="13">
        <v>42</v>
      </c>
      <c r="AM82" s="13">
        <v>39</v>
      </c>
      <c r="AN82" s="14" t="s">
        <v>225</v>
      </c>
      <c r="AO82" s="14" t="s">
        <v>226</v>
      </c>
      <c r="AP82" s="14" t="s">
        <v>37</v>
      </c>
      <c r="AQ82" s="20">
        <v>202512</v>
      </c>
      <c r="AR82" s="21" t="s">
        <v>153</v>
      </c>
      <c r="AS82" s="14" t="s">
        <v>336</v>
      </c>
      <c r="AT82" s="14" t="s">
        <v>336</v>
      </c>
      <c r="AU82" s="19" t="s">
        <v>199</v>
      </c>
      <c r="AV82" s="12" t="s">
        <v>301</v>
      </c>
      <c r="AW82"/>
    </row>
    <row r="83" spans="1:49" x14ac:dyDescent="0.3">
      <c r="A83" s="5" t="s">
        <v>151</v>
      </c>
      <c r="B83" s="5" t="s">
        <v>54</v>
      </c>
      <c r="C83" s="5" t="s">
        <v>425</v>
      </c>
      <c r="D83" s="5" t="s">
        <v>32</v>
      </c>
      <c r="E83" s="6" t="s">
        <v>33</v>
      </c>
      <c r="F83" s="5">
        <v>284</v>
      </c>
      <c r="G83" s="5" t="s">
        <v>426</v>
      </c>
      <c r="H83" s="5" t="s">
        <v>858</v>
      </c>
      <c r="I83" s="5" t="s">
        <v>859</v>
      </c>
      <c r="J83" s="5" t="s">
        <v>34</v>
      </c>
      <c r="K83" s="5" t="s">
        <v>60</v>
      </c>
      <c r="L83" s="5" t="s">
        <v>860</v>
      </c>
      <c r="M83" s="5" t="s">
        <v>39</v>
      </c>
      <c r="N83" s="5"/>
      <c r="O83" s="6"/>
      <c r="P83" s="5" t="s">
        <v>861</v>
      </c>
      <c r="Q83" s="5" t="s">
        <v>64</v>
      </c>
      <c r="R83" s="5" t="s">
        <v>145</v>
      </c>
      <c r="S83" s="5" t="s">
        <v>862</v>
      </c>
      <c r="T83" s="5" t="s">
        <v>863</v>
      </c>
      <c r="U83" s="5" t="s">
        <v>864</v>
      </c>
      <c r="V83" s="8">
        <v>48</v>
      </c>
      <c r="W83" s="9">
        <v>26290</v>
      </c>
      <c r="X83" s="5"/>
      <c r="Y83" s="10">
        <v>100</v>
      </c>
      <c r="Z83" s="10">
        <v>18.18</v>
      </c>
      <c r="AA83" s="10">
        <v>18.18</v>
      </c>
      <c r="AB83" s="10">
        <v>287591</v>
      </c>
      <c r="AC83" s="10">
        <v>67481</v>
      </c>
      <c r="AD83" s="10">
        <v>0</v>
      </c>
      <c r="AE83" s="11">
        <v>355072</v>
      </c>
      <c r="AF83" s="12" t="s">
        <v>62</v>
      </c>
      <c r="AG83" s="14" t="s">
        <v>188</v>
      </c>
      <c r="AH83" s="14" t="s">
        <v>65</v>
      </c>
      <c r="AI83" s="14" t="s">
        <v>36</v>
      </c>
      <c r="AJ83" s="14">
        <v>30000</v>
      </c>
      <c r="AK83" s="14">
        <v>30000</v>
      </c>
      <c r="AL83" s="13">
        <v>54</v>
      </c>
      <c r="AM83" s="13">
        <v>51</v>
      </c>
      <c r="AN83" s="14" t="s">
        <v>66</v>
      </c>
      <c r="AO83" s="14" t="s">
        <v>67</v>
      </c>
      <c r="AP83" s="14" t="s">
        <v>37</v>
      </c>
      <c r="AQ83" s="20">
        <v>202512</v>
      </c>
      <c r="AR83" s="21" t="s">
        <v>153</v>
      </c>
      <c r="AS83" s="14" t="s">
        <v>336</v>
      </c>
      <c r="AT83" s="14" t="s">
        <v>336</v>
      </c>
      <c r="AU83" s="19" t="s">
        <v>199</v>
      </c>
      <c r="AV83" s="12" t="s">
        <v>301</v>
      </c>
      <c r="AW83"/>
    </row>
    <row r="84" spans="1:49" x14ac:dyDescent="0.3">
      <c r="A84" s="5" t="s">
        <v>151</v>
      </c>
      <c r="B84" s="5" t="s">
        <v>54</v>
      </c>
      <c r="C84" s="5" t="s">
        <v>425</v>
      </c>
      <c r="D84" s="5" t="s">
        <v>32</v>
      </c>
      <c r="E84" s="6" t="s">
        <v>33</v>
      </c>
      <c r="F84" s="5">
        <v>285</v>
      </c>
      <c r="G84" s="5" t="s">
        <v>426</v>
      </c>
      <c r="H84" s="5" t="s">
        <v>865</v>
      </c>
      <c r="I84" s="5" t="s">
        <v>866</v>
      </c>
      <c r="J84" s="5" t="s">
        <v>34</v>
      </c>
      <c r="K84" s="5" t="s">
        <v>60</v>
      </c>
      <c r="L84" s="5" t="s">
        <v>860</v>
      </c>
      <c r="M84" s="5" t="s">
        <v>39</v>
      </c>
      <c r="N84" s="5"/>
      <c r="O84" s="6"/>
      <c r="P84" s="5" t="s">
        <v>97</v>
      </c>
      <c r="Q84" s="5" t="s">
        <v>64</v>
      </c>
      <c r="R84" s="5" t="s">
        <v>145</v>
      </c>
      <c r="S84" s="5" t="s">
        <v>867</v>
      </c>
      <c r="T84" s="5" t="s">
        <v>868</v>
      </c>
      <c r="U84" s="5" t="s">
        <v>869</v>
      </c>
      <c r="V84" s="8">
        <v>35</v>
      </c>
      <c r="W84" s="9">
        <v>14685</v>
      </c>
      <c r="X84" s="5"/>
      <c r="Y84" s="10">
        <v>100</v>
      </c>
      <c r="Z84" s="10">
        <v>18.18</v>
      </c>
      <c r="AA84" s="10">
        <v>18.18</v>
      </c>
      <c r="AB84" s="10">
        <v>226770</v>
      </c>
      <c r="AC84" s="10">
        <v>45349</v>
      </c>
      <c r="AD84" s="10">
        <v>0</v>
      </c>
      <c r="AE84" s="11">
        <v>272119</v>
      </c>
      <c r="AF84" s="12" t="s">
        <v>62</v>
      </c>
      <c r="AG84" s="14" t="s">
        <v>141</v>
      </c>
      <c r="AH84" s="14" t="s">
        <v>65</v>
      </c>
      <c r="AI84" s="14" t="s">
        <v>36</v>
      </c>
      <c r="AJ84" s="14">
        <v>20000</v>
      </c>
      <c r="AK84" s="14">
        <v>15000</v>
      </c>
      <c r="AL84" s="13">
        <v>36</v>
      </c>
      <c r="AM84" s="13">
        <v>36</v>
      </c>
      <c r="AN84" s="14" t="s">
        <v>77</v>
      </c>
      <c r="AO84" s="14" t="s">
        <v>78</v>
      </c>
      <c r="AP84" s="14" t="s">
        <v>37</v>
      </c>
      <c r="AQ84" s="20">
        <v>202512</v>
      </c>
      <c r="AR84" s="21" t="s">
        <v>153</v>
      </c>
      <c r="AS84" s="14" t="s">
        <v>336</v>
      </c>
      <c r="AT84" s="14" t="s">
        <v>336</v>
      </c>
      <c r="AU84" s="19" t="s">
        <v>199</v>
      </c>
      <c r="AV84" s="12" t="s">
        <v>301</v>
      </c>
      <c r="AW84"/>
    </row>
    <row r="85" spans="1:49" x14ac:dyDescent="0.3">
      <c r="A85" s="5" t="s">
        <v>80</v>
      </c>
      <c r="B85" s="5" t="s">
        <v>54</v>
      </c>
      <c r="C85" s="5" t="s">
        <v>870</v>
      </c>
      <c r="D85" s="5" t="s">
        <v>81</v>
      </c>
      <c r="E85" s="6" t="s">
        <v>33</v>
      </c>
      <c r="F85" s="7">
        <v>1</v>
      </c>
      <c r="G85" s="5" t="s">
        <v>871</v>
      </c>
      <c r="H85" s="5" t="s">
        <v>872</v>
      </c>
      <c r="I85" s="5" t="s">
        <v>873</v>
      </c>
      <c r="J85" s="5" t="s">
        <v>34</v>
      </c>
      <c r="K85" s="5" t="s">
        <v>82</v>
      </c>
      <c r="L85" s="5" t="s">
        <v>69</v>
      </c>
      <c r="M85" s="5" t="s">
        <v>39</v>
      </c>
      <c r="N85" s="5" t="s">
        <v>56</v>
      </c>
      <c r="O85" s="6" t="s">
        <v>874</v>
      </c>
      <c r="P85" s="5" t="s">
        <v>130</v>
      </c>
      <c r="Q85" s="5" t="s">
        <v>64</v>
      </c>
      <c r="R85" s="5" t="s">
        <v>146</v>
      </c>
      <c r="S85" s="5" t="s">
        <v>875</v>
      </c>
      <c r="T85" s="5" t="s">
        <v>362</v>
      </c>
      <c r="U85" s="5" t="s">
        <v>876</v>
      </c>
      <c r="V85" s="8">
        <v>60</v>
      </c>
      <c r="W85" s="9">
        <v>91560</v>
      </c>
      <c r="X85" s="5" t="s">
        <v>35</v>
      </c>
      <c r="Y85" s="10">
        <v>100</v>
      </c>
      <c r="Z85" s="10">
        <v>19.8</v>
      </c>
      <c r="AA85" s="10">
        <v>19.8</v>
      </c>
      <c r="AB85" s="10">
        <v>222966</v>
      </c>
      <c r="AC85" s="10">
        <v>133246</v>
      </c>
      <c r="AD85" s="10">
        <v>0</v>
      </c>
      <c r="AE85" s="11">
        <v>356212</v>
      </c>
      <c r="AF85" s="12" t="s">
        <v>83</v>
      </c>
      <c r="AG85" s="14" t="s">
        <v>196</v>
      </c>
      <c r="AH85" s="14" t="s">
        <v>65</v>
      </c>
      <c r="AI85" s="14" t="s">
        <v>36</v>
      </c>
      <c r="AJ85" s="14">
        <v>100000</v>
      </c>
      <c r="AK85" s="14">
        <v>95000</v>
      </c>
      <c r="AL85" s="13" t="s">
        <v>124</v>
      </c>
      <c r="AM85" s="13" t="s">
        <v>124</v>
      </c>
      <c r="AN85" s="14" t="s">
        <v>58</v>
      </c>
      <c r="AO85" s="14" t="s">
        <v>59</v>
      </c>
      <c r="AP85" s="14" t="s">
        <v>37</v>
      </c>
      <c r="AQ85" s="20">
        <v>202601</v>
      </c>
      <c r="AR85" s="14" t="s">
        <v>153</v>
      </c>
      <c r="AS85" s="14" t="s">
        <v>165</v>
      </c>
      <c r="AT85" s="12" t="s">
        <v>165</v>
      </c>
      <c r="AU85" s="19" t="s">
        <v>877</v>
      </c>
      <c r="AV85" s="12" t="s">
        <v>878</v>
      </c>
      <c r="AW85"/>
    </row>
    <row r="86" spans="1:49" x14ac:dyDescent="0.3">
      <c r="A86" s="5" t="s">
        <v>80</v>
      </c>
      <c r="B86" s="5" t="s">
        <v>54</v>
      </c>
      <c r="C86" s="5" t="s">
        <v>870</v>
      </c>
      <c r="D86" s="5" t="s">
        <v>81</v>
      </c>
      <c r="E86" s="6" t="s">
        <v>33</v>
      </c>
      <c r="F86" s="7">
        <v>2</v>
      </c>
      <c r="G86" s="5" t="s">
        <v>871</v>
      </c>
      <c r="H86" s="5" t="s">
        <v>879</v>
      </c>
      <c r="I86" s="5" t="s">
        <v>880</v>
      </c>
      <c r="J86" s="5" t="s">
        <v>34</v>
      </c>
      <c r="K86" s="5" t="s">
        <v>241</v>
      </c>
      <c r="L86" s="5" t="s">
        <v>327</v>
      </c>
      <c r="M86" s="5" t="s">
        <v>39</v>
      </c>
      <c r="N86" s="5" t="s">
        <v>56</v>
      </c>
      <c r="O86" s="6" t="s">
        <v>881</v>
      </c>
      <c r="P86" s="5" t="s">
        <v>130</v>
      </c>
      <c r="Q86" s="5" t="s">
        <v>64</v>
      </c>
      <c r="R86" s="5" t="s">
        <v>145</v>
      </c>
      <c r="S86" s="5" t="s">
        <v>882</v>
      </c>
      <c r="T86" s="5" t="s">
        <v>367</v>
      </c>
      <c r="U86" s="5" t="s">
        <v>883</v>
      </c>
      <c r="V86" s="8">
        <v>52</v>
      </c>
      <c r="W86" s="9">
        <v>82182</v>
      </c>
      <c r="X86" s="5" t="s">
        <v>35</v>
      </c>
      <c r="Y86" s="10">
        <v>100</v>
      </c>
      <c r="Z86" s="10">
        <v>19.8</v>
      </c>
      <c r="AA86" s="10">
        <v>19.8</v>
      </c>
      <c r="AB86" s="10">
        <v>179156</v>
      </c>
      <c r="AC86" s="10">
        <v>101406</v>
      </c>
      <c r="AD86" s="10">
        <v>0</v>
      </c>
      <c r="AE86" s="11">
        <v>280562</v>
      </c>
      <c r="AF86" s="12" t="s">
        <v>242</v>
      </c>
      <c r="AG86" s="14" t="s">
        <v>211</v>
      </c>
      <c r="AH86" s="14" t="s">
        <v>65</v>
      </c>
      <c r="AI86" s="14" t="s">
        <v>36</v>
      </c>
      <c r="AJ86" s="14">
        <v>90000</v>
      </c>
      <c r="AK86" s="14">
        <v>85000</v>
      </c>
      <c r="AL86" s="13">
        <v>54</v>
      </c>
      <c r="AM86" s="13">
        <v>54</v>
      </c>
      <c r="AN86" s="14" t="s">
        <v>58</v>
      </c>
      <c r="AO86" s="14" t="s">
        <v>59</v>
      </c>
      <c r="AP86" s="14" t="s">
        <v>37</v>
      </c>
      <c r="AQ86" s="20">
        <v>202601</v>
      </c>
      <c r="AR86" s="14" t="s">
        <v>153</v>
      </c>
      <c r="AS86" s="14" t="s">
        <v>165</v>
      </c>
      <c r="AT86" s="12" t="s">
        <v>165</v>
      </c>
      <c r="AU86" s="19" t="s">
        <v>877</v>
      </c>
      <c r="AV86" s="12" t="s">
        <v>878</v>
      </c>
      <c r="AW86"/>
    </row>
    <row r="87" spans="1:49" x14ac:dyDescent="0.3">
      <c r="A87" s="5" t="s">
        <v>80</v>
      </c>
      <c r="B87" s="5" t="s">
        <v>54</v>
      </c>
      <c r="C87" s="5" t="s">
        <v>870</v>
      </c>
      <c r="D87" s="5" t="s">
        <v>81</v>
      </c>
      <c r="E87" s="6" t="s">
        <v>33</v>
      </c>
      <c r="F87" s="7">
        <v>3</v>
      </c>
      <c r="G87" s="5" t="s">
        <v>871</v>
      </c>
      <c r="H87" s="5" t="s">
        <v>884</v>
      </c>
      <c r="I87" s="5" t="s">
        <v>885</v>
      </c>
      <c r="J87" s="5" t="s">
        <v>34</v>
      </c>
      <c r="K87" s="5" t="s">
        <v>38</v>
      </c>
      <c r="L87" s="5" t="s">
        <v>91</v>
      </c>
      <c r="M87" s="5" t="s">
        <v>85</v>
      </c>
      <c r="N87" s="5" t="s">
        <v>56</v>
      </c>
      <c r="O87" s="6" t="s">
        <v>886</v>
      </c>
      <c r="P87" s="5" t="s">
        <v>244</v>
      </c>
      <c r="Q87" s="5" t="s">
        <v>64</v>
      </c>
      <c r="R87" s="5" t="s">
        <v>40</v>
      </c>
      <c r="S87" s="5" t="s">
        <v>887</v>
      </c>
      <c r="T87" s="5" t="s">
        <v>362</v>
      </c>
      <c r="U87" s="5" t="s">
        <v>888</v>
      </c>
      <c r="V87" s="8">
        <v>56</v>
      </c>
      <c r="W87" s="9">
        <v>62840</v>
      </c>
      <c r="X87" s="5" t="s">
        <v>35</v>
      </c>
      <c r="Y87" s="10">
        <v>100</v>
      </c>
      <c r="Z87" s="10">
        <v>19.8</v>
      </c>
      <c r="AA87" s="10">
        <v>19.8</v>
      </c>
      <c r="AB87" s="10">
        <v>208080</v>
      </c>
      <c r="AC87" s="10">
        <v>255557</v>
      </c>
      <c r="AD87" s="10">
        <v>0</v>
      </c>
      <c r="AE87" s="11">
        <v>463637</v>
      </c>
      <c r="AF87" s="12" t="s">
        <v>41</v>
      </c>
      <c r="AG87" s="14" t="s">
        <v>889</v>
      </c>
      <c r="AH87" s="14" t="s">
        <v>65</v>
      </c>
      <c r="AI87" s="14" t="s">
        <v>36</v>
      </c>
      <c r="AJ87" s="14">
        <v>70000</v>
      </c>
      <c r="AK87" s="14">
        <v>65000</v>
      </c>
      <c r="AL87" s="13">
        <v>60</v>
      </c>
      <c r="AM87" s="13">
        <v>57</v>
      </c>
      <c r="AN87" s="14" t="s">
        <v>58</v>
      </c>
      <c r="AO87" s="14" t="s">
        <v>59</v>
      </c>
      <c r="AP87" s="14" t="s">
        <v>37</v>
      </c>
      <c r="AQ87" s="20">
        <v>202601</v>
      </c>
      <c r="AR87" s="14" t="s">
        <v>153</v>
      </c>
      <c r="AS87" s="19" t="s">
        <v>168</v>
      </c>
      <c r="AT87" s="19" t="s">
        <v>168</v>
      </c>
      <c r="AU87" s="19" t="s">
        <v>877</v>
      </c>
      <c r="AV87" s="12" t="s">
        <v>878</v>
      </c>
      <c r="AW87"/>
    </row>
    <row r="88" spans="1:49" x14ac:dyDescent="0.3">
      <c r="A88" s="5" t="s">
        <v>80</v>
      </c>
      <c r="B88" s="5" t="s">
        <v>54</v>
      </c>
      <c r="C88" s="5" t="s">
        <v>870</v>
      </c>
      <c r="D88" s="5" t="s">
        <v>81</v>
      </c>
      <c r="E88" s="6" t="s">
        <v>33</v>
      </c>
      <c r="F88" s="7">
        <v>4</v>
      </c>
      <c r="G88" s="5" t="s">
        <v>871</v>
      </c>
      <c r="H88" s="5" t="s">
        <v>890</v>
      </c>
      <c r="I88" s="5" t="s">
        <v>891</v>
      </c>
      <c r="J88" s="5" t="s">
        <v>34</v>
      </c>
      <c r="K88" s="5" t="s">
        <v>82</v>
      </c>
      <c r="L88" s="5" t="s">
        <v>163</v>
      </c>
      <c r="M88" s="5" t="s">
        <v>85</v>
      </c>
      <c r="N88" s="5" t="s">
        <v>56</v>
      </c>
      <c r="O88" s="6" t="s">
        <v>892</v>
      </c>
      <c r="P88" s="5" t="s">
        <v>245</v>
      </c>
      <c r="Q88" s="5" t="s">
        <v>64</v>
      </c>
      <c r="R88" s="5" t="s">
        <v>145</v>
      </c>
      <c r="S88" s="5" t="s">
        <v>893</v>
      </c>
      <c r="T88" s="5" t="s">
        <v>570</v>
      </c>
      <c r="U88" s="5" t="s">
        <v>894</v>
      </c>
      <c r="V88" s="8">
        <v>49</v>
      </c>
      <c r="W88" s="9">
        <v>73003</v>
      </c>
      <c r="X88" s="5" t="s">
        <v>35</v>
      </c>
      <c r="Y88" s="10">
        <v>100</v>
      </c>
      <c r="Z88" s="10">
        <v>19.8</v>
      </c>
      <c r="AA88" s="10">
        <v>19.8</v>
      </c>
      <c r="AB88" s="10">
        <v>212987</v>
      </c>
      <c r="AC88" s="10">
        <v>274635</v>
      </c>
      <c r="AD88" s="10">
        <v>0</v>
      </c>
      <c r="AE88" s="11">
        <v>487622</v>
      </c>
      <c r="AF88" s="12" t="s">
        <v>83</v>
      </c>
      <c r="AG88" s="14" t="s">
        <v>188</v>
      </c>
      <c r="AH88" s="14" t="s">
        <v>65</v>
      </c>
      <c r="AI88" s="14" t="s">
        <v>36</v>
      </c>
      <c r="AJ88" s="14">
        <v>80000</v>
      </c>
      <c r="AK88" s="14">
        <v>75000</v>
      </c>
      <c r="AL88" s="13">
        <v>54</v>
      </c>
      <c r="AM88" s="13">
        <v>51</v>
      </c>
      <c r="AN88" s="14" t="s">
        <v>58</v>
      </c>
      <c r="AO88" s="14" t="s">
        <v>59</v>
      </c>
      <c r="AP88" s="14" t="s">
        <v>37</v>
      </c>
      <c r="AQ88" s="20">
        <v>202601</v>
      </c>
      <c r="AR88" s="14" t="s">
        <v>153</v>
      </c>
      <c r="AS88" s="19" t="s">
        <v>168</v>
      </c>
      <c r="AT88" s="19" t="s">
        <v>168</v>
      </c>
      <c r="AU88" s="19" t="s">
        <v>877</v>
      </c>
      <c r="AV88" s="12" t="s">
        <v>878</v>
      </c>
      <c r="AW88"/>
    </row>
    <row r="89" spans="1:49" x14ac:dyDescent="0.3">
      <c r="A89" s="5" t="s">
        <v>30</v>
      </c>
      <c r="B89" s="5" t="s">
        <v>31</v>
      </c>
      <c r="C89" s="5" t="s">
        <v>870</v>
      </c>
      <c r="D89" s="5" t="s">
        <v>32</v>
      </c>
      <c r="E89" s="6" t="s">
        <v>33</v>
      </c>
      <c r="F89" s="7">
        <v>1</v>
      </c>
      <c r="G89" s="5" t="s">
        <v>871</v>
      </c>
      <c r="H89" s="5" t="s">
        <v>895</v>
      </c>
      <c r="I89" s="5" t="s">
        <v>896</v>
      </c>
      <c r="J89" s="5" t="s">
        <v>34</v>
      </c>
      <c r="K89" s="5" t="s">
        <v>193</v>
      </c>
      <c r="L89" s="5" t="s">
        <v>194</v>
      </c>
      <c r="M89" s="5" t="s">
        <v>39</v>
      </c>
      <c r="N89" s="5" t="s">
        <v>56</v>
      </c>
      <c r="O89" s="6" t="s">
        <v>897</v>
      </c>
      <c r="P89" s="5" t="s">
        <v>68</v>
      </c>
      <c r="Q89" s="5"/>
      <c r="R89" s="5" t="s">
        <v>133</v>
      </c>
      <c r="S89" s="5" t="s">
        <v>492</v>
      </c>
      <c r="T89" s="5" t="s">
        <v>898</v>
      </c>
      <c r="U89" s="5" t="s">
        <v>899</v>
      </c>
      <c r="V89" s="8">
        <v>73</v>
      </c>
      <c r="W89" s="9">
        <v>68376</v>
      </c>
      <c r="X89" s="5" t="s">
        <v>35</v>
      </c>
      <c r="Y89" s="10">
        <v>100</v>
      </c>
      <c r="Z89" s="10">
        <v>25.44</v>
      </c>
      <c r="AA89" s="10">
        <v>25.44</v>
      </c>
      <c r="AB89" s="10">
        <v>167394</v>
      </c>
      <c r="AC89" s="10">
        <v>24422</v>
      </c>
      <c r="AD89" s="10">
        <v>0</v>
      </c>
      <c r="AE89" s="11">
        <v>191816</v>
      </c>
      <c r="AF89" s="12" t="s">
        <v>195</v>
      </c>
      <c r="AG89" s="14" t="s">
        <v>360</v>
      </c>
      <c r="AH89" s="14" t="e">
        <v>#N/A</v>
      </c>
      <c r="AI89" s="14" t="s">
        <v>88</v>
      </c>
      <c r="AJ89" s="14">
        <v>70000</v>
      </c>
      <c r="AK89" s="14">
        <v>70000</v>
      </c>
      <c r="AL89" s="13" t="s">
        <v>124</v>
      </c>
      <c r="AM89" s="13" t="s">
        <v>124</v>
      </c>
      <c r="AN89" s="14" t="s">
        <v>900</v>
      </c>
      <c r="AO89" s="14" t="s">
        <v>87</v>
      </c>
      <c r="AP89" s="14" t="s">
        <v>37</v>
      </c>
      <c r="AQ89" s="20">
        <v>202601</v>
      </c>
      <c r="AR89" s="14" t="s">
        <v>153</v>
      </c>
      <c r="AS89" s="14" t="s">
        <v>165</v>
      </c>
      <c r="AT89" s="12" t="s">
        <v>165</v>
      </c>
      <c r="AU89" s="19" t="s">
        <v>877</v>
      </c>
      <c r="AV89" s="12" t="s">
        <v>878</v>
      </c>
      <c r="AW89"/>
    </row>
    <row r="90" spans="1:49" x14ac:dyDescent="0.3">
      <c r="A90" s="5" t="s">
        <v>30</v>
      </c>
      <c r="B90" s="5" t="s">
        <v>31</v>
      </c>
      <c r="C90" s="5" t="s">
        <v>870</v>
      </c>
      <c r="D90" s="5" t="s">
        <v>32</v>
      </c>
      <c r="E90" s="6" t="s">
        <v>33</v>
      </c>
      <c r="F90" s="7">
        <v>146</v>
      </c>
      <c r="G90" s="5" t="s">
        <v>871</v>
      </c>
      <c r="H90" s="5" t="s">
        <v>901</v>
      </c>
      <c r="I90" s="5" t="s">
        <v>902</v>
      </c>
      <c r="J90" s="5" t="s">
        <v>34</v>
      </c>
      <c r="K90" s="5" t="s">
        <v>60</v>
      </c>
      <c r="L90" s="5" t="s">
        <v>903</v>
      </c>
      <c r="M90" s="5" t="s">
        <v>43</v>
      </c>
      <c r="N90" s="5" t="s">
        <v>56</v>
      </c>
      <c r="O90" s="6" t="s">
        <v>904</v>
      </c>
      <c r="P90" s="5" t="s">
        <v>47</v>
      </c>
      <c r="Q90" s="5"/>
      <c r="R90" s="5" t="s">
        <v>286</v>
      </c>
      <c r="S90" s="5" t="s">
        <v>905</v>
      </c>
      <c r="T90" s="5" t="s">
        <v>906</v>
      </c>
      <c r="U90" s="5" t="s">
        <v>907</v>
      </c>
      <c r="V90" s="8">
        <v>12</v>
      </c>
      <c r="W90" s="9">
        <v>20349</v>
      </c>
      <c r="X90" s="5" t="s">
        <v>35</v>
      </c>
      <c r="Y90" s="10">
        <v>100</v>
      </c>
      <c r="Z90" s="10">
        <v>25.44</v>
      </c>
      <c r="AA90" s="10">
        <v>25.44</v>
      </c>
      <c r="AB90" s="10">
        <v>37714</v>
      </c>
      <c r="AC90" s="10">
        <v>6106</v>
      </c>
      <c r="AD90" s="10">
        <v>0</v>
      </c>
      <c r="AE90" s="11">
        <v>43820</v>
      </c>
      <c r="AF90" s="12" t="s">
        <v>62</v>
      </c>
      <c r="AG90" s="14" t="s">
        <v>908</v>
      </c>
      <c r="AH90" s="14" t="e">
        <v>#N/A</v>
      </c>
      <c r="AI90" s="14" t="s">
        <v>49</v>
      </c>
      <c r="AJ90" s="14">
        <v>30000</v>
      </c>
      <c r="AK90" s="14">
        <v>25000</v>
      </c>
      <c r="AL90" s="13">
        <v>18</v>
      </c>
      <c r="AM90" s="13">
        <v>15</v>
      </c>
      <c r="AN90" s="14" t="s">
        <v>909</v>
      </c>
      <c r="AO90" s="14" t="s">
        <v>87</v>
      </c>
      <c r="AP90" s="14" t="s">
        <v>46</v>
      </c>
      <c r="AQ90" s="20">
        <v>202601</v>
      </c>
      <c r="AR90" s="14" t="s">
        <v>166</v>
      </c>
      <c r="AS90"/>
      <c r="AT90" s="12" t="s">
        <v>62</v>
      </c>
      <c r="AU90" s="19" t="s">
        <v>877</v>
      </c>
      <c r="AV90" s="12" t="s">
        <v>878</v>
      </c>
      <c r="AW90"/>
    </row>
    <row r="91" spans="1:49" x14ac:dyDescent="0.3">
      <c r="A91" s="5" t="s">
        <v>30</v>
      </c>
      <c r="B91" s="5" t="s">
        <v>31</v>
      </c>
      <c r="C91" s="5" t="s">
        <v>870</v>
      </c>
      <c r="D91" s="5" t="s">
        <v>32</v>
      </c>
      <c r="E91" s="6" t="s">
        <v>33</v>
      </c>
      <c r="F91" s="7">
        <v>168</v>
      </c>
      <c r="G91" s="5" t="s">
        <v>871</v>
      </c>
      <c r="H91" s="5" t="s">
        <v>910</v>
      </c>
      <c r="I91" s="5" t="s">
        <v>911</v>
      </c>
      <c r="J91" s="5" t="s">
        <v>34</v>
      </c>
      <c r="K91" s="5" t="s">
        <v>204</v>
      </c>
      <c r="L91" s="5" t="s">
        <v>361</v>
      </c>
      <c r="M91" s="5" t="s">
        <v>43</v>
      </c>
      <c r="N91" s="5" t="s">
        <v>56</v>
      </c>
      <c r="O91" s="6" t="s">
        <v>912</v>
      </c>
      <c r="P91" s="5" t="s">
        <v>913</v>
      </c>
      <c r="Q91" s="5"/>
      <c r="R91" s="5" t="s">
        <v>914</v>
      </c>
      <c r="S91" s="5" t="s">
        <v>618</v>
      </c>
      <c r="T91" s="5" t="s">
        <v>915</v>
      </c>
      <c r="U91" s="5" t="s">
        <v>618</v>
      </c>
      <c r="V91" s="8">
        <v>14</v>
      </c>
      <c r="W91" s="9">
        <v>15259</v>
      </c>
      <c r="X91" s="5" t="s">
        <v>35</v>
      </c>
      <c r="Y91" s="10">
        <v>100</v>
      </c>
      <c r="Z91" s="10">
        <v>25.44</v>
      </c>
      <c r="AA91" s="10">
        <v>25.44</v>
      </c>
      <c r="AB91" s="10">
        <v>0</v>
      </c>
      <c r="AC91" s="10">
        <v>2137</v>
      </c>
      <c r="AD91" s="10">
        <v>0</v>
      </c>
      <c r="AE91" s="11">
        <v>2137</v>
      </c>
      <c r="AF91" s="12" t="s">
        <v>205</v>
      </c>
      <c r="AG91" s="14" t="s">
        <v>337</v>
      </c>
      <c r="AH91" s="14" t="e">
        <v>#N/A</v>
      </c>
      <c r="AI91" s="14" t="s">
        <v>338</v>
      </c>
      <c r="AJ91" s="14">
        <v>20000</v>
      </c>
      <c r="AK91" s="14">
        <v>20000</v>
      </c>
      <c r="AL91" s="13">
        <v>18</v>
      </c>
      <c r="AM91" s="13">
        <v>15</v>
      </c>
      <c r="AN91" s="14" t="s">
        <v>916</v>
      </c>
      <c r="AO91" s="14" t="s">
        <v>87</v>
      </c>
      <c r="AP91" s="14" t="s">
        <v>46</v>
      </c>
      <c r="AQ91" s="20">
        <v>202601</v>
      </c>
      <c r="AR91" s="14" t="s">
        <v>166</v>
      </c>
      <c r="AS91"/>
      <c r="AT91" s="12" t="s">
        <v>205</v>
      </c>
      <c r="AU91" s="19" t="s">
        <v>877</v>
      </c>
      <c r="AV91" s="12" t="s">
        <v>878</v>
      </c>
      <c r="AW91"/>
    </row>
    <row r="92" spans="1:49" x14ac:dyDescent="0.3">
      <c r="A92" s="5" t="s">
        <v>30</v>
      </c>
      <c r="B92" s="5" t="s">
        <v>31</v>
      </c>
      <c r="C92" s="5" t="s">
        <v>870</v>
      </c>
      <c r="D92" s="5" t="s">
        <v>32</v>
      </c>
      <c r="E92" s="6" t="s">
        <v>33</v>
      </c>
      <c r="F92" s="7">
        <v>169</v>
      </c>
      <c r="G92" s="5" t="s">
        <v>871</v>
      </c>
      <c r="H92" s="5" t="s">
        <v>917</v>
      </c>
      <c r="I92" s="5" t="s">
        <v>918</v>
      </c>
      <c r="J92" s="5" t="s">
        <v>34</v>
      </c>
      <c r="K92" s="5" t="s">
        <v>135</v>
      </c>
      <c r="L92" s="5" t="s">
        <v>154</v>
      </c>
      <c r="M92" s="5" t="s">
        <v>155</v>
      </c>
      <c r="N92" s="5" t="s">
        <v>56</v>
      </c>
      <c r="O92" s="6" t="s">
        <v>919</v>
      </c>
      <c r="P92" s="5" t="s">
        <v>47</v>
      </c>
      <c r="Q92" s="5"/>
      <c r="R92" s="5" t="s">
        <v>203</v>
      </c>
      <c r="S92" s="5" t="s">
        <v>920</v>
      </c>
      <c r="T92" s="5" t="s">
        <v>921</v>
      </c>
      <c r="U92" s="5" t="s">
        <v>922</v>
      </c>
      <c r="V92" s="8">
        <v>19</v>
      </c>
      <c r="W92" s="9">
        <v>64904</v>
      </c>
      <c r="X92" s="5" t="s">
        <v>35</v>
      </c>
      <c r="Y92" s="10">
        <v>100</v>
      </c>
      <c r="Z92" s="10">
        <v>25.44</v>
      </c>
      <c r="AA92" s="10">
        <v>25.44</v>
      </c>
      <c r="AB92" s="10">
        <v>47403</v>
      </c>
      <c r="AC92" s="10">
        <v>5495</v>
      </c>
      <c r="AD92" s="10">
        <v>0</v>
      </c>
      <c r="AE92" s="11">
        <v>52898</v>
      </c>
      <c r="AF92" s="12" t="s">
        <v>136</v>
      </c>
      <c r="AG92" s="14" t="s">
        <v>207</v>
      </c>
      <c r="AH92" s="14" t="e">
        <v>#N/A</v>
      </c>
      <c r="AI92" s="14" t="s">
        <v>144</v>
      </c>
      <c r="AJ92" s="14">
        <v>70000</v>
      </c>
      <c r="AK92" s="14">
        <v>65000</v>
      </c>
      <c r="AL92" s="13">
        <v>24</v>
      </c>
      <c r="AM92" s="13">
        <v>21</v>
      </c>
      <c r="AN92" s="14" t="s">
        <v>923</v>
      </c>
      <c r="AO92" s="14" t="s">
        <v>87</v>
      </c>
      <c r="AP92" s="14" t="s">
        <v>167</v>
      </c>
      <c r="AQ92" s="20">
        <v>202601</v>
      </c>
      <c r="AR92" s="14" t="s">
        <v>166</v>
      </c>
      <c r="AS92"/>
      <c r="AT92" s="12" t="s">
        <v>136</v>
      </c>
      <c r="AU92" s="19" t="s">
        <v>877</v>
      </c>
      <c r="AV92" s="12" t="s">
        <v>878</v>
      </c>
      <c r="AW92"/>
    </row>
    <row r="93" spans="1:49" x14ac:dyDescent="0.3">
      <c r="A93" s="5" t="s">
        <v>30</v>
      </c>
      <c r="B93" s="5" t="s">
        <v>31</v>
      </c>
      <c r="C93" s="5" t="s">
        <v>870</v>
      </c>
      <c r="D93" s="5" t="s">
        <v>32</v>
      </c>
      <c r="E93" s="6" t="s">
        <v>33</v>
      </c>
      <c r="F93" s="7">
        <v>170</v>
      </c>
      <c r="G93" s="5" t="s">
        <v>871</v>
      </c>
      <c r="H93" s="5" t="s">
        <v>924</v>
      </c>
      <c r="I93" s="5" t="s">
        <v>925</v>
      </c>
      <c r="J93" s="5" t="s">
        <v>34</v>
      </c>
      <c r="K93" s="5" t="s">
        <v>132</v>
      </c>
      <c r="L93" s="5" t="s">
        <v>926</v>
      </c>
      <c r="M93" s="5" t="s">
        <v>89</v>
      </c>
      <c r="N93" s="5" t="s">
        <v>56</v>
      </c>
      <c r="O93" s="6" t="s">
        <v>927</v>
      </c>
      <c r="P93" s="5" t="s">
        <v>156</v>
      </c>
      <c r="Q93" s="5"/>
      <c r="R93" s="5" t="s">
        <v>210</v>
      </c>
      <c r="S93" s="5" t="s">
        <v>928</v>
      </c>
      <c r="T93" s="5" t="s">
        <v>929</v>
      </c>
      <c r="U93" s="5" t="s">
        <v>930</v>
      </c>
      <c r="V93" s="8">
        <v>66</v>
      </c>
      <c r="W93" s="9">
        <v>47442</v>
      </c>
      <c r="X93" s="5" t="s">
        <v>35</v>
      </c>
      <c r="Y93" s="10">
        <v>100</v>
      </c>
      <c r="Z93" s="10">
        <v>25.44</v>
      </c>
      <c r="AA93" s="10">
        <v>25.44</v>
      </c>
      <c r="AB93" s="10">
        <v>55693</v>
      </c>
      <c r="AC93" s="10">
        <v>6869</v>
      </c>
      <c r="AD93" s="10">
        <v>0</v>
      </c>
      <c r="AE93" s="11">
        <v>62562</v>
      </c>
      <c r="AF93" s="12" t="s">
        <v>134</v>
      </c>
      <c r="AG93" s="14" t="s">
        <v>931</v>
      </c>
      <c r="AH93" s="14" t="e">
        <v>#N/A</v>
      </c>
      <c r="AI93" s="14" t="s">
        <v>36</v>
      </c>
      <c r="AJ93" s="14">
        <v>50000</v>
      </c>
      <c r="AK93" s="14">
        <v>50000</v>
      </c>
      <c r="AL93" s="13" t="s">
        <v>124</v>
      </c>
      <c r="AM93" s="13" t="s">
        <v>124</v>
      </c>
      <c r="AN93" s="14" t="s">
        <v>365</v>
      </c>
      <c r="AO93" s="14" t="s">
        <v>87</v>
      </c>
      <c r="AP93" s="14" t="s">
        <v>90</v>
      </c>
      <c r="AQ93" s="20">
        <v>202601</v>
      </c>
      <c r="AR93" s="14" t="s">
        <v>153</v>
      </c>
      <c r="AS93" s="14" t="s">
        <v>197</v>
      </c>
      <c r="AT93" s="12" t="s">
        <v>134</v>
      </c>
      <c r="AU93" s="19" t="s">
        <v>877</v>
      </c>
      <c r="AV93" s="12" t="s">
        <v>878</v>
      </c>
      <c r="AW93"/>
    </row>
    <row r="94" spans="1:49" x14ac:dyDescent="0.3">
      <c r="A94" s="5" t="s">
        <v>30</v>
      </c>
      <c r="B94" s="5" t="s">
        <v>31</v>
      </c>
      <c r="C94" s="5" t="s">
        <v>870</v>
      </c>
      <c r="D94" s="5" t="s">
        <v>32</v>
      </c>
      <c r="E94" s="6" t="s">
        <v>33</v>
      </c>
      <c r="F94" s="7">
        <v>171</v>
      </c>
      <c r="G94" s="5" t="s">
        <v>871</v>
      </c>
      <c r="H94" s="5" t="s">
        <v>932</v>
      </c>
      <c r="I94" s="5" t="s">
        <v>933</v>
      </c>
      <c r="J94" s="5" t="s">
        <v>34</v>
      </c>
      <c r="K94" s="5" t="s">
        <v>132</v>
      </c>
      <c r="L94" s="5" t="s">
        <v>161</v>
      </c>
      <c r="M94" s="5" t="s">
        <v>89</v>
      </c>
      <c r="N94" s="5" t="s">
        <v>56</v>
      </c>
      <c r="O94" s="6" t="s">
        <v>934</v>
      </c>
      <c r="P94" s="5" t="s">
        <v>47</v>
      </c>
      <c r="Q94" s="5"/>
      <c r="R94" s="5" t="s">
        <v>146</v>
      </c>
      <c r="S94" s="5" t="s">
        <v>935</v>
      </c>
      <c r="T94" s="5" t="s">
        <v>936</v>
      </c>
      <c r="U94" s="5" t="s">
        <v>937</v>
      </c>
      <c r="V94" s="8">
        <v>46</v>
      </c>
      <c r="W94" s="9">
        <v>108363</v>
      </c>
      <c r="X94" s="5" t="s">
        <v>35</v>
      </c>
      <c r="Y94" s="10">
        <v>100</v>
      </c>
      <c r="Z94" s="10">
        <v>25.44</v>
      </c>
      <c r="AA94" s="10">
        <v>25.44</v>
      </c>
      <c r="AB94" s="10">
        <v>99718</v>
      </c>
      <c r="AC94" s="10">
        <v>5342</v>
      </c>
      <c r="AD94" s="10">
        <v>0</v>
      </c>
      <c r="AE94" s="11">
        <v>105060</v>
      </c>
      <c r="AF94" s="12" t="s">
        <v>134</v>
      </c>
      <c r="AG94" s="14" t="s">
        <v>129</v>
      </c>
      <c r="AH94" s="14" t="e">
        <v>#N/A</v>
      </c>
      <c r="AI94" s="14" t="s">
        <v>36</v>
      </c>
      <c r="AJ94" s="14" t="s">
        <v>142</v>
      </c>
      <c r="AK94" s="14" t="s">
        <v>142</v>
      </c>
      <c r="AL94" s="13">
        <v>48</v>
      </c>
      <c r="AM94" s="13">
        <v>48</v>
      </c>
      <c r="AN94" s="14" t="s">
        <v>368</v>
      </c>
      <c r="AO94" s="14" t="s">
        <v>87</v>
      </c>
      <c r="AP94" s="14" t="s">
        <v>90</v>
      </c>
      <c r="AQ94" s="20">
        <v>202601</v>
      </c>
      <c r="AR94" s="14" t="s">
        <v>153</v>
      </c>
      <c r="AS94" s="14" t="s">
        <v>197</v>
      </c>
      <c r="AT94" s="12" t="s">
        <v>134</v>
      </c>
      <c r="AU94" s="19" t="s">
        <v>877</v>
      </c>
      <c r="AV94" s="12" t="s">
        <v>878</v>
      </c>
      <c r="AW94"/>
    </row>
    <row r="95" spans="1:49" x14ac:dyDescent="0.3">
      <c r="A95" s="5" t="s">
        <v>30</v>
      </c>
      <c r="B95" s="5" t="s">
        <v>31</v>
      </c>
      <c r="C95" s="5" t="s">
        <v>870</v>
      </c>
      <c r="D95" s="5" t="s">
        <v>32</v>
      </c>
      <c r="E95" s="6" t="s">
        <v>33</v>
      </c>
      <c r="F95" s="7">
        <v>172</v>
      </c>
      <c r="G95" s="5" t="s">
        <v>871</v>
      </c>
      <c r="H95" s="5" t="s">
        <v>938</v>
      </c>
      <c r="I95" s="5" t="s">
        <v>939</v>
      </c>
      <c r="J95" s="5" t="s">
        <v>34</v>
      </c>
      <c r="K95" s="5" t="s">
        <v>50</v>
      </c>
      <c r="L95" s="5" t="s">
        <v>157</v>
      </c>
      <c r="M95" s="5" t="s">
        <v>89</v>
      </c>
      <c r="N95" s="5" t="s">
        <v>56</v>
      </c>
      <c r="O95" s="6" t="s">
        <v>940</v>
      </c>
      <c r="P95" s="5" t="s">
        <v>189</v>
      </c>
      <c r="Q95" s="5"/>
      <c r="R95" s="5" t="s">
        <v>146</v>
      </c>
      <c r="S95" s="5" t="s">
        <v>941</v>
      </c>
      <c r="T95" s="5" t="s">
        <v>906</v>
      </c>
      <c r="U95" s="5" t="s">
        <v>942</v>
      </c>
      <c r="V95" s="8">
        <v>60</v>
      </c>
      <c r="W95" s="9">
        <v>43708</v>
      </c>
      <c r="X95" s="5" t="s">
        <v>35</v>
      </c>
      <c r="Y95" s="10">
        <v>100</v>
      </c>
      <c r="Z95" s="10">
        <v>25.44</v>
      </c>
      <c r="AA95" s="10">
        <v>25.44</v>
      </c>
      <c r="AB95" s="10">
        <v>0</v>
      </c>
      <c r="AC95" s="10">
        <v>4961</v>
      </c>
      <c r="AD95" s="10">
        <v>0</v>
      </c>
      <c r="AE95" s="11">
        <v>4961</v>
      </c>
      <c r="AF95" s="12" t="s">
        <v>52</v>
      </c>
      <c r="AG95" s="14" t="s">
        <v>232</v>
      </c>
      <c r="AH95" s="14" t="e">
        <v>#N/A</v>
      </c>
      <c r="AI95" s="14" t="s">
        <v>36</v>
      </c>
      <c r="AJ95" s="14">
        <v>50000</v>
      </c>
      <c r="AK95" s="14">
        <v>45000</v>
      </c>
      <c r="AL95" s="13" t="s">
        <v>124</v>
      </c>
      <c r="AM95" s="13" t="s">
        <v>124</v>
      </c>
      <c r="AN95" s="14" t="s">
        <v>208</v>
      </c>
      <c r="AO95" s="14" t="s">
        <v>87</v>
      </c>
      <c r="AP95" s="14" t="s">
        <v>90</v>
      </c>
      <c r="AQ95" s="20">
        <v>202601</v>
      </c>
      <c r="AR95" s="14" t="s">
        <v>153</v>
      </c>
      <c r="AS95" s="14" t="s">
        <v>169</v>
      </c>
      <c r="AT95" s="12" t="s">
        <v>52</v>
      </c>
      <c r="AU95" s="19" t="s">
        <v>877</v>
      </c>
      <c r="AV95" s="12" t="s">
        <v>878</v>
      </c>
      <c r="AW95"/>
    </row>
    <row r="96" spans="1:49" x14ac:dyDescent="0.3">
      <c r="A96" s="5" t="s">
        <v>30</v>
      </c>
      <c r="B96" s="5" t="s">
        <v>31</v>
      </c>
      <c r="C96" s="5" t="s">
        <v>870</v>
      </c>
      <c r="D96" s="5" t="s">
        <v>32</v>
      </c>
      <c r="E96" s="6" t="s">
        <v>33</v>
      </c>
      <c r="F96" s="7">
        <v>173</v>
      </c>
      <c r="G96" s="5" t="s">
        <v>871</v>
      </c>
      <c r="H96" s="5" t="s">
        <v>943</v>
      </c>
      <c r="I96" s="5" t="s">
        <v>944</v>
      </c>
      <c r="J96" s="5" t="s">
        <v>34</v>
      </c>
      <c r="K96" s="5" t="s">
        <v>50</v>
      </c>
      <c r="L96" s="5" t="s">
        <v>173</v>
      </c>
      <c r="M96" s="5" t="s">
        <v>89</v>
      </c>
      <c r="N96" s="5" t="s">
        <v>56</v>
      </c>
      <c r="O96" s="6" t="s">
        <v>945</v>
      </c>
      <c r="P96" s="5" t="s">
        <v>51</v>
      </c>
      <c r="Q96" s="5"/>
      <c r="R96" s="5" t="s">
        <v>146</v>
      </c>
      <c r="S96" s="5" t="s">
        <v>946</v>
      </c>
      <c r="T96" s="5" t="s">
        <v>947</v>
      </c>
      <c r="U96" s="5" t="s">
        <v>948</v>
      </c>
      <c r="V96" s="8">
        <v>45</v>
      </c>
      <c r="W96" s="9">
        <v>23817</v>
      </c>
      <c r="X96" s="5" t="s">
        <v>35</v>
      </c>
      <c r="Y96" s="10">
        <v>100</v>
      </c>
      <c r="Z96" s="10">
        <v>25.44</v>
      </c>
      <c r="AA96" s="10">
        <v>25.44</v>
      </c>
      <c r="AB96" s="10">
        <v>50073</v>
      </c>
      <c r="AC96" s="10">
        <v>3969</v>
      </c>
      <c r="AD96" s="10">
        <v>0</v>
      </c>
      <c r="AE96" s="11">
        <v>54042</v>
      </c>
      <c r="AF96" s="12" t="s">
        <v>52</v>
      </c>
      <c r="AG96" s="14" t="s">
        <v>131</v>
      </c>
      <c r="AH96" s="14" t="e">
        <v>#N/A</v>
      </c>
      <c r="AI96" s="14" t="s">
        <v>36</v>
      </c>
      <c r="AJ96" s="14">
        <v>30000</v>
      </c>
      <c r="AK96" s="14">
        <v>25000</v>
      </c>
      <c r="AL96" s="13">
        <v>48</v>
      </c>
      <c r="AM96" s="13">
        <v>48</v>
      </c>
      <c r="AN96" s="14" t="s">
        <v>340</v>
      </c>
      <c r="AO96" s="14" t="s">
        <v>87</v>
      </c>
      <c r="AP96" s="14" t="s">
        <v>90</v>
      </c>
      <c r="AQ96" s="20">
        <v>202601</v>
      </c>
      <c r="AR96" s="14" t="s">
        <v>153</v>
      </c>
      <c r="AS96" s="14" t="s">
        <v>169</v>
      </c>
      <c r="AT96" s="12" t="s">
        <v>52</v>
      </c>
      <c r="AU96" s="19" t="s">
        <v>877</v>
      </c>
      <c r="AV96" s="12" t="s">
        <v>878</v>
      </c>
      <c r="AW96"/>
    </row>
    <row r="97" spans="1:49" x14ac:dyDescent="0.3">
      <c r="A97" s="5" t="s">
        <v>30</v>
      </c>
      <c r="B97" s="5" t="s">
        <v>31</v>
      </c>
      <c r="C97" s="5" t="s">
        <v>870</v>
      </c>
      <c r="D97" s="5" t="s">
        <v>32</v>
      </c>
      <c r="E97" s="6" t="s">
        <v>33</v>
      </c>
      <c r="F97" s="7">
        <v>174</v>
      </c>
      <c r="G97" s="5" t="s">
        <v>871</v>
      </c>
      <c r="H97" s="5" t="s">
        <v>949</v>
      </c>
      <c r="I97" s="5" t="s">
        <v>950</v>
      </c>
      <c r="J97" s="5" t="s">
        <v>34</v>
      </c>
      <c r="K97" s="5" t="s">
        <v>50</v>
      </c>
      <c r="L97" s="5" t="s">
        <v>173</v>
      </c>
      <c r="M97" s="5" t="s">
        <v>89</v>
      </c>
      <c r="N97" s="5" t="s">
        <v>56</v>
      </c>
      <c r="O97" s="6" t="s">
        <v>951</v>
      </c>
      <c r="P97" s="5" t="s">
        <v>51</v>
      </c>
      <c r="Q97" s="5"/>
      <c r="R97" s="5" t="s">
        <v>146</v>
      </c>
      <c r="S97" s="5" t="s">
        <v>392</v>
      </c>
      <c r="T97" s="5" t="s">
        <v>952</v>
      </c>
      <c r="U97" s="5" t="s">
        <v>953</v>
      </c>
      <c r="V97" s="8">
        <v>33</v>
      </c>
      <c r="W97" s="9">
        <v>66591</v>
      </c>
      <c r="X97" s="5" t="s">
        <v>35</v>
      </c>
      <c r="Y97" s="10">
        <v>100</v>
      </c>
      <c r="Z97" s="10">
        <v>25.44</v>
      </c>
      <c r="AA97" s="10">
        <v>25.44</v>
      </c>
      <c r="AB97" s="10">
        <v>53271</v>
      </c>
      <c r="AC97" s="10">
        <v>6513</v>
      </c>
      <c r="AD97" s="10">
        <v>0</v>
      </c>
      <c r="AE97" s="11">
        <v>59784</v>
      </c>
      <c r="AF97" s="12" t="s">
        <v>52</v>
      </c>
      <c r="AG97" s="14" t="s">
        <v>152</v>
      </c>
      <c r="AH97" s="14" t="e">
        <v>#N/A</v>
      </c>
      <c r="AI97" s="14" t="s">
        <v>36</v>
      </c>
      <c r="AJ97" s="14">
        <v>70000</v>
      </c>
      <c r="AK97" s="14">
        <v>70000</v>
      </c>
      <c r="AL97" s="13">
        <v>36</v>
      </c>
      <c r="AM97" s="13">
        <v>36</v>
      </c>
      <c r="AN97" s="14" t="s">
        <v>900</v>
      </c>
      <c r="AO97" s="14" t="s">
        <v>87</v>
      </c>
      <c r="AP97" s="14" t="s">
        <v>90</v>
      </c>
      <c r="AQ97" s="20">
        <v>202601</v>
      </c>
      <c r="AR97" s="14" t="s">
        <v>153</v>
      </c>
      <c r="AS97" s="14" t="s">
        <v>169</v>
      </c>
      <c r="AT97" s="12" t="s">
        <v>52</v>
      </c>
      <c r="AU97" s="19" t="s">
        <v>877</v>
      </c>
      <c r="AV97" s="12" t="s">
        <v>878</v>
      </c>
      <c r="AW97"/>
    </row>
    <row r="98" spans="1:49" x14ac:dyDescent="0.3">
      <c r="A98" s="5" t="s">
        <v>30</v>
      </c>
      <c r="B98" s="5" t="s">
        <v>31</v>
      </c>
      <c r="C98" s="5" t="s">
        <v>870</v>
      </c>
      <c r="D98" s="5" t="s">
        <v>32</v>
      </c>
      <c r="E98" s="6" t="s">
        <v>33</v>
      </c>
      <c r="F98" s="7">
        <v>175</v>
      </c>
      <c r="G98" s="5" t="s">
        <v>871</v>
      </c>
      <c r="H98" s="5" t="s">
        <v>954</v>
      </c>
      <c r="I98" s="5" t="s">
        <v>955</v>
      </c>
      <c r="J98" s="5" t="s">
        <v>34</v>
      </c>
      <c r="K98" s="5" t="s">
        <v>50</v>
      </c>
      <c r="L98" s="5" t="s">
        <v>173</v>
      </c>
      <c r="M98" s="5" t="s">
        <v>89</v>
      </c>
      <c r="N98" s="5" t="s">
        <v>56</v>
      </c>
      <c r="O98" s="6" t="s">
        <v>956</v>
      </c>
      <c r="P98" s="5" t="s">
        <v>957</v>
      </c>
      <c r="Q98" s="5"/>
      <c r="R98" s="5" t="s">
        <v>146</v>
      </c>
      <c r="S98" s="5" t="s">
        <v>616</v>
      </c>
      <c r="T98" s="5" t="s">
        <v>958</v>
      </c>
      <c r="U98" s="5" t="s">
        <v>959</v>
      </c>
      <c r="V98" s="8">
        <v>14</v>
      </c>
      <c r="W98" s="9">
        <v>30803</v>
      </c>
      <c r="X98" s="5" t="s">
        <v>960</v>
      </c>
      <c r="Y98" s="10">
        <v>100</v>
      </c>
      <c r="Z98" s="10">
        <v>25.44</v>
      </c>
      <c r="AA98" s="10">
        <v>25.44</v>
      </c>
      <c r="AB98" s="10">
        <v>68851</v>
      </c>
      <c r="AC98" s="10">
        <v>6945</v>
      </c>
      <c r="AD98" s="10">
        <v>0</v>
      </c>
      <c r="AE98" s="11">
        <v>75796</v>
      </c>
      <c r="AF98" s="12" t="s">
        <v>52</v>
      </c>
      <c r="AG98" s="14" t="s">
        <v>339</v>
      </c>
      <c r="AH98" s="14" t="e">
        <v>#N/A</v>
      </c>
      <c r="AI98" s="14" t="s">
        <v>36</v>
      </c>
      <c r="AJ98" s="14">
        <v>40000</v>
      </c>
      <c r="AK98" s="14">
        <v>35000</v>
      </c>
      <c r="AL98" s="13">
        <v>18</v>
      </c>
      <c r="AM98" s="13">
        <v>15</v>
      </c>
      <c r="AN98" s="14" t="s">
        <v>208</v>
      </c>
      <c r="AO98" s="14" t="s">
        <v>87</v>
      </c>
      <c r="AP98" s="14" t="s">
        <v>90</v>
      </c>
      <c r="AQ98" s="20">
        <v>202601</v>
      </c>
      <c r="AR98" s="14" t="s">
        <v>153</v>
      </c>
      <c r="AS98" s="14" t="s">
        <v>169</v>
      </c>
      <c r="AT98" s="12" t="s">
        <v>52</v>
      </c>
      <c r="AU98" s="19" t="s">
        <v>877</v>
      </c>
      <c r="AV98" s="12" t="s">
        <v>878</v>
      </c>
      <c r="AW98"/>
    </row>
    <row r="99" spans="1:49" x14ac:dyDescent="0.3">
      <c r="A99" s="5" t="s">
        <v>30</v>
      </c>
      <c r="B99" s="5" t="s">
        <v>31</v>
      </c>
      <c r="C99" s="5" t="s">
        <v>870</v>
      </c>
      <c r="D99" s="5" t="s">
        <v>32</v>
      </c>
      <c r="E99" s="6" t="s">
        <v>33</v>
      </c>
      <c r="F99" s="7">
        <v>176</v>
      </c>
      <c r="G99" s="5" t="s">
        <v>871</v>
      </c>
      <c r="H99" s="5" t="s">
        <v>961</v>
      </c>
      <c r="I99" s="5" t="s">
        <v>962</v>
      </c>
      <c r="J99" s="5" t="s">
        <v>34</v>
      </c>
      <c r="K99" s="5" t="s">
        <v>50</v>
      </c>
      <c r="L99" s="5" t="s">
        <v>173</v>
      </c>
      <c r="M99" s="5" t="s">
        <v>89</v>
      </c>
      <c r="N99" s="5" t="s">
        <v>56</v>
      </c>
      <c r="O99" s="6" t="s">
        <v>963</v>
      </c>
      <c r="P99" s="5" t="s">
        <v>189</v>
      </c>
      <c r="Q99" s="5"/>
      <c r="R99" s="5" t="s">
        <v>210</v>
      </c>
      <c r="S99" s="5" t="s">
        <v>964</v>
      </c>
      <c r="T99" s="5" t="s">
        <v>965</v>
      </c>
      <c r="U99" s="5" t="s">
        <v>966</v>
      </c>
      <c r="V99" s="8">
        <v>11</v>
      </c>
      <c r="W99" s="9">
        <v>13113</v>
      </c>
      <c r="X99" s="5" t="s">
        <v>35</v>
      </c>
      <c r="Y99" s="10">
        <v>100</v>
      </c>
      <c r="Z99" s="10">
        <v>25.44</v>
      </c>
      <c r="AA99" s="10">
        <v>25.44</v>
      </c>
      <c r="AB99" s="10">
        <v>0</v>
      </c>
      <c r="AC99" s="10">
        <v>7378</v>
      </c>
      <c r="AD99" s="10">
        <v>0</v>
      </c>
      <c r="AE99" s="11">
        <v>7378</v>
      </c>
      <c r="AF99" s="12" t="s">
        <v>52</v>
      </c>
      <c r="AG99" s="14" t="s">
        <v>414</v>
      </c>
      <c r="AH99" s="14" t="e">
        <v>#N/A</v>
      </c>
      <c r="AI99" s="14" t="s">
        <v>36</v>
      </c>
      <c r="AJ99" s="14">
        <v>20000</v>
      </c>
      <c r="AK99" s="14">
        <v>15000</v>
      </c>
      <c r="AL99" s="13">
        <v>12</v>
      </c>
      <c r="AM99" s="13">
        <v>12</v>
      </c>
      <c r="AN99" s="14" t="s">
        <v>407</v>
      </c>
      <c r="AO99" s="14" t="s">
        <v>87</v>
      </c>
      <c r="AP99" s="14" t="s">
        <v>90</v>
      </c>
      <c r="AQ99" s="20">
        <v>202601</v>
      </c>
      <c r="AR99" s="14" t="s">
        <v>153</v>
      </c>
      <c r="AS99" s="14" t="s">
        <v>169</v>
      </c>
      <c r="AT99" s="12" t="s">
        <v>52</v>
      </c>
      <c r="AU99" s="19" t="s">
        <v>877</v>
      </c>
      <c r="AV99" s="12" t="s">
        <v>878</v>
      </c>
      <c r="AW99"/>
    </row>
    <row r="100" spans="1:49" x14ac:dyDescent="0.3">
      <c r="A100" s="5" t="s">
        <v>30</v>
      </c>
      <c r="B100" s="5" t="s">
        <v>31</v>
      </c>
      <c r="C100" s="5" t="s">
        <v>870</v>
      </c>
      <c r="D100" s="5" t="s">
        <v>32</v>
      </c>
      <c r="E100" s="6" t="s">
        <v>33</v>
      </c>
      <c r="F100" s="7">
        <v>177</v>
      </c>
      <c r="G100" s="5" t="s">
        <v>871</v>
      </c>
      <c r="H100" s="5" t="s">
        <v>967</v>
      </c>
      <c r="I100" s="5" t="s">
        <v>968</v>
      </c>
      <c r="J100" s="5" t="s">
        <v>34</v>
      </c>
      <c r="K100" s="5" t="s">
        <v>94</v>
      </c>
      <c r="L100" s="5" t="s">
        <v>969</v>
      </c>
      <c r="M100" s="5" t="s">
        <v>46</v>
      </c>
      <c r="N100" s="5" t="s">
        <v>56</v>
      </c>
      <c r="O100" s="6" t="s">
        <v>970</v>
      </c>
      <c r="P100" s="5" t="s">
        <v>47</v>
      </c>
      <c r="Q100" s="5"/>
      <c r="R100" s="5" t="s">
        <v>146</v>
      </c>
      <c r="S100" s="5" t="s">
        <v>971</v>
      </c>
      <c r="T100" s="5" t="s">
        <v>898</v>
      </c>
      <c r="U100" s="5" t="s">
        <v>972</v>
      </c>
      <c r="V100" s="8">
        <v>29</v>
      </c>
      <c r="W100" s="9">
        <v>42081</v>
      </c>
      <c r="X100" s="5" t="s">
        <v>35</v>
      </c>
      <c r="Y100" s="10">
        <v>100</v>
      </c>
      <c r="Z100" s="10">
        <v>25.44</v>
      </c>
      <c r="AA100" s="10">
        <v>25.44</v>
      </c>
      <c r="AB100" s="10">
        <v>28908</v>
      </c>
      <c r="AC100" s="10">
        <v>7785</v>
      </c>
      <c r="AD100" s="10">
        <v>0</v>
      </c>
      <c r="AE100" s="11">
        <v>36693</v>
      </c>
      <c r="AF100" s="12" t="s">
        <v>96</v>
      </c>
      <c r="AG100" s="14" t="s">
        <v>184</v>
      </c>
      <c r="AH100" s="14" t="e">
        <v>#N/A</v>
      </c>
      <c r="AI100" s="14" t="s">
        <v>36</v>
      </c>
      <c r="AJ100" s="14">
        <v>50000</v>
      </c>
      <c r="AK100" s="14">
        <v>45000</v>
      </c>
      <c r="AL100" s="13">
        <v>30</v>
      </c>
      <c r="AM100" s="13">
        <v>30</v>
      </c>
      <c r="AN100" s="14" t="s">
        <v>973</v>
      </c>
      <c r="AO100" s="14" t="s">
        <v>87</v>
      </c>
      <c r="AP100" s="14" t="s">
        <v>46</v>
      </c>
      <c r="AQ100" s="20">
        <v>202601</v>
      </c>
      <c r="AR100" s="14" t="s">
        <v>166</v>
      </c>
      <c r="AS100"/>
      <c r="AT100" s="12" t="s">
        <v>96</v>
      </c>
      <c r="AU100" s="19" t="s">
        <v>877</v>
      </c>
      <c r="AV100" s="12" t="s">
        <v>878</v>
      </c>
      <c r="AW100"/>
    </row>
    <row r="101" spans="1:49" x14ac:dyDescent="0.3">
      <c r="A101" s="5" t="s">
        <v>30</v>
      </c>
      <c r="B101" s="5" t="s">
        <v>31</v>
      </c>
      <c r="C101" s="5" t="s">
        <v>870</v>
      </c>
      <c r="D101" s="5" t="s">
        <v>32</v>
      </c>
      <c r="E101" s="6" t="s">
        <v>33</v>
      </c>
      <c r="F101" s="7">
        <v>178</v>
      </c>
      <c r="G101" s="5" t="s">
        <v>871</v>
      </c>
      <c r="H101" s="5" t="s">
        <v>974</v>
      </c>
      <c r="I101" s="5" t="s">
        <v>975</v>
      </c>
      <c r="J101" s="5" t="s">
        <v>34</v>
      </c>
      <c r="K101" s="5" t="s">
        <v>50</v>
      </c>
      <c r="L101" s="5" t="s">
        <v>594</v>
      </c>
      <c r="M101" s="5" t="s">
        <v>46</v>
      </c>
      <c r="N101" s="5" t="s">
        <v>56</v>
      </c>
      <c r="O101" s="6" t="s">
        <v>976</v>
      </c>
      <c r="P101" s="5" t="s">
        <v>189</v>
      </c>
      <c r="Q101" s="5"/>
      <c r="R101" s="5" t="s">
        <v>146</v>
      </c>
      <c r="S101" s="5" t="s">
        <v>977</v>
      </c>
      <c r="T101" s="5" t="s">
        <v>958</v>
      </c>
      <c r="U101" s="5" t="s">
        <v>978</v>
      </c>
      <c r="V101" s="8">
        <v>10</v>
      </c>
      <c r="W101" s="9">
        <v>8105</v>
      </c>
      <c r="X101" s="5" t="s">
        <v>35</v>
      </c>
      <c r="Y101" s="10">
        <v>100</v>
      </c>
      <c r="Z101" s="10">
        <v>25.44</v>
      </c>
      <c r="AA101" s="10">
        <v>25.44</v>
      </c>
      <c r="AB101" s="10">
        <v>0</v>
      </c>
      <c r="AC101" s="10">
        <v>6360</v>
      </c>
      <c r="AD101" s="10">
        <v>0</v>
      </c>
      <c r="AE101" s="11">
        <v>6360</v>
      </c>
      <c r="AF101" s="12" t="s">
        <v>52</v>
      </c>
      <c r="AG101" s="14" t="s">
        <v>248</v>
      </c>
      <c r="AH101" s="14" t="e">
        <v>#N/A</v>
      </c>
      <c r="AI101" s="14" t="s">
        <v>36</v>
      </c>
      <c r="AJ101" s="14">
        <v>10000</v>
      </c>
      <c r="AK101" s="14">
        <v>10000</v>
      </c>
      <c r="AL101" s="13">
        <v>12</v>
      </c>
      <c r="AM101" s="13">
        <v>12</v>
      </c>
      <c r="AN101" s="14" t="s">
        <v>979</v>
      </c>
      <c r="AO101" s="14" t="s">
        <v>87</v>
      </c>
      <c r="AP101" s="14" t="s">
        <v>46</v>
      </c>
      <c r="AQ101" s="20">
        <v>202601</v>
      </c>
      <c r="AR101" s="14" t="s">
        <v>166</v>
      </c>
      <c r="AS101"/>
      <c r="AT101" s="12" t="s">
        <v>52</v>
      </c>
      <c r="AU101" s="19" t="s">
        <v>877</v>
      </c>
      <c r="AV101" s="12" t="s">
        <v>878</v>
      </c>
      <c r="AW101"/>
    </row>
    <row r="102" spans="1:49" x14ac:dyDescent="0.3">
      <c r="A102" s="5" t="s">
        <v>30</v>
      </c>
      <c r="B102" s="5" t="s">
        <v>31</v>
      </c>
      <c r="C102" s="5" t="s">
        <v>870</v>
      </c>
      <c r="D102" s="5" t="s">
        <v>32</v>
      </c>
      <c r="E102" s="6" t="s">
        <v>33</v>
      </c>
      <c r="F102" s="7">
        <v>179</v>
      </c>
      <c r="G102" s="5" t="s">
        <v>871</v>
      </c>
      <c r="H102" s="5" t="s">
        <v>980</v>
      </c>
      <c r="I102" s="5" t="s">
        <v>981</v>
      </c>
      <c r="J102" s="5" t="s">
        <v>34</v>
      </c>
      <c r="K102" s="5" t="s">
        <v>135</v>
      </c>
      <c r="L102" s="5" t="s">
        <v>982</v>
      </c>
      <c r="M102" s="5" t="s">
        <v>53</v>
      </c>
      <c r="N102" s="5" t="s">
        <v>56</v>
      </c>
      <c r="O102" s="6" t="s">
        <v>983</v>
      </c>
      <c r="P102" s="5" t="s">
        <v>312</v>
      </c>
      <c r="Q102" s="5"/>
      <c r="R102" s="5" t="s">
        <v>602</v>
      </c>
      <c r="S102" s="5" t="s">
        <v>984</v>
      </c>
      <c r="T102" s="5" t="s">
        <v>985</v>
      </c>
      <c r="U102" s="5" t="s">
        <v>986</v>
      </c>
      <c r="V102" s="8">
        <v>5</v>
      </c>
      <c r="W102" s="9">
        <v>13499</v>
      </c>
      <c r="X102" s="5" t="s">
        <v>35</v>
      </c>
      <c r="Y102" s="10">
        <v>100</v>
      </c>
      <c r="Z102" s="10">
        <v>25.44</v>
      </c>
      <c r="AA102" s="10">
        <v>25.44</v>
      </c>
      <c r="AB102" s="10">
        <v>23441</v>
      </c>
      <c r="AC102" s="10">
        <v>18190</v>
      </c>
      <c r="AD102" s="10">
        <v>0</v>
      </c>
      <c r="AE102" s="11">
        <v>41631</v>
      </c>
      <c r="AF102" s="12" t="s">
        <v>136</v>
      </c>
      <c r="AG102" s="14" t="s">
        <v>585</v>
      </c>
      <c r="AH102" s="14" t="e">
        <v>#N/A</v>
      </c>
      <c r="AI102" s="14" t="s">
        <v>49</v>
      </c>
      <c r="AJ102" s="14">
        <v>20000</v>
      </c>
      <c r="AK102" s="14">
        <v>15000</v>
      </c>
      <c r="AL102" s="13">
        <v>6</v>
      </c>
      <c r="AM102" s="13">
        <v>6</v>
      </c>
      <c r="AN102" s="14" t="s">
        <v>249</v>
      </c>
      <c r="AO102" s="14" t="s">
        <v>87</v>
      </c>
      <c r="AP102" s="14" t="s">
        <v>53</v>
      </c>
      <c r="AQ102" s="20">
        <v>202601</v>
      </c>
      <c r="AR102" s="14" t="s">
        <v>166</v>
      </c>
      <c r="AS102"/>
      <c r="AT102" s="12" t="s">
        <v>136</v>
      </c>
      <c r="AU102" s="19" t="s">
        <v>877</v>
      </c>
      <c r="AV102" s="12" t="s">
        <v>878</v>
      </c>
      <c r="AW102"/>
    </row>
    <row r="103" spans="1:49" x14ac:dyDescent="0.3">
      <c r="A103" s="5" t="s">
        <v>30</v>
      </c>
      <c r="B103" s="5" t="s">
        <v>31</v>
      </c>
      <c r="C103" s="5" t="s">
        <v>870</v>
      </c>
      <c r="D103" s="5" t="s">
        <v>32</v>
      </c>
      <c r="E103" s="6" t="s">
        <v>33</v>
      </c>
      <c r="F103" s="7">
        <v>180</v>
      </c>
      <c r="G103" s="5" t="s">
        <v>871</v>
      </c>
      <c r="H103" s="5" t="s">
        <v>987</v>
      </c>
      <c r="I103" s="5" t="s">
        <v>988</v>
      </c>
      <c r="J103" s="5" t="s">
        <v>34</v>
      </c>
      <c r="K103" s="5" t="s">
        <v>132</v>
      </c>
      <c r="L103" s="5" t="s">
        <v>989</v>
      </c>
      <c r="M103" s="5" t="s">
        <v>53</v>
      </c>
      <c r="N103" s="5" t="s">
        <v>56</v>
      </c>
      <c r="O103" s="6" t="s">
        <v>990</v>
      </c>
      <c r="P103" s="5" t="s">
        <v>73</v>
      </c>
      <c r="Q103" s="5"/>
      <c r="R103" s="5" t="s">
        <v>309</v>
      </c>
      <c r="S103" s="5" t="s">
        <v>551</v>
      </c>
      <c r="T103" s="5" t="s">
        <v>906</v>
      </c>
      <c r="U103" s="5" t="s">
        <v>991</v>
      </c>
      <c r="V103" s="8">
        <v>2</v>
      </c>
      <c r="W103" s="9">
        <v>1274</v>
      </c>
      <c r="X103" s="5" t="s">
        <v>35</v>
      </c>
      <c r="Y103" s="10">
        <v>100</v>
      </c>
      <c r="Z103" s="10">
        <v>25.44</v>
      </c>
      <c r="AA103" s="10">
        <v>25.44</v>
      </c>
      <c r="AB103" s="10">
        <v>35913</v>
      </c>
      <c r="AC103" s="10">
        <v>3854</v>
      </c>
      <c r="AD103" s="10">
        <v>0</v>
      </c>
      <c r="AE103" s="11">
        <v>39767</v>
      </c>
      <c r="AF103" s="12" t="s">
        <v>134</v>
      </c>
      <c r="AG103" s="14" t="s">
        <v>992</v>
      </c>
      <c r="AH103" s="14" t="e">
        <v>#N/A</v>
      </c>
      <c r="AI103" s="14" t="s">
        <v>49</v>
      </c>
      <c r="AJ103" s="14">
        <v>10000</v>
      </c>
      <c r="AK103" s="14">
        <v>5000</v>
      </c>
      <c r="AL103" s="13">
        <v>6</v>
      </c>
      <c r="AM103" s="13">
        <v>3</v>
      </c>
      <c r="AN103" s="14" t="s">
        <v>357</v>
      </c>
      <c r="AO103" s="14" t="s">
        <v>87</v>
      </c>
      <c r="AP103" s="14" t="s">
        <v>53</v>
      </c>
      <c r="AQ103" s="20">
        <v>202601</v>
      </c>
      <c r="AR103" s="14" t="s">
        <v>166</v>
      </c>
      <c r="AS103"/>
      <c r="AT103" s="12" t="s">
        <v>134</v>
      </c>
      <c r="AU103" s="19" t="s">
        <v>877</v>
      </c>
      <c r="AV103" s="12" t="s">
        <v>878</v>
      </c>
      <c r="AW103"/>
    </row>
    <row r="104" spans="1:49" x14ac:dyDescent="0.3">
      <c r="A104" s="5" t="s">
        <v>30</v>
      </c>
      <c r="B104" s="5" t="s">
        <v>31</v>
      </c>
      <c r="C104" s="5" t="s">
        <v>993</v>
      </c>
      <c r="D104" s="5" t="s">
        <v>32</v>
      </c>
      <c r="E104" s="6" t="s">
        <v>33</v>
      </c>
      <c r="F104" s="7">
        <v>1</v>
      </c>
      <c r="G104" s="5" t="s">
        <v>352</v>
      </c>
      <c r="H104" s="5" t="s">
        <v>994</v>
      </c>
      <c r="I104" s="5" t="s">
        <v>995</v>
      </c>
      <c r="J104" s="5" t="s">
        <v>34</v>
      </c>
      <c r="K104" s="5" t="s">
        <v>50</v>
      </c>
      <c r="L104" s="5" t="s">
        <v>996</v>
      </c>
      <c r="M104" s="5" t="s">
        <v>997</v>
      </c>
      <c r="N104" s="5" t="s">
        <v>56</v>
      </c>
      <c r="O104" s="6" t="s">
        <v>998</v>
      </c>
      <c r="P104" s="5" t="s">
        <v>999</v>
      </c>
      <c r="Q104" s="5"/>
      <c r="R104" s="5" t="s">
        <v>1000</v>
      </c>
      <c r="S104" s="5" t="s">
        <v>1001</v>
      </c>
      <c r="T104" s="5" t="s">
        <v>1002</v>
      </c>
      <c r="U104" s="5" t="s">
        <v>1003</v>
      </c>
      <c r="V104" s="8">
        <v>12</v>
      </c>
      <c r="W104" s="9">
        <v>10843</v>
      </c>
      <c r="X104" s="5" t="s">
        <v>35</v>
      </c>
      <c r="Y104" s="10">
        <v>100</v>
      </c>
      <c r="Z104" s="10">
        <v>25.44</v>
      </c>
      <c r="AA104" s="10">
        <v>25.44</v>
      </c>
      <c r="AB104" s="10">
        <v>0</v>
      </c>
      <c r="AC104" s="10">
        <v>8395</v>
      </c>
      <c r="AD104" s="10">
        <v>0</v>
      </c>
      <c r="AE104" s="11">
        <v>8395</v>
      </c>
      <c r="AF104" s="12" t="s">
        <v>52</v>
      </c>
      <c r="AG104" s="14" t="s">
        <v>339</v>
      </c>
      <c r="AH104" s="14" t="e">
        <v>#N/A</v>
      </c>
      <c r="AI104" s="14" t="s">
        <v>239</v>
      </c>
      <c r="AJ104" s="14">
        <v>20000</v>
      </c>
      <c r="AK104" s="14">
        <v>15000</v>
      </c>
      <c r="AL104" s="13">
        <v>18</v>
      </c>
      <c r="AM104" s="13">
        <v>15</v>
      </c>
      <c r="AN104" s="14" t="s">
        <v>1004</v>
      </c>
      <c r="AO104" s="14" t="s">
        <v>87</v>
      </c>
      <c r="AP104" s="14" t="s">
        <v>997</v>
      </c>
      <c r="AQ104" s="20">
        <v>202601</v>
      </c>
      <c r="AR104" s="14" t="s">
        <v>166</v>
      </c>
      <c r="AS104"/>
      <c r="AT104" s="12" t="s">
        <v>52</v>
      </c>
      <c r="AU104" s="19" t="s">
        <v>877</v>
      </c>
      <c r="AV104" s="12" t="s">
        <v>878</v>
      </c>
      <c r="AW104"/>
    </row>
    <row r="105" spans="1:49" x14ac:dyDescent="0.3">
      <c r="A105" s="5" t="s">
        <v>30</v>
      </c>
      <c r="B105" s="5" t="s">
        <v>54</v>
      </c>
      <c r="C105" s="5" t="s">
        <v>870</v>
      </c>
      <c r="D105" s="5" t="s">
        <v>32</v>
      </c>
      <c r="E105" s="6" t="s">
        <v>33</v>
      </c>
      <c r="F105" s="7">
        <v>1</v>
      </c>
      <c r="G105" s="5" t="s">
        <v>871</v>
      </c>
      <c r="H105" s="5" t="s">
        <v>1005</v>
      </c>
      <c r="I105" s="5" t="s">
        <v>1006</v>
      </c>
      <c r="J105" s="5" t="s">
        <v>34</v>
      </c>
      <c r="K105" s="5" t="s">
        <v>55</v>
      </c>
      <c r="L105" s="5" t="s">
        <v>236</v>
      </c>
      <c r="M105" s="5" t="s">
        <v>176</v>
      </c>
      <c r="N105" s="5" t="s">
        <v>56</v>
      </c>
      <c r="O105" s="6" t="e">
        <v>#N/A</v>
      </c>
      <c r="P105" s="5" t="s">
        <v>177</v>
      </c>
      <c r="Q105" s="5" t="s">
        <v>64</v>
      </c>
      <c r="R105" s="5" t="s">
        <v>1007</v>
      </c>
      <c r="S105" s="5" t="s">
        <v>1008</v>
      </c>
      <c r="T105" s="5" t="s">
        <v>1009</v>
      </c>
      <c r="U105" s="5" t="s">
        <v>1010</v>
      </c>
      <c r="V105" s="8">
        <v>92</v>
      </c>
      <c r="W105" s="9">
        <v>104456</v>
      </c>
      <c r="X105" s="5" t="s">
        <v>35</v>
      </c>
      <c r="Y105" s="10">
        <v>100</v>
      </c>
      <c r="Z105" s="10">
        <v>18.18</v>
      </c>
      <c r="AA105" s="10">
        <v>18.18</v>
      </c>
      <c r="AB105" s="10">
        <v>179022</v>
      </c>
      <c r="AC105" s="10">
        <v>34250</v>
      </c>
      <c r="AD105" s="10">
        <v>0</v>
      </c>
      <c r="AE105" s="11">
        <v>213272</v>
      </c>
      <c r="AF105" s="12" t="s">
        <v>57</v>
      </c>
      <c r="AG105" s="14" t="s">
        <v>1011</v>
      </c>
      <c r="AH105" s="14" t="s">
        <v>65</v>
      </c>
      <c r="AI105" s="14" t="s">
        <v>36</v>
      </c>
      <c r="AJ105" s="14" t="s">
        <v>142</v>
      </c>
      <c r="AK105" s="14" t="s">
        <v>142</v>
      </c>
      <c r="AL105" s="13" t="s">
        <v>124</v>
      </c>
      <c r="AM105" s="13" t="s">
        <v>124</v>
      </c>
      <c r="AN105" s="14" t="s">
        <v>58</v>
      </c>
      <c r="AO105" s="14" t="s">
        <v>59</v>
      </c>
      <c r="AP105" s="14" t="s">
        <v>37</v>
      </c>
      <c r="AQ105" s="20">
        <v>202601</v>
      </c>
      <c r="AR105" s="14" t="s">
        <v>153</v>
      </c>
      <c r="AS105" s="14" t="s">
        <v>165</v>
      </c>
      <c r="AT105" s="12" t="s">
        <v>165</v>
      </c>
      <c r="AU105" s="19" t="s">
        <v>877</v>
      </c>
      <c r="AV105" s="12" t="s">
        <v>878</v>
      </c>
      <c r="AW105"/>
    </row>
    <row r="106" spans="1:49" x14ac:dyDescent="0.3">
      <c r="A106" s="5" t="s">
        <v>30</v>
      </c>
      <c r="B106" s="5" t="s">
        <v>54</v>
      </c>
      <c r="C106" s="5" t="s">
        <v>870</v>
      </c>
      <c r="D106" s="5" t="s">
        <v>32</v>
      </c>
      <c r="E106" s="6" t="s">
        <v>33</v>
      </c>
      <c r="F106" s="7">
        <v>61</v>
      </c>
      <c r="G106" s="5" t="s">
        <v>871</v>
      </c>
      <c r="H106" s="5" t="s">
        <v>1012</v>
      </c>
      <c r="I106" s="5" t="s">
        <v>1013</v>
      </c>
      <c r="J106" s="5" t="s">
        <v>34</v>
      </c>
      <c r="K106" s="5" t="s">
        <v>135</v>
      </c>
      <c r="L106" s="5" t="s">
        <v>279</v>
      </c>
      <c r="M106" s="5" t="s">
        <v>39</v>
      </c>
      <c r="N106" s="5" t="s">
        <v>56</v>
      </c>
      <c r="O106" s="6" t="s">
        <v>1014</v>
      </c>
      <c r="P106" s="5" t="s">
        <v>182</v>
      </c>
      <c r="Q106" s="5" t="s">
        <v>64</v>
      </c>
      <c r="R106" s="5" t="s">
        <v>145</v>
      </c>
      <c r="S106" s="5" t="s">
        <v>1015</v>
      </c>
      <c r="T106" s="5" t="s">
        <v>359</v>
      </c>
      <c r="U106" s="5" t="s">
        <v>1016</v>
      </c>
      <c r="V106" s="8">
        <v>34</v>
      </c>
      <c r="W106" s="9">
        <v>25269</v>
      </c>
      <c r="X106" s="5" t="s">
        <v>35</v>
      </c>
      <c r="Y106" s="10">
        <v>100</v>
      </c>
      <c r="Z106" s="10">
        <v>18.18</v>
      </c>
      <c r="AA106" s="10">
        <v>18.18</v>
      </c>
      <c r="AB106" s="10">
        <v>43134</v>
      </c>
      <c r="AC106" s="10">
        <v>46938</v>
      </c>
      <c r="AD106" s="10">
        <v>0</v>
      </c>
      <c r="AE106" s="11">
        <v>90072</v>
      </c>
      <c r="AF106" s="12" t="s">
        <v>136</v>
      </c>
      <c r="AG106" s="14" t="s">
        <v>316</v>
      </c>
      <c r="AH106" s="14" t="s">
        <v>65</v>
      </c>
      <c r="AI106" s="14" t="s">
        <v>36</v>
      </c>
      <c r="AJ106" s="14">
        <v>30000</v>
      </c>
      <c r="AK106" s="14">
        <v>30000</v>
      </c>
      <c r="AL106" s="13">
        <v>36</v>
      </c>
      <c r="AM106" s="13">
        <v>36</v>
      </c>
      <c r="AN106" s="14" t="s">
        <v>66</v>
      </c>
      <c r="AO106" s="14" t="s">
        <v>67</v>
      </c>
      <c r="AP106" s="14" t="s">
        <v>37</v>
      </c>
      <c r="AQ106" s="20">
        <v>202601</v>
      </c>
      <c r="AR106" s="14" t="s">
        <v>153</v>
      </c>
      <c r="AS106" s="14" t="s">
        <v>185</v>
      </c>
      <c r="AT106" s="14" t="s">
        <v>185</v>
      </c>
      <c r="AU106" s="19" t="s">
        <v>877</v>
      </c>
      <c r="AV106" s="12" t="s">
        <v>878</v>
      </c>
      <c r="AW106"/>
    </row>
    <row r="107" spans="1:49" x14ac:dyDescent="0.3">
      <c r="A107" s="5" t="s">
        <v>30</v>
      </c>
      <c r="B107" s="5" t="s">
        <v>54</v>
      </c>
      <c r="C107" s="5" t="s">
        <v>870</v>
      </c>
      <c r="D107" s="5" t="s">
        <v>32</v>
      </c>
      <c r="E107" s="6" t="s">
        <v>33</v>
      </c>
      <c r="F107" s="7">
        <v>62</v>
      </c>
      <c r="G107" s="5" t="s">
        <v>871</v>
      </c>
      <c r="H107" s="5" t="s">
        <v>1017</v>
      </c>
      <c r="I107" s="5" t="s">
        <v>1018</v>
      </c>
      <c r="J107" s="5" t="s">
        <v>34</v>
      </c>
      <c r="K107" s="5" t="s">
        <v>135</v>
      </c>
      <c r="L107" s="5" t="s">
        <v>279</v>
      </c>
      <c r="M107" s="5" t="s">
        <v>39</v>
      </c>
      <c r="N107" s="5" t="s">
        <v>56</v>
      </c>
      <c r="O107" s="6" t="s">
        <v>1019</v>
      </c>
      <c r="P107" s="5" t="s">
        <v>1020</v>
      </c>
      <c r="Q107" s="5" t="s">
        <v>64</v>
      </c>
      <c r="R107" s="5" t="s">
        <v>145</v>
      </c>
      <c r="S107" s="5" t="s">
        <v>1021</v>
      </c>
      <c r="T107" s="5" t="s">
        <v>1022</v>
      </c>
      <c r="U107" s="5" t="s">
        <v>1023</v>
      </c>
      <c r="V107" s="8">
        <v>26</v>
      </c>
      <c r="W107" s="9">
        <v>22459</v>
      </c>
      <c r="X107" s="5" t="s">
        <v>35</v>
      </c>
      <c r="Y107" s="10">
        <v>100</v>
      </c>
      <c r="Z107" s="10">
        <v>18.18</v>
      </c>
      <c r="AA107" s="10">
        <v>18.18</v>
      </c>
      <c r="AB107" s="10">
        <v>0</v>
      </c>
      <c r="AC107" s="10">
        <v>11903</v>
      </c>
      <c r="AD107" s="10">
        <v>0</v>
      </c>
      <c r="AE107" s="11">
        <v>11903</v>
      </c>
      <c r="AF107" s="12" t="s">
        <v>136</v>
      </c>
      <c r="AG107" s="14" t="s">
        <v>295</v>
      </c>
      <c r="AH107" s="14" t="s">
        <v>65</v>
      </c>
      <c r="AI107" s="14" t="s">
        <v>36</v>
      </c>
      <c r="AJ107" s="14">
        <v>30000</v>
      </c>
      <c r="AK107" s="14">
        <v>25000</v>
      </c>
      <c r="AL107" s="13">
        <v>30</v>
      </c>
      <c r="AM107" s="13">
        <v>27</v>
      </c>
      <c r="AN107" s="14" t="s">
        <v>280</v>
      </c>
      <c r="AO107" s="14" t="s">
        <v>281</v>
      </c>
      <c r="AP107" s="14" t="s">
        <v>37</v>
      </c>
      <c r="AQ107" s="20">
        <v>202601</v>
      </c>
      <c r="AR107" s="14" t="s">
        <v>153</v>
      </c>
      <c r="AS107" s="14" t="s">
        <v>185</v>
      </c>
      <c r="AT107" s="14" t="s">
        <v>185</v>
      </c>
      <c r="AU107" s="19" t="s">
        <v>877</v>
      </c>
      <c r="AV107" s="12" t="s">
        <v>878</v>
      </c>
      <c r="AW107"/>
    </row>
    <row r="108" spans="1:49" x14ac:dyDescent="0.3">
      <c r="A108" s="5" t="s">
        <v>30</v>
      </c>
      <c r="B108" s="5" t="s">
        <v>54</v>
      </c>
      <c r="C108" s="5" t="s">
        <v>870</v>
      </c>
      <c r="D108" s="5" t="s">
        <v>32</v>
      </c>
      <c r="E108" s="6" t="s">
        <v>33</v>
      </c>
      <c r="F108" s="7">
        <v>63</v>
      </c>
      <c r="G108" s="5" t="s">
        <v>871</v>
      </c>
      <c r="H108" s="5" t="s">
        <v>1024</v>
      </c>
      <c r="I108" s="5" t="s">
        <v>1025</v>
      </c>
      <c r="J108" s="5" t="s">
        <v>34</v>
      </c>
      <c r="K108" s="5" t="s">
        <v>135</v>
      </c>
      <c r="L108" s="5" t="s">
        <v>279</v>
      </c>
      <c r="M108" s="5" t="s">
        <v>39</v>
      </c>
      <c r="N108" s="5" t="s">
        <v>56</v>
      </c>
      <c r="O108" s="6" t="s">
        <v>1026</v>
      </c>
      <c r="P108" s="5" t="s">
        <v>182</v>
      </c>
      <c r="Q108" s="5" t="s">
        <v>61</v>
      </c>
      <c r="R108" s="5" t="s">
        <v>145</v>
      </c>
      <c r="S108" s="5" t="s">
        <v>1027</v>
      </c>
      <c r="T108" s="5" t="s">
        <v>1009</v>
      </c>
      <c r="U108" s="5" t="s">
        <v>1028</v>
      </c>
      <c r="V108" s="8">
        <v>20</v>
      </c>
      <c r="W108" s="9">
        <v>26458</v>
      </c>
      <c r="X108" s="5" t="s">
        <v>35</v>
      </c>
      <c r="Y108" s="10">
        <v>100</v>
      </c>
      <c r="Z108" s="10">
        <v>18.18</v>
      </c>
      <c r="AA108" s="10">
        <v>18.18</v>
      </c>
      <c r="AB108" s="10">
        <v>42769</v>
      </c>
      <c r="AC108" s="10">
        <v>42510</v>
      </c>
      <c r="AD108" s="10">
        <v>0</v>
      </c>
      <c r="AE108" s="11">
        <v>85279</v>
      </c>
      <c r="AF108" s="12" t="s">
        <v>136</v>
      </c>
      <c r="AG108" s="14" t="s">
        <v>178</v>
      </c>
      <c r="AH108" s="14" t="s">
        <v>63</v>
      </c>
      <c r="AI108" s="14" t="s">
        <v>36</v>
      </c>
      <c r="AJ108" s="14">
        <v>30000</v>
      </c>
      <c r="AK108" s="14">
        <v>30000</v>
      </c>
      <c r="AL108" s="13">
        <v>24</v>
      </c>
      <c r="AM108" s="13">
        <v>21</v>
      </c>
      <c r="AN108" s="14" t="s">
        <v>66</v>
      </c>
      <c r="AO108" s="14" t="s">
        <v>67</v>
      </c>
      <c r="AP108" s="14" t="s">
        <v>37</v>
      </c>
      <c r="AQ108" s="20">
        <v>202601</v>
      </c>
      <c r="AR108" s="14" t="s">
        <v>153</v>
      </c>
      <c r="AS108" s="14" t="s">
        <v>185</v>
      </c>
      <c r="AT108" s="14" t="s">
        <v>185</v>
      </c>
      <c r="AU108" s="19" t="s">
        <v>877</v>
      </c>
      <c r="AV108" s="12" t="s">
        <v>878</v>
      </c>
      <c r="AW108"/>
    </row>
    <row r="109" spans="1:49" x14ac:dyDescent="0.3">
      <c r="A109" s="5" t="s">
        <v>30</v>
      </c>
      <c r="B109" s="5" t="s">
        <v>54</v>
      </c>
      <c r="C109" s="5" t="s">
        <v>870</v>
      </c>
      <c r="D109" s="5" t="s">
        <v>32</v>
      </c>
      <c r="E109" s="6" t="s">
        <v>33</v>
      </c>
      <c r="F109" s="7">
        <v>64</v>
      </c>
      <c r="G109" s="5" t="s">
        <v>871</v>
      </c>
      <c r="H109" s="5" t="s">
        <v>1029</v>
      </c>
      <c r="I109" s="5" t="s">
        <v>1030</v>
      </c>
      <c r="J109" s="5" t="s">
        <v>34</v>
      </c>
      <c r="K109" s="5" t="s">
        <v>435</v>
      </c>
      <c r="L109" s="5" t="s">
        <v>633</v>
      </c>
      <c r="M109" s="5" t="s">
        <v>39</v>
      </c>
      <c r="N109" s="5" t="s">
        <v>56</v>
      </c>
      <c r="O109" s="6" t="e">
        <v>#N/A</v>
      </c>
      <c r="P109" s="5" t="s">
        <v>130</v>
      </c>
      <c r="Q109" s="5" t="s">
        <v>71</v>
      </c>
      <c r="R109" s="5" t="s">
        <v>146</v>
      </c>
      <c r="S109" s="5" t="s">
        <v>1031</v>
      </c>
      <c r="T109" s="5" t="s">
        <v>1032</v>
      </c>
      <c r="U109" s="5" t="s">
        <v>1033</v>
      </c>
      <c r="V109" s="8">
        <v>25</v>
      </c>
      <c r="W109" s="9">
        <v>73504</v>
      </c>
      <c r="X109" s="5" t="s">
        <v>35</v>
      </c>
      <c r="Y109" s="10">
        <v>100</v>
      </c>
      <c r="Z109" s="10">
        <v>18.18</v>
      </c>
      <c r="AA109" s="10">
        <v>18.18</v>
      </c>
      <c r="AB109" s="10">
        <v>373153</v>
      </c>
      <c r="AC109" s="10">
        <v>15353</v>
      </c>
      <c r="AD109" s="10">
        <v>0</v>
      </c>
      <c r="AE109" s="11">
        <v>388506</v>
      </c>
      <c r="AF109" s="12" t="s">
        <v>441</v>
      </c>
      <c r="AG109" s="14" t="s">
        <v>297</v>
      </c>
      <c r="AH109" s="14" t="s">
        <v>72</v>
      </c>
      <c r="AI109" s="14" t="s">
        <v>36</v>
      </c>
      <c r="AJ109" s="14">
        <v>80000</v>
      </c>
      <c r="AK109" s="14">
        <v>75000</v>
      </c>
      <c r="AL109" s="13">
        <v>30</v>
      </c>
      <c r="AM109" s="13">
        <v>27</v>
      </c>
      <c r="AN109" s="14" t="s">
        <v>105</v>
      </c>
      <c r="AO109" s="14" t="s">
        <v>106</v>
      </c>
      <c r="AP109" s="14" t="s">
        <v>37</v>
      </c>
      <c r="AQ109" s="20">
        <v>202601</v>
      </c>
      <c r="AR109" s="14" t="s">
        <v>153</v>
      </c>
      <c r="AS109" s="14" t="s">
        <v>185</v>
      </c>
      <c r="AT109" s="14" t="s">
        <v>185</v>
      </c>
      <c r="AU109" s="19" t="s">
        <v>877</v>
      </c>
      <c r="AV109" s="12" t="s">
        <v>878</v>
      </c>
      <c r="AW109"/>
    </row>
    <row r="110" spans="1:49" x14ac:dyDescent="0.3">
      <c r="A110" s="5" t="s">
        <v>30</v>
      </c>
      <c r="B110" s="5" t="s">
        <v>54</v>
      </c>
      <c r="C110" s="5" t="s">
        <v>870</v>
      </c>
      <c r="D110" s="5" t="s">
        <v>32</v>
      </c>
      <c r="E110" s="6" t="s">
        <v>33</v>
      </c>
      <c r="F110" s="7">
        <v>65</v>
      </c>
      <c r="G110" s="5" t="s">
        <v>871</v>
      </c>
      <c r="H110" s="5" t="s">
        <v>1034</v>
      </c>
      <c r="I110" s="5" t="s">
        <v>1035</v>
      </c>
      <c r="J110" s="5" t="s">
        <v>34</v>
      </c>
      <c r="K110" s="5" t="s">
        <v>38</v>
      </c>
      <c r="L110" s="5" t="s">
        <v>1036</v>
      </c>
      <c r="M110" s="5" t="s">
        <v>39</v>
      </c>
      <c r="N110" s="5" t="s">
        <v>56</v>
      </c>
      <c r="O110" s="6" t="s">
        <v>1037</v>
      </c>
      <c r="P110" s="5" t="s">
        <v>68</v>
      </c>
      <c r="Q110" s="5" t="s">
        <v>64</v>
      </c>
      <c r="R110" s="5" t="s">
        <v>145</v>
      </c>
      <c r="S110" s="5" t="s">
        <v>1038</v>
      </c>
      <c r="T110" s="5" t="s">
        <v>1039</v>
      </c>
      <c r="U110" s="5" t="s">
        <v>1040</v>
      </c>
      <c r="V110" s="8">
        <v>65</v>
      </c>
      <c r="W110" s="9">
        <v>80776</v>
      </c>
      <c r="X110" s="5" t="s">
        <v>35</v>
      </c>
      <c r="Y110" s="10">
        <v>100</v>
      </c>
      <c r="Z110" s="10">
        <v>18.18</v>
      </c>
      <c r="AA110" s="10">
        <v>18.18</v>
      </c>
      <c r="AB110" s="10">
        <v>108435</v>
      </c>
      <c r="AC110" s="10">
        <v>30213</v>
      </c>
      <c r="AD110" s="10">
        <v>0</v>
      </c>
      <c r="AE110" s="11">
        <v>138648</v>
      </c>
      <c r="AF110" s="12" t="s">
        <v>41</v>
      </c>
      <c r="AG110" s="14" t="s">
        <v>1041</v>
      </c>
      <c r="AH110" s="14" t="s">
        <v>65</v>
      </c>
      <c r="AI110" s="14" t="s">
        <v>36</v>
      </c>
      <c r="AJ110" s="14">
        <v>90000</v>
      </c>
      <c r="AK110" s="14">
        <v>85000</v>
      </c>
      <c r="AL110" s="13" t="s">
        <v>124</v>
      </c>
      <c r="AM110" s="13" t="s">
        <v>124</v>
      </c>
      <c r="AN110" s="14" t="s">
        <v>280</v>
      </c>
      <c r="AO110" s="14" t="s">
        <v>281</v>
      </c>
      <c r="AP110" s="14" t="s">
        <v>37</v>
      </c>
      <c r="AQ110" s="20">
        <v>202601</v>
      </c>
      <c r="AR110" s="14" t="s">
        <v>153</v>
      </c>
      <c r="AS110" s="14" t="s">
        <v>165</v>
      </c>
      <c r="AT110" s="12" t="s">
        <v>165</v>
      </c>
      <c r="AU110" s="19" t="s">
        <v>877</v>
      </c>
      <c r="AV110" s="12" t="s">
        <v>878</v>
      </c>
      <c r="AW110"/>
    </row>
    <row r="111" spans="1:49" x14ac:dyDescent="0.3">
      <c r="A111" s="5" t="s">
        <v>30</v>
      </c>
      <c r="B111" s="5" t="s">
        <v>54</v>
      </c>
      <c r="C111" s="5" t="s">
        <v>870</v>
      </c>
      <c r="D111" s="5" t="s">
        <v>32</v>
      </c>
      <c r="E111" s="6" t="s">
        <v>33</v>
      </c>
      <c r="F111" s="7">
        <v>66</v>
      </c>
      <c r="G111" s="5" t="s">
        <v>871</v>
      </c>
      <c r="H111" s="5" t="s">
        <v>1042</v>
      </c>
      <c r="I111" s="5" t="s">
        <v>1043</v>
      </c>
      <c r="J111" s="5" t="s">
        <v>34</v>
      </c>
      <c r="K111" s="5" t="s">
        <v>38</v>
      </c>
      <c r="L111" s="5" t="s">
        <v>69</v>
      </c>
      <c r="M111" s="5" t="s">
        <v>39</v>
      </c>
      <c r="N111" s="5" t="s">
        <v>56</v>
      </c>
      <c r="O111" s="6" t="s">
        <v>1044</v>
      </c>
      <c r="P111" s="5" t="s">
        <v>143</v>
      </c>
      <c r="Q111" s="5" t="s">
        <v>64</v>
      </c>
      <c r="R111" s="5" t="s">
        <v>145</v>
      </c>
      <c r="S111" s="5" t="s">
        <v>1045</v>
      </c>
      <c r="T111" s="5" t="s">
        <v>525</v>
      </c>
      <c r="U111" s="5" t="s">
        <v>1046</v>
      </c>
      <c r="V111" s="8">
        <v>91</v>
      </c>
      <c r="W111" s="9">
        <v>127168</v>
      </c>
      <c r="X111" s="5" t="s">
        <v>35</v>
      </c>
      <c r="Y111" s="10">
        <v>100</v>
      </c>
      <c r="Z111" s="10">
        <v>18.18</v>
      </c>
      <c r="AA111" s="10">
        <v>18.18</v>
      </c>
      <c r="AB111" s="10">
        <v>483630</v>
      </c>
      <c r="AC111" s="10">
        <v>195838</v>
      </c>
      <c r="AD111" s="10">
        <v>0</v>
      </c>
      <c r="AE111" s="11">
        <v>679468</v>
      </c>
      <c r="AF111" s="12" t="s">
        <v>41</v>
      </c>
      <c r="AG111" s="14" t="s">
        <v>645</v>
      </c>
      <c r="AH111" s="14" t="s">
        <v>65</v>
      </c>
      <c r="AI111" s="14" t="s">
        <v>36</v>
      </c>
      <c r="AJ111" s="14" t="s">
        <v>142</v>
      </c>
      <c r="AK111" s="14" t="s">
        <v>142</v>
      </c>
      <c r="AL111" s="13" t="s">
        <v>124</v>
      </c>
      <c r="AM111" s="13" t="s">
        <v>124</v>
      </c>
      <c r="AN111" s="14" t="s">
        <v>58</v>
      </c>
      <c r="AO111" s="14" t="s">
        <v>59</v>
      </c>
      <c r="AP111" s="14" t="s">
        <v>37</v>
      </c>
      <c r="AQ111" s="20">
        <v>202601</v>
      </c>
      <c r="AR111" s="14" t="s">
        <v>153</v>
      </c>
      <c r="AS111" s="14" t="s">
        <v>165</v>
      </c>
      <c r="AT111" s="12" t="s">
        <v>165</v>
      </c>
      <c r="AU111" s="19" t="s">
        <v>877</v>
      </c>
      <c r="AV111" s="12" t="s">
        <v>878</v>
      </c>
      <c r="AW111"/>
    </row>
    <row r="112" spans="1:49" x14ac:dyDescent="0.3">
      <c r="A112" s="5" t="s">
        <v>30</v>
      </c>
      <c r="B112" s="5" t="s">
        <v>54</v>
      </c>
      <c r="C112" s="5" t="s">
        <v>870</v>
      </c>
      <c r="D112" s="5" t="s">
        <v>32</v>
      </c>
      <c r="E112" s="6" t="s">
        <v>33</v>
      </c>
      <c r="F112" s="7">
        <v>67</v>
      </c>
      <c r="G112" s="5" t="s">
        <v>871</v>
      </c>
      <c r="H112" s="5" t="s">
        <v>1047</v>
      </c>
      <c r="I112" s="5" t="s">
        <v>1048</v>
      </c>
      <c r="J112" s="5" t="s">
        <v>34</v>
      </c>
      <c r="K112" s="5" t="s">
        <v>38</v>
      </c>
      <c r="L112" s="5" t="s">
        <v>69</v>
      </c>
      <c r="M112" s="5" t="s">
        <v>39</v>
      </c>
      <c r="N112" s="5" t="s">
        <v>56</v>
      </c>
      <c r="O112" s="6" t="s">
        <v>1049</v>
      </c>
      <c r="P112" s="5" t="s">
        <v>68</v>
      </c>
      <c r="Q112" s="5" t="s">
        <v>64</v>
      </c>
      <c r="R112" s="5" t="s">
        <v>146</v>
      </c>
      <c r="S112" s="5" t="s">
        <v>1050</v>
      </c>
      <c r="T112" s="5" t="s">
        <v>491</v>
      </c>
      <c r="U112" s="5" t="s">
        <v>1051</v>
      </c>
      <c r="V112" s="8">
        <v>93</v>
      </c>
      <c r="W112" s="9">
        <v>90091</v>
      </c>
      <c r="X112" s="5" t="s">
        <v>35</v>
      </c>
      <c r="Y112" s="10">
        <v>100</v>
      </c>
      <c r="Z112" s="10">
        <v>18.18</v>
      </c>
      <c r="AA112" s="10">
        <v>18.18</v>
      </c>
      <c r="AB112" s="10">
        <v>482262</v>
      </c>
      <c r="AC112" s="10">
        <v>81720</v>
      </c>
      <c r="AD112" s="10">
        <v>0</v>
      </c>
      <c r="AE112" s="11">
        <v>563982</v>
      </c>
      <c r="AF112" s="12" t="s">
        <v>41</v>
      </c>
      <c r="AG112" s="14" t="s">
        <v>1052</v>
      </c>
      <c r="AH112" s="14" t="s">
        <v>65</v>
      </c>
      <c r="AI112" s="14" t="s">
        <v>36</v>
      </c>
      <c r="AJ112" s="14">
        <v>100000</v>
      </c>
      <c r="AK112" s="14">
        <v>95000</v>
      </c>
      <c r="AL112" s="13" t="s">
        <v>124</v>
      </c>
      <c r="AM112" s="13" t="s">
        <v>124</v>
      </c>
      <c r="AN112" s="14" t="s">
        <v>58</v>
      </c>
      <c r="AO112" s="14" t="s">
        <v>59</v>
      </c>
      <c r="AP112" s="14" t="s">
        <v>37</v>
      </c>
      <c r="AQ112" s="20">
        <v>202601</v>
      </c>
      <c r="AR112" s="14" t="s">
        <v>153</v>
      </c>
      <c r="AS112" s="14" t="s">
        <v>165</v>
      </c>
      <c r="AT112" s="12" t="s">
        <v>165</v>
      </c>
      <c r="AU112" s="19" t="s">
        <v>877</v>
      </c>
      <c r="AV112" s="12" t="s">
        <v>878</v>
      </c>
      <c r="AW112"/>
    </row>
    <row r="113" spans="1:49" x14ac:dyDescent="0.3">
      <c r="A113" s="5" t="s">
        <v>30</v>
      </c>
      <c r="B113" s="5" t="s">
        <v>54</v>
      </c>
      <c r="C113" s="5" t="s">
        <v>870</v>
      </c>
      <c r="D113" s="5" t="s">
        <v>32</v>
      </c>
      <c r="E113" s="6" t="s">
        <v>33</v>
      </c>
      <c r="F113" s="7">
        <v>68</v>
      </c>
      <c r="G113" s="5" t="s">
        <v>871</v>
      </c>
      <c r="H113" s="5" t="s">
        <v>1053</v>
      </c>
      <c r="I113" s="5" t="s">
        <v>1054</v>
      </c>
      <c r="J113" s="5" t="s">
        <v>34</v>
      </c>
      <c r="K113" s="5" t="s">
        <v>38</v>
      </c>
      <c r="L113" s="5" t="s">
        <v>69</v>
      </c>
      <c r="M113" s="5" t="s">
        <v>39</v>
      </c>
      <c r="N113" s="5" t="s">
        <v>56</v>
      </c>
      <c r="O113" s="6" t="s">
        <v>1055</v>
      </c>
      <c r="P113" s="5" t="s">
        <v>143</v>
      </c>
      <c r="Q113" s="5" t="s">
        <v>64</v>
      </c>
      <c r="R113" s="5" t="s">
        <v>1007</v>
      </c>
      <c r="S113" s="5" t="s">
        <v>1056</v>
      </c>
      <c r="T113" s="5" t="s">
        <v>379</v>
      </c>
      <c r="U113" s="5" t="s">
        <v>1057</v>
      </c>
      <c r="V113" s="8">
        <v>85</v>
      </c>
      <c r="W113" s="9">
        <v>121099</v>
      </c>
      <c r="X113" s="5" t="s">
        <v>35</v>
      </c>
      <c r="Y113" s="10">
        <v>100</v>
      </c>
      <c r="Z113" s="10">
        <v>18.18</v>
      </c>
      <c r="AA113" s="10">
        <v>18.18</v>
      </c>
      <c r="AB113" s="10">
        <v>482262</v>
      </c>
      <c r="AC113" s="10">
        <v>125771</v>
      </c>
      <c r="AD113" s="10">
        <v>0</v>
      </c>
      <c r="AE113" s="11">
        <v>608033</v>
      </c>
      <c r="AF113" s="12" t="s">
        <v>41</v>
      </c>
      <c r="AG113" s="14" t="s">
        <v>1058</v>
      </c>
      <c r="AH113" s="14" t="s">
        <v>65</v>
      </c>
      <c r="AI113" s="14" t="s">
        <v>36</v>
      </c>
      <c r="AJ113" s="14" t="s">
        <v>142</v>
      </c>
      <c r="AK113" s="14" t="s">
        <v>142</v>
      </c>
      <c r="AL113" s="13" t="s">
        <v>124</v>
      </c>
      <c r="AM113" s="13" t="s">
        <v>124</v>
      </c>
      <c r="AN113" s="14" t="s">
        <v>58</v>
      </c>
      <c r="AO113" s="14" t="s">
        <v>59</v>
      </c>
      <c r="AP113" s="14" t="s">
        <v>37</v>
      </c>
      <c r="AQ113" s="20">
        <v>202601</v>
      </c>
      <c r="AR113" s="14" t="s">
        <v>153</v>
      </c>
      <c r="AS113" s="14" t="s">
        <v>165</v>
      </c>
      <c r="AT113" s="12" t="s">
        <v>165</v>
      </c>
      <c r="AU113" s="19" t="s">
        <v>877</v>
      </c>
      <c r="AV113" s="12" t="s">
        <v>878</v>
      </c>
      <c r="AW113"/>
    </row>
    <row r="114" spans="1:49" x14ac:dyDescent="0.3">
      <c r="A114" s="5" t="s">
        <v>30</v>
      </c>
      <c r="B114" s="5" t="s">
        <v>54</v>
      </c>
      <c r="C114" s="5" t="s">
        <v>870</v>
      </c>
      <c r="D114" s="5" t="s">
        <v>32</v>
      </c>
      <c r="E114" s="6" t="s">
        <v>33</v>
      </c>
      <c r="F114" s="7">
        <v>69</v>
      </c>
      <c r="G114" s="5" t="s">
        <v>871</v>
      </c>
      <c r="H114" s="5" t="s">
        <v>1059</v>
      </c>
      <c r="I114" s="5" t="s">
        <v>1054</v>
      </c>
      <c r="J114" s="5" t="s">
        <v>34</v>
      </c>
      <c r="K114" s="5" t="s">
        <v>38</v>
      </c>
      <c r="L114" s="5" t="s">
        <v>69</v>
      </c>
      <c r="M114" s="5" t="s">
        <v>39</v>
      </c>
      <c r="N114" s="5" t="s">
        <v>56</v>
      </c>
      <c r="O114" s="6" t="s">
        <v>1055</v>
      </c>
      <c r="P114" s="5" t="s">
        <v>200</v>
      </c>
      <c r="Q114" s="5" t="s">
        <v>64</v>
      </c>
      <c r="R114" s="5" t="s">
        <v>1007</v>
      </c>
      <c r="S114" s="5" t="s">
        <v>1056</v>
      </c>
      <c r="T114" s="5" t="s">
        <v>379</v>
      </c>
      <c r="U114" s="5" t="s">
        <v>1057</v>
      </c>
      <c r="V114" s="8">
        <v>85</v>
      </c>
      <c r="W114" s="9">
        <v>121099</v>
      </c>
      <c r="X114" s="5" t="s">
        <v>35</v>
      </c>
      <c r="Y114" s="10">
        <v>100</v>
      </c>
      <c r="Z114" s="10">
        <v>18.18</v>
      </c>
      <c r="AA114" s="10">
        <v>18.18</v>
      </c>
      <c r="AB114" s="10">
        <v>0</v>
      </c>
      <c r="AC114" s="10">
        <v>0</v>
      </c>
      <c r="AD114" s="10">
        <v>54610</v>
      </c>
      <c r="AE114" s="11">
        <v>54610</v>
      </c>
      <c r="AF114" s="12" t="s">
        <v>41</v>
      </c>
      <c r="AG114" s="14" t="s">
        <v>1058</v>
      </c>
      <c r="AH114" s="14" t="s">
        <v>65</v>
      </c>
      <c r="AI114" s="14" t="s">
        <v>36</v>
      </c>
      <c r="AJ114" s="14" t="s">
        <v>142</v>
      </c>
      <c r="AK114" s="14" t="s">
        <v>142</v>
      </c>
      <c r="AL114" s="13" t="s">
        <v>124</v>
      </c>
      <c r="AM114" s="13" t="s">
        <v>124</v>
      </c>
      <c r="AN114" s="14" t="s">
        <v>58</v>
      </c>
      <c r="AO114" s="14" t="s">
        <v>59</v>
      </c>
      <c r="AP114" s="14" t="s">
        <v>37</v>
      </c>
      <c r="AQ114" s="20">
        <v>202601</v>
      </c>
      <c r="AR114" s="14" t="s">
        <v>153</v>
      </c>
      <c r="AS114" s="14" t="s">
        <v>165</v>
      </c>
      <c r="AT114" s="12" t="s">
        <v>165</v>
      </c>
      <c r="AU114" s="19" t="s">
        <v>877</v>
      </c>
      <c r="AV114" s="12" t="s">
        <v>878</v>
      </c>
      <c r="AW114"/>
    </row>
    <row r="115" spans="1:49" x14ac:dyDescent="0.3">
      <c r="A115" s="5" t="s">
        <v>30</v>
      </c>
      <c r="B115" s="5" t="s">
        <v>54</v>
      </c>
      <c r="C115" s="5" t="s">
        <v>870</v>
      </c>
      <c r="D115" s="5" t="s">
        <v>32</v>
      </c>
      <c r="E115" s="6" t="s">
        <v>33</v>
      </c>
      <c r="F115" s="7">
        <v>70</v>
      </c>
      <c r="G115" s="5" t="s">
        <v>871</v>
      </c>
      <c r="H115" s="5" t="s">
        <v>1060</v>
      </c>
      <c r="I115" s="5" t="s">
        <v>1061</v>
      </c>
      <c r="J115" s="5" t="s">
        <v>34</v>
      </c>
      <c r="K115" s="5" t="s">
        <v>38</v>
      </c>
      <c r="L115" s="5" t="s">
        <v>69</v>
      </c>
      <c r="M115" s="5" t="s">
        <v>39</v>
      </c>
      <c r="N115" s="5" t="s">
        <v>56</v>
      </c>
      <c r="O115" s="6" t="s">
        <v>1062</v>
      </c>
      <c r="P115" s="5" t="s">
        <v>143</v>
      </c>
      <c r="Q115" s="5" t="s">
        <v>64</v>
      </c>
      <c r="R115" s="5" t="s">
        <v>1007</v>
      </c>
      <c r="S115" s="5" t="s">
        <v>1063</v>
      </c>
      <c r="T115" s="5" t="s">
        <v>1064</v>
      </c>
      <c r="U115" s="5" t="s">
        <v>1065</v>
      </c>
      <c r="V115" s="8">
        <v>84</v>
      </c>
      <c r="W115" s="9">
        <v>97693</v>
      </c>
      <c r="X115" s="5" t="s">
        <v>35</v>
      </c>
      <c r="Y115" s="10">
        <v>100</v>
      </c>
      <c r="Z115" s="10">
        <v>18.18</v>
      </c>
      <c r="AA115" s="10">
        <v>18.18</v>
      </c>
      <c r="AB115" s="10">
        <v>483630</v>
      </c>
      <c r="AC115" s="10">
        <v>131920</v>
      </c>
      <c r="AD115" s="10">
        <v>0</v>
      </c>
      <c r="AE115" s="11">
        <v>615550</v>
      </c>
      <c r="AF115" s="12" t="s">
        <v>41</v>
      </c>
      <c r="AG115" s="14" t="s">
        <v>253</v>
      </c>
      <c r="AH115" s="14" t="s">
        <v>65</v>
      </c>
      <c r="AI115" s="14" t="s">
        <v>36</v>
      </c>
      <c r="AJ115" s="14">
        <v>100000</v>
      </c>
      <c r="AK115" s="14">
        <v>100000</v>
      </c>
      <c r="AL115" s="13" t="s">
        <v>124</v>
      </c>
      <c r="AM115" s="13" t="s">
        <v>124</v>
      </c>
      <c r="AN115" s="14" t="s">
        <v>58</v>
      </c>
      <c r="AO115" s="14" t="s">
        <v>59</v>
      </c>
      <c r="AP115" s="14" t="s">
        <v>37</v>
      </c>
      <c r="AQ115" s="20">
        <v>202601</v>
      </c>
      <c r="AR115" s="14" t="s">
        <v>153</v>
      </c>
      <c r="AS115" s="14" t="s">
        <v>165</v>
      </c>
      <c r="AT115" s="12" t="s">
        <v>165</v>
      </c>
      <c r="AU115" s="19" t="s">
        <v>877</v>
      </c>
      <c r="AV115" s="12" t="s">
        <v>878</v>
      </c>
      <c r="AW115"/>
    </row>
    <row r="116" spans="1:49" x14ac:dyDescent="0.3">
      <c r="A116" s="5" t="s">
        <v>30</v>
      </c>
      <c r="B116" s="5" t="s">
        <v>54</v>
      </c>
      <c r="C116" s="5" t="s">
        <v>870</v>
      </c>
      <c r="D116" s="5" t="s">
        <v>32</v>
      </c>
      <c r="E116" s="6" t="s">
        <v>33</v>
      </c>
      <c r="F116" s="7">
        <v>71</v>
      </c>
      <c r="G116" s="5" t="s">
        <v>871</v>
      </c>
      <c r="H116" s="5" t="s">
        <v>1066</v>
      </c>
      <c r="I116" s="5" t="s">
        <v>1067</v>
      </c>
      <c r="J116" s="5" t="s">
        <v>34</v>
      </c>
      <c r="K116" s="5" t="s">
        <v>55</v>
      </c>
      <c r="L116" s="5" t="s">
        <v>282</v>
      </c>
      <c r="M116" s="5" t="s">
        <v>39</v>
      </c>
      <c r="N116" s="5" t="s">
        <v>56</v>
      </c>
      <c r="O116" s="6" t="e">
        <v>#N/A</v>
      </c>
      <c r="P116" s="5" t="s">
        <v>68</v>
      </c>
      <c r="Q116" s="5" t="s">
        <v>64</v>
      </c>
      <c r="R116" s="5" t="s">
        <v>145</v>
      </c>
      <c r="S116" s="5" t="s">
        <v>1068</v>
      </c>
      <c r="T116" s="5" t="s">
        <v>609</v>
      </c>
      <c r="U116" s="5" t="s">
        <v>1069</v>
      </c>
      <c r="V116" s="8">
        <v>72</v>
      </c>
      <c r="W116" s="9">
        <v>94530</v>
      </c>
      <c r="X116" s="5" t="s">
        <v>35</v>
      </c>
      <c r="Y116" s="10">
        <v>100</v>
      </c>
      <c r="Z116" s="10">
        <v>18.18</v>
      </c>
      <c r="AA116" s="10">
        <v>18.18</v>
      </c>
      <c r="AB116" s="10">
        <v>224999</v>
      </c>
      <c r="AC116" s="10">
        <v>81603</v>
      </c>
      <c r="AD116" s="10">
        <v>0</v>
      </c>
      <c r="AE116" s="11">
        <v>306602</v>
      </c>
      <c r="AF116" s="12" t="s">
        <v>57</v>
      </c>
      <c r="AG116" s="14" t="s">
        <v>274</v>
      </c>
      <c r="AH116" s="14" t="s">
        <v>65</v>
      </c>
      <c r="AI116" s="14" t="s">
        <v>36</v>
      </c>
      <c r="AJ116" s="14">
        <v>100000</v>
      </c>
      <c r="AK116" s="14">
        <v>95000</v>
      </c>
      <c r="AL116" s="13" t="s">
        <v>124</v>
      </c>
      <c r="AM116" s="13" t="s">
        <v>124</v>
      </c>
      <c r="AN116" s="14" t="s">
        <v>58</v>
      </c>
      <c r="AO116" s="14" t="s">
        <v>59</v>
      </c>
      <c r="AP116" s="14" t="s">
        <v>37</v>
      </c>
      <c r="AQ116" s="20">
        <v>202601</v>
      </c>
      <c r="AR116" s="14" t="s">
        <v>153</v>
      </c>
      <c r="AS116" s="14" t="s">
        <v>165</v>
      </c>
      <c r="AT116" s="12" t="s">
        <v>165</v>
      </c>
      <c r="AU116" s="19" t="s">
        <v>877</v>
      </c>
      <c r="AV116" s="12" t="s">
        <v>878</v>
      </c>
      <c r="AW116"/>
    </row>
    <row r="117" spans="1:49" x14ac:dyDescent="0.3">
      <c r="A117" s="5" t="s">
        <v>30</v>
      </c>
      <c r="B117" s="5" t="s">
        <v>54</v>
      </c>
      <c r="C117" s="5" t="s">
        <v>870</v>
      </c>
      <c r="D117" s="5" t="s">
        <v>32</v>
      </c>
      <c r="E117" s="6" t="s">
        <v>33</v>
      </c>
      <c r="F117" s="7">
        <v>72</v>
      </c>
      <c r="G117" s="5" t="s">
        <v>871</v>
      </c>
      <c r="H117" s="5" t="s">
        <v>1070</v>
      </c>
      <c r="I117" s="5" t="s">
        <v>1071</v>
      </c>
      <c r="J117" s="5" t="s">
        <v>34</v>
      </c>
      <c r="K117" s="5" t="s">
        <v>55</v>
      </c>
      <c r="L117" s="5" t="s">
        <v>282</v>
      </c>
      <c r="M117" s="5" t="s">
        <v>39</v>
      </c>
      <c r="N117" s="5" t="s">
        <v>56</v>
      </c>
      <c r="O117" s="6" t="e">
        <v>#N/A</v>
      </c>
      <c r="P117" s="5" t="s">
        <v>177</v>
      </c>
      <c r="Q117" s="5" t="s">
        <v>64</v>
      </c>
      <c r="R117" s="5" t="s">
        <v>40</v>
      </c>
      <c r="S117" s="5" t="s">
        <v>1072</v>
      </c>
      <c r="T117" s="5" t="s">
        <v>570</v>
      </c>
      <c r="U117" s="5" t="s">
        <v>1073</v>
      </c>
      <c r="V117" s="8">
        <v>66</v>
      </c>
      <c r="W117" s="9">
        <v>109190</v>
      </c>
      <c r="X117" s="5" t="s">
        <v>35</v>
      </c>
      <c r="Y117" s="10">
        <v>100</v>
      </c>
      <c r="Z117" s="10">
        <v>18.18</v>
      </c>
      <c r="AA117" s="10">
        <v>18.18</v>
      </c>
      <c r="AB117" s="10">
        <v>391110</v>
      </c>
      <c r="AC117" s="10">
        <v>203797</v>
      </c>
      <c r="AD117" s="10">
        <v>0</v>
      </c>
      <c r="AE117" s="11">
        <v>594907</v>
      </c>
      <c r="AF117" s="12" t="s">
        <v>57</v>
      </c>
      <c r="AG117" s="14" t="s">
        <v>1074</v>
      </c>
      <c r="AH117" s="14" t="s">
        <v>65</v>
      </c>
      <c r="AI117" s="14" t="s">
        <v>36</v>
      </c>
      <c r="AJ117" s="14" t="s">
        <v>142</v>
      </c>
      <c r="AK117" s="14" t="s">
        <v>142</v>
      </c>
      <c r="AL117" s="13" t="s">
        <v>124</v>
      </c>
      <c r="AM117" s="13" t="s">
        <v>124</v>
      </c>
      <c r="AN117" s="14" t="s">
        <v>58</v>
      </c>
      <c r="AO117" s="14" t="s">
        <v>59</v>
      </c>
      <c r="AP117" s="14" t="s">
        <v>37</v>
      </c>
      <c r="AQ117" s="20">
        <v>202601</v>
      </c>
      <c r="AR117" s="14" t="s">
        <v>153</v>
      </c>
      <c r="AS117" s="14" t="s">
        <v>165</v>
      </c>
      <c r="AT117" s="12" t="s">
        <v>165</v>
      </c>
      <c r="AU117" s="19" t="s">
        <v>877</v>
      </c>
      <c r="AV117" s="12" t="s">
        <v>878</v>
      </c>
      <c r="AW117"/>
    </row>
    <row r="118" spans="1:49" x14ac:dyDescent="0.3">
      <c r="A118" s="5" t="s">
        <v>30</v>
      </c>
      <c r="B118" s="5" t="s">
        <v>54</v>
      </c>
      <c r="C118" s="5" t="s">
        <v>870</v>
      </c>
      <c r="D118" s="5" t="s">
        <v>32</v>
      </c>
      <c r="E118" s="6" t="s">
        <v>33</v>
      </c>
      <c r="F118" s="7">
        <v>75</v>
      </c>
      <c r="G118" s="5" t="s">
        <v>871</v>
      </c>
      <c r="H118" s="5" t="s">
        <v>1075</v>
      </c>
      <c r="I118" s="5" t="s">
        <v>1076</v>
      </c>
      <c r="J118" s="5" t="s">
        <v>34</v>
      </c>
      <c r="K118" s="5" t="s">
        <v>42</v>
      </c>
      <c r="L118" s="5" t="s">
        <v>127</v>
      </c>
      <c r="M118" s="5" t="s">
        <v>43</v>
      </c>
      <c r="N118" s="5" t="s">
        <v>56</v>
      </c>
      <c r="O118" s="6" t="s">
        <v>1077</v>
      </c>
      <c r="P118" s="5" t="s">
        <v>47</v>
      </c>
      <c r="Q118" s="5" t="s">
        <v>64</v>
      </c>
      <c r="R118" s="5" t="s">
        <v>146</v>
      </c>
      <c r="S118" s="5" t="s">
        <v>1078</v>
      </c>
      <c r="T118" s="5" t="s">
        <v>491</v>
      </c>
      <c r="U118" s="5" t="s">
        <v>283</v>
      </c>
      <c r="V118" s="8">
        <v>21</v>
      </c>
      <c r="W118" s="9">
        <v>50608</v>
      </c>
      <c r="X118" s="5" t="s">
        <v>35</v>
      </c>
      <c r="Y118" s="10">
        <v>100</v>
      </c>
      <c r="Z118" s="10">
        <v>18.18</v>
      </c>
      <c r="AA118" s="10">
        <v>18.18</v>
      </c>
      <c r="AB118" s="10">
        <v>169185</v>
      </c>
      <c r="AC118" s="10">
        <v>4306</v>
      </c>
      <c r="AD118" s="10">
        <v>0</v>
      </c>
      <c r="AE118" s="11">
        <v>173491</v>
      </c>
      <c r="AF118" s="12" t="s">
        <v>44</v>
      </c>
      <c r="AG118" s="14" t="s">
        <v>178</v>
      </c>
      <c r="AH118" s="14" t="s">
        <v>65</v>
      </c>
      <c r="AI118" s="14" t="s">
        <v>36</v>
      </c>
      <c r="AJ118" s="14">
        <v>60000</v>
      </c>
      <c r="AK118" s="14">
        <v>55000</v>
      </c>
      <c r="AL118" s="13">
        <v>24</v>
      </c>
      <c r="AM118" s="13">
        <v>24</v>
      </c>
      <c r="AN118" s="14" t="s">
        <v>174</v>
      </c>
      <c r="AO118" s="14" t="s">
        <v>175</v>
      </c>
      <c r="AP118" s="14" t="s">
        <v>46</v>
      </c>
      <c r="AQ118" s="20">
        <v>202601</v>
      </c>
      <c r="AR118" s="21" t="s">
        <v>153</v>
      </c>
      <c r="AS118" s="14" t="s">
        <v>314</v>
      </c>
      <c r="AT118" s="12" t="s">
        <v>44</v>
      </c>
      <c r="AU118" s="19" t="s">
        <v>877</v>
      </c>
      <c r="AV118" s="12" t="s">
        <v>878</v>
      </c>
      <c r="AW118"/>
    </row>
    <row r="119" spans="1:49" x14ac:dyDescent="0.3">
      <c r="A119" s="5" t="s">
        <v>30</v>
      </c>
      <c r="B119" s="5" t="s">
        <v>54</v>
      </c>
      <c r="C119" s="5" t="s">
        <v>870</v>
      </c>
      <c r="D119" s="5" t="s">
        <v>32</v>
      </c>
      <c r="E119" s="6" t="s">
        <v>33</v>
      </c>
      <c r="F119" s="7">
        <v>76</v>
      </c>
      <c r="G119" s="5" t="s">
        <v>871</v>
      </c>
      <c r="H119" s="5" t="s">
        <v>1079</v>
      </c>
      <c r="I119" s="5" t="s">
        <v>1080</v>
      </c>
      <c r="J119" s="5" t="s">
        <v>34</v>
      </c>
      <c r="K119" s="5" t="s">
        <v>42</v>
      </c>
      <c r="L119" s="5" t="s">
        <v>127</v>
      </c>
      <c r="M119" s="5" t="s">
        <v>43</v>
      </c>
      <c r="N119" s="5" t="s">
        <v>56</v>
      </c>
      <c r="O119" s="6" t="s">
        <v>1081</v>
      </c>
      <c r="P119" s="5" t="s">
        <v>47</v>
      </c>
      <c r="Q119" s="5" t="s">
        <v>61</v>
      </c>
      <c r="R119" s="5" t="s">
        <v>214</v>
      </c>
      <c r="S119" s="5" t="s">
        <v>1082</v>
      </c>
      <c r="T119" s="5" t="s">
        <v>1039</v>
      </c>
      <c r="U119" s="5" t="s">
        <v>288</v>
      </c>
      <c r="V119" s="8">
        <v>20</v>
      </c>
      <c r="W119" s="9">
        <v>87955</v>
      </c>
      <c r="X119" s="5" t="s">
        <v>35</v>
      </c>
      <c r="Y119" s="10">
        <v>100</v>
      </c>
      <c r="Z119" s="10">
        <v>18.18</v>
      </c>
      <c r="AA119" s="10">
        <v>18.18</v>
      </c>
      <c r="AB119" s="10">
        <v>169185</v>
      </c>
      <c r="AC119" s="10">
        <v>4306</v>
      </c>
      <c r="AD119" s="10">
        <v>0</v>
      </c>
      <c r="AE119" s="11">
        <v>173491</v>
      </c>
      <c r="AF119" s="12" t="s">
        <v>44</v>
      </c>
      <c r="AG119" s="14" t="s">
        <v>212</v>
      </c>
      <c r="AH119" s="14" t="s">
        <v>63</v>
      </c>
      <c r="AI119" s="14" t="s">
        <v>254</v>
      </c>
      <c r="AJ119" s="14">
        <v>90000</v>
      </c>
      <c r="AK119" s="14">
        <v>90000</v>
      </c>
      <c r="AL119" s="13">
        <v>24</v>
      </c>
      <c r="AM119" s="13">
        <v>21</v>
      </c>
      <c r="AN119" s="14" t="s">
        <v>174</v>
      </c>
      <c r="AO119" s="14" t="s">
        <v>175</v>
      </c>
      <c r="AP119" s="14" t="s">
        <v>46</v>
      </c>
      <c r="AQ119" s="20">
        <v>202601</v>
      </c>
      <c r="AR119" s="21" t="s">
        <v>153</v>
      </c>
      <c r="AS119" s="14" t="s">
        <v>314</v>
      </c>
      <c r="AT119" s="12" t="s">
        <v>44</v>
      </c>
      <c r="AU119" s="19" t="s">
        <v>877</v>
      </c>
      <c r="AV119" s="12" t="s">
        <v>878</v>
      </c>
      <c r="AW119"/>
    </row>
    <row r="120" spans="1:49" x14ac:dyDescent="0.3">
      <c r="A120" s="5" t="s">
        <v>30</v>
      </c>
      <c r="B120" s="5" t="s">
        <v>54</v>
      </c>
      <c r="C120" s="5" t="s">
        <v>870</v>
      </c>
      <c r="D120" s="5" t="s">
        <v>32</v>
      </c>
      <c r="E120" s="6" t="s">
        <v>33</v>
      </c>
      <c r="F120" s="7">
        <v>77</v>
      </c>
      <c r="G120" s="5" t="s">
        <v>871</v>
      </c>
      <c r="H120" s="5" t="s">
        <v>1083</v>
      </c>
      <c r="I120" s="5" t="s">
        <v>1084</v>
      </c>
      <c r="J120" s="5" t="s">
        <v>34</v>
      </c>
      <c r="K120" s="5" t="s">
        <v>42</v>
      </c>
      <c r="L120" s="5" t="s">
        <v>127</v>
      </c>
      <c r="M120" s="5" t="s">
        <v>43</v>
      </c>
      <c r="N120" s="5" t="s">
        <v>56</v>
      </c>
      <c r="O120" s="6" t="s">
        <v>1085</v>
      </c>
      <c r="P120" s="5" t="s">
        <v>47</v>
      </c>
      <c r="Q120" s="5" t="s">
        <v>64</v>
      </c>
      <c r="R120" s="5" t="s">
        <v>146</v>
      </c>
      <c r="S120" s="5" t="s">
        <v>1086</v>
      </c>
      <c r="T120" s="5" t="s">
        <v>501</v>
      </c>
      <c r="U120" s="5" t="s">
        <v>320</v>
      </c>
      <c r="V120" s="8">
        <v>19</v>
      </c>
      <c r="W120" s="9">
        <v>25789</v>
      </c>
      <c r="X120" s="5" t="s">
        <v>35</v>
      </c>
      <c r="Y120" s="10">
        <v>100</v>
      </c>
      <c r="Z120" s="10">
        <v>18.18</v>
      </c>
      <c r="AA120" s="10">
        <v>18.18</v>
      </c>
      <c r="AB120" s="10">
        <v>173676</v>
      </c>
      <c r="AC120" s="10">
        <v>4306</v>
      </c>
      <c r="AD120" s="10">
        <v>0</v>
      </c>
      <c r="AE120" s="11">
        <v>177982</v>
      </c>
      <c r="AF120" s="12" t="s">
        <v>44</v>
      </c>
      <c r="AG120" s="14" t="s">
        <v>212</v>
      </c>
      <c r="AH120" s="14" t="s">
        <v>65</v>
      </c>
      <c r="AI120" s="14" t="s">
        <v>36</v>
      </c>
      <c r="AJ120" s="14">
        <v>30000</v>
      </c>
      <c r="AK120" s="14">
        <v>30000</v>
      </c>
      <c r="AL120" s="13">
        <v>24</v>
      </c>
      <c r="AM120" s="13">
        <v>21</v>
      </c>
      <c r="AN120" s="14" t="s">
        <v>174</v>
      </c>
      <c r="AO120" s="14" t="s">
        <v>175</v>
      </c>
      <c r="AP120" s="14" t="s">
        <v>46</v>
      </c>
      <c r="AQ120" s="20">
        <v>202601</v>
      </c>
      <c r="AR120" s="21" t="s">
        <v>153</v>
      </c>
      <c r="AS120" s="14" t="s">
        <v>314</v>
      </c>
      <c r="AT120" s="12" t="s">
        <v>44</v>
      </c>
      <c r="AU120" s="19" t="s">
        <v>877</v>
      </c>
      <c r="AV120" s="12" t="s">
        <v>878</v>
      </c>
      <c r="AW120"/>
    </row>
    <row r="121" spans="1:49" x14ac:dyDescent="0.3">
      <c r="A121" s="5" t="s">
        <v>30</v>
      </c>
      <c r="B121" s="5" t="s">
        <v>54</v>
      </c>
      <c r="C121" s="5" t="s">
        <v>870</v>
      </c>
      <c r="D121" s="5" t="s">
        <v>32</v>
      </c>
      <c r="E121" s="6" t="s">
        <v>33</v>
      </c>
      <c r="F121" s="7">
        <v>78</v>
      </c>
      <c r="G121" s="5" t="s">
        <v>871</v>
      </c>
      <c r="H121" s="5" t="s">
        <v>1087</v>
      </c>
      <c r="I121" s="5" t="s">
        <v>1088</v>
      </c>
      <c r="J121" s="5" t="s">
        <v>34</v>
      </c>
      <c r="K121" s="5" t="s">
        <v>42</v>
      </c>
      <c r="L121" s="5" t="s">
        <v>127</v>
      </c>
      <c r="M121" s="5" t="s">
        <v>43</v>
      </c>
      <c r="N121" s="5" t="s">
        <v>56</v>
      </c>
      <c r="O121" s="6" t="s">
        <v>1089</v>
      </c>
      <c r="P121" s="5" t="s">
        <v>47</v>
      </c>
      <c r="Q121" s="5" t="s">
        <v>64</v>
      </c>
      <c r="R121" s="5" t="s">
        <v>146</v>
      </c>
      <c r="S121" s="5" t="s">
        <v>1090</v>
      </c>
      <c r="T121" s="5" t="s">
        <v>575</v>
      </c>
      <c r="U121" s="5" t="s">
        <v>922</v>
      </c>
      <c r="V121" s="8">
        <v>18</v>
      </c>
      <c r="W121" s="9">
        <v>48876</v>
      </c>
      <c r="X121" s="5" t="s">
        <v>35</v>
      </c>
      <c r="Y121" s="10">
        <v>100</v>
      </c>
      <c r="Z121" s="10">
        <v>18.18</v>
      </c>
      <c r="AA121" s="10">
        <v>18.18</v>
      </c>
      <c r="AB121" s="10">
        <v>169185</v>
      </c>
      <c r="AC121" s="10">
        <v>4306</v>
      </c>
      <c r="AD121" s="10">
        <v>0</v>
      </c>
      <c r="AE121" s="11">
        <v>173491</v>
      </c>
      <c r="AF121" s="12" t="s">
        <v>44</v>
      </c>
      <c r="AG121" s="14" t="s">
        <v>181</v>
      </c>
      <c r="AH121" s="14" t="s">
        <v>65</v>
      </c>
      <c r="AI121" s="14" t="s">
        <v>36</v>
      </c>
      <c r="AJ121" s="14">
        <v>50000</v>
      </c>
      <c r="AK121" s="14">
        <v>50000</v>
      </c>
      <c r="AL121" s="13">
        <v>24</v>
      </c>
      <c r="AM121" s="13">
        <v>21</v>
      </c>
      <c r="AN121" s="14" t="s">
        <v>174</v>
      </c>
      <c r="AO121" s="14" t="s">
        <v>175</v>
      </c>
      <c r="AP121" s="14" t="s">
        <v>46</v>
      </c>
      <c r="AQ121" s="20">
        <v>202601</v>
      </c>
      <c r="AR121" s="21" t="s">
        <v>153</v>
      </c>
      <c r="AS121" s="14" t="s">
        <v>314</v>
      </c>
      <c r="AT121" s="12" t="s">
        <v>44</v>
      </c>
      <c r="AU121" s="19" t="s">
        <v>877</v>
      </c>
      <c r="AV121" s="12" t="s">
        <v>878</v>
      </c>
      <c r="AW121"/>
    </row>
    <row r="122" spans="1:49" x14ac:dyDescent="0.3">
      <c r="A122" s="5" t="s">
        <v>30</v>
      </c>
      <c r="B122" s="5" t="s">
        <v>54</v>
      </c>
      <c r="C122" s="5" t="s">
        <v>870</v>
      </c>
      <c r="D122" s="5" t="s">
        <v>32</v>
      </c>
      <c r="E122" s="6" t="s">
        <v>33</v>
      </c>
      <c r="F122" s="7">
        <v>79</v>
      </c>
      <c r="G122" s="5" t="s">
        <v>871</v>
      </c>
      <c r="H122" s="5" t="s">
        <v>1091</v>
      </c>
      <c r="I122" s="5" t="s">
        <v>1092</v>
      </c>
      <c r="J122" s="5" t="s">
        <v>34</v>
      </c>
      <c r="K122" s="5" t="s">
        <v>42</v>
      </c>
      <c r="L122" s="5" t="s">
        <v>127</v>
      </c>
      <c r="M122" s="5" t="s">
        <v>43</v>
      </c>
      <c r="N122" s="5" t="s">
        <v>56</v>
      </c>
      <c r="O122" s="6" t="s">
        <v>1093</v>
      </c>
      <c r="P122" s="5" t="s">
        <v>47</v>
      </c>
      <c r="Q122" s="5" t="s">
        <v>64</v>
      </c>
      <c r="R122" s="5" t="s">
        <v>214</v>
      </c>
      <c r="S122" s="5" t="s">
        <v>1094</v>
      </c>
      <c r="T122" s="5" t="s">
        <v>1095</v>
      </c>
      <c r="U122" s="5" t="s">
        <v>1096</v>
      </c>
      <c r="V122" s="8">
        <v>17</v>
      </c>
      <c r="W122" s="9">
        <v>10771</v>
      </c>
      <c r="X122" s="5" t="s">
        <v>35</v>
      </c>
      <c r="Y122" s="10">
        <v>100</v>
      </c>
      <c r="Z122" s="10">
        <v>18.18</v>
      </c>
      <c r="AA122" s="10">
        <v>18.18</v>
      </c>
      <c r="AB122" s="10">
        <v>169185</v>
      </c>
      <c r="AC122" s="10">
        <v>4306</v>
      </c>
      <c r="AD122" s="10">
        <v>0</v>
      </c>
      <c r="AE122" s="11">
        <v>173491</v>
      </c>
      <c r="AF122" s="12" t="s">
        <v>44</v>
      </c>
      <c r="AG122" s="14" t="s">
        <v>181</v>
      </c>
      <c r="AH122" s="14" t="s">
        <v>65</v>
      </c>
      <c r="AI122" s="14" t="s">
        <v>254</v>
      </c>
      <c r="AJ122" s="14">
        <v>20000</v>
      </c>
      <c r="AK122" s="14">
        <v>15000</v>
      </c>
      <c r="AL122" s="13">
        <v>18</v>
      </c>
      <c r="AM122" s="13">
        <v>18</v>
      </c>
      <c r="AN122" s="14" t="s">
        <v>174</v>
      </c>
      <c r="AO122" s="14" t="s">
        <v>175</v>
      </c>
      <c r="AP122" s="14" t="s">
        <v>46</v>
      </c>
      <c r="AQ122" s="20">
        <v>202601</v>
      </c>
      <c r="AR122" s="21" t="s">
        <v>153</v>
      </c>
      <c r="AS122" s="14" t="s">
        <v>314</v>
      </c>
      <c r="AT122" s="12" t="s">
        <v>44</v>
      </c>
      <c r="AU122" s="19" t="s">
        <v>877</v>
      </c>
      <c r="AV122" s="12" t="s">
        <v>878</v>
      </c>
      <c r="AW122"/>
    </row>
    <row r="123" spans="1:49" x14ac:dyDescent="0.3">
      <c r="A123" s="5" t="s">
        <v>30</v>
      </c>
      <c r="B123" s="5" t="s">
        <v>54</v>
      </c>
      <c r="C123" s="5" t="s">
        <v>870</v>
      </c>
      <c r="D123" s="5" t="s">
        <v>32</v>
      </c>
      <c r="E123" s="6" t="s">
        <v>33</v>
      </c>
      <c r="F123" s="7">
        <v>80</v>
      </c>
      <c r="G123" s="5" t="s">
        <v>871</v>
      </c>
      <c r="H123" s="5" t="s">
        <v>1097</v>
      </c>
      <c r="I123" s="5" t="s">
        <v>1098</v>
      </c>
      <c r="J123" s="5" t="s">
        <v>34</v>
      </c>
      <c r="K123" s="5" t="s">
        <v>60</v>
      </c>
      <c r="L123" s="5" t="s">
        <v>1099</v>
      </c>
      <c r="M123" s="5" t="s">
        <v>43</v>
      </c>
      <c r="N123" s="5" t="s">
        <v>56</v>
      </c>
      <c r="O123" s="6" t="s">
        <v>1100</v>
      </c>
      <c r="P123" s="5" t="s">
        <v>47</v>
      </c>
      <c r="Q123" s="5" t="s">
        <v>71</v>
      </c>
      <c r="R123" s="5" t="s">
        <v>70</v>
      </c>
      <c r="S123" s="5" t="s">
        <v>1101</v>
      </c>
      <c r="T123" s="5" t="s">
        <v>1102</v>
      </c>
      <c r="U123" s="5" t="s">
        <v>1103</v>
      </c>
      <c r="V123" s="8">
        <v>19</v>
      </c>
      <c r="W123" s="9">
        <v>26023</v>
      </c>
      <c r="X123" s="5" t="s">
        <v>35</v>
      </c>
      <c r="Y123" s="10">
        <v>100</v>
      </c>
      <c r="Z123" s="10">
        <v>18.18</v>
      </c>
      <c r="AA123" s="10">
        <v>18.18</v>
      </c>
      <c r="AB123" s="10">
        <v>35688</v>
      </c>
      <c r="AC123" s="10">
        <v>4937</v>
      </c>
      <c r="AD123" s="10">
        <v>0</v>
      </c>
      <c r="AE123" s="11">
        <v>40625</v>
      </c>
      <c r="AF123" s="12" t="s">
        <v>62</v>
      </c>
      <c r="AG123" s="14" t="s">
        <v>164</v>
      </c>
      <c r="AH123" s="14" t="s">
        <v>72</v>
      </c>
      <c r="AI123" s="14" t="s">
        <v>49</v>
      </c>
      <c r="AJ123" s="14">
        <v>30000</v>
      </c>
      <c r="AK123" s="14">
        <v>30000</v>
      </c>
      <c r="AL123" s="13">
        <v>24</v>
      </c>
      <c r="AM123" s="13">
        <v>21</v>
      </c>
      <c r="AN123" s="14" t="s">
        <v>105</v>
      </c>
      <c r="AO123" s="14" t="s">
        <v>106</v>
      </c>
      <c r="AP123" s="14" t="s">
        <v>46</v>
      </c>
      <c r="AQ123" s="20">
        <v>202601</v>
      </c>
      <c r="AR123" s="14" t="s">
        <v>166</v>
      </c>
      <c r="AS123"/>
      <c r="AT123" s="12" t="s">
        <v>62</v>
      </c>
      <c r="AU123" s="19" t="s">
        <v>877</v>
      </c>
      <c r="AV123" s="12" t="s">
        <v>878</v>
      </c>
      <c r="AW123"/>
    </row>
    <row r="124" spans="1:49" x14ac:dyDescent="0.3">
      <c r="A124" s="5" t="s">
        <v>30</v>
      </c>
      <c r="B124" s="5" t="s">
        <v>54</v>
      </c>
      <c r="C124" s="5" t="s">
        <v>870</v>
      </c>
      <c r="D124" s="5" t="s">
        <v>32</v>
      </c>
      <c r="E124" s="6" t="s">
        <v>33</v>
      </c>
      <c r="F124" s="7">
        <v>85</v>
      </c>
      <c r="G124" s="5" t="s">
        <v>871</v>
      </c>
      <c r="H124" s="5" t="s">
        <v>1104</v>
      </c>
      <c r="I124" s="5" t="s">
        <v>1105</v>
      </c>
      <c r="J124" s="5" t="s">
        <v>34</v>
      </c>
      <c r="K124" s="5" t="s">
        <v>50</v>
      </c>
      <c r="L124" s="5" t="s">
        <v>285</v>
      </c>
      <c r="M124" s="5" t="s">
        <v>43</v>
      </c>
      <c r="N124" s="5" t="s">
        <v>1106</v>
      </c>
      <c r="O124" s="6" t="s">
        <v>1107</v>
      </c>
      <c r="P124" s="5" t="s">
        <v>47</v>
      </c>
      <c r="Q124" s="5" t="s">
        <v>64</v>
      </c>
      <c r="R124" s="5" t="s">
        <v>70</v>
      </c>
      <c r="S124" s="5" t="s">
        <v>1108</v>
      </c>
      <c r="T124" s="5" t="s">
        <v>1064</v>
      </c>
      <c r="U124" s="5" t="s">
        <v>1109</v>
      </c>
      <c r="V124" s="8">
        <v>52</v>
      </c>
      <c r="W124" s="9">
        <v>64171</v>
      </c>
      <c r="X124" s="5" t="s">
        <v>35</v>
      </c>
      <c r="Y124" s="10">
        <v>100</v>
      </c>
      <c r="Z124" s="10">
        <v>18.18</v>
      </c>
      <c r="AA124" s="10">
        <v>18.18</v>
      </c>
      <c r="AB124" s="10">
        <v>86158</v>
      </c>
      <c r="AC124" s="10">
        <v>19807</v>
      </c>
      <c r="AD124" s="10">
        <v>0</v>
      </c>
      <c r="AE124" s="11">
        <v>105965</v>
      </c>
      <c r="AF124" s="12" t="s">
        <v>52</v>
      </c>
      <c r="AG124" s="14" t="s">
        <v>408</v>
      </c>
      <c r="AH124" s="14" t="s">
        <v>65</v>
      </c>
      <c r="AI124" s="14" t="s">
        <v>49</v>
      </c>
      <c r="AJ124" s="14">
        <v>70000</v>
      </c>
      <c r="AK124" s="14">
        <v>65000</v>
      </c>
      <c r="AL124" s="13">
        <v>54</v>
      </c>
      <c r="AM124" s="13">
        <v>54</v>
      </c>
      <c r="AN124" s="14" t="s">
        <v>75</v>
      </c>
      <c r="AO124" s="14" t="s">
        <v>76</v>
      </c>
      <c r="AP124" s="14" t="s">
        <v>46</v>
      </c>
      <c r="AQ124" s="20">
        <v>202601</v>
      </c>
      <c r="AR124" s="14" t="s">
        <v>166</v>
      </c>
      <c r="AS124"/>
      <c r="AT124" s="12" t="s">
        <v>52</v>
      </c>
      <c r="AU124" s="19" t="s">
        <v>877</v>
      </c>
      <c r="AV124" s="12" t="s">
        <v>878</v>
      </c>
      <c r="AW124"/>
    </row>
    <row r="125" spans="1:49" x14ac:dyDescent="0.3">
      <c r="A125" s="5" t="s">
        <v>30</v>
      </c>
      <c r="B125" s="5" t="s">
        <v>54</v>
      </c>
      <c r="C125" s="5" t="s">
        <v>870</v>
      </c>
      <c r="D125" s="5" t="s">
        <v>32</v>
      </c>
      <c r="E125" s="6" t="s">
        <v>33</v>
      </c>
      <c r="F125" s="7">
        <v>86</v>
      </c>
      <c r="G125" s="5" t="s">
        <v>871</v>
      </c>
      <c r="H125" s="5" t="s">
        <v>1110</v>
      </c>
      <c r="I125" s="5" t="s">
        <v>1111</v>
      </c>
      <c r="J125" s="5" t="s">
        <v>34</v>
      </c>
      <c r="K125" s="5" t="s">
        <v>50</v>
      </c>
      <c r="L125" s="5" t="s">
        <v>285</v>
      </c>
      <c r="M125" s="5" t="s">
        <v>43</v>
      </c>
      <c r="N125" s="5" t="s">
        <v>1106</v>
      </c>
      <c r="O125" s="6" t="s">
        <v>1112</v>
      </c>
      <c r="P125" s="5" t="s">
        <v>47</v>
      </c>
      <c r="Q125" s="5" t="s">
        <v>64</v>
      </c>
      <c r="R125" s="5" t="s">
        <v>206</v>
      </c>
      <c r="S125" s="5" t="s">
        <v>1113</v>
      </c>
      <c r="T125" s="5" t="s">
        <v>915</v>
      </c>
      <c r="U125" s="5" t="s">
        <v>1114</v>
      </c>
      <c r="V125" s="8">
        <v>57</v>
      </c>
      <c r="W125" s="9">
        <v>75023</v>
      </c>
      <c r="X125" s="5" t="s">
        <v>35</v>
      </c>
      <c r="Y125" s="10">
        <v>100</v>
      </c>
      <c r="Z125" s="10">
        <v>18.18</v>
      </c>
      <c r="AA125" s="10">
        <v>18.18</v>
      </c>
      <c r="AB125" s="10">
        <v>77297</v>
      </c>
      <c r="AC125" s="10">
        <v>10289</v>
      </c>
      <c r="AD125" s="10">
        <v>0</v>
      </c>
      <c r="AE125" s="11">
        <v>87586</v>
      </c>
      <c r="AF125" s="12" t="s">
        <v>52</v>
      </c>
      <c r="AG125" s="14" t="s">
        <v>150</v>
      </c>
      <c r="AH125" s="14" t="s">
        <v>65</v>
      </c>
      <c r="AI125" s="14" t="s">
        <v>186</v>
      </c>
      <c r="AJ125" s="14">
        <v>80000</v>
      </c>
      <c r="AK125" s="14">
        <v>80000</v>
      </c>
      <c r="AL125" s="13">
        <v>60</v>
      </c>
      <c r="AM125" s="13">
        <v>60</v>
      </c>
      <c r="AN125" s="14" t="s">
        <v>75</v>
      </c>
      <c r="AO125" s="14" t="s">
        <v>76</v>
      </c>
      <c r="AP125" s="14" t="s">
        <v>46</v>
      </c>
      <c r="AQ125" s="20">
        <v>202601</v>
      </c>
      <c r="AR125" s="14" t="s">
        <v>166</v>
      </c>
      <c r="AS125"/>
      <c r="AT125" s="12" t="s">
        <v>52</v>
      </c>
      <c r="AU125" s="19" t="s">
        <v>877</v>
      </c>
      <c r="AV125" s="12" t="s">
        <v>878</v>
      </c>
      <c r="AW125"/>
    </row>
    <row r="126" spans="1:49" x14ac:dyDescent="0.3">
      <c r="A126" s="5" t="s">
        <v>30</v>
      </c>
      <c r="B126" s="5" t="s">
        <v>54</v>
      </c>
      <c r="C126" s="5" t="s">
        <v>870</v>
      </c>
      <c r="D126" s="5" t="s">
        <v>32</v>
      </c>
      <c r="E126" s="6" t="s">
        <v>33</v>
      </c>
      <c r="F126" s="7">
        <v>87</v>
      </c>
      <c r="G126" s="5" t="s">
        <v>871</v>
      </c>
      <c r="H126" s="5" t="s">
        <v>1115</v>
      </c>
      <c r="I126" s="5" t="s">
        <v>1116</v>
      </c>
      <c r="J126" s="5" t="s">
        <v>34</v>
      </c>
      <c r="K126" s="5" t="s">
        <v>135</v>
      </c>
      <c r="L126" s="5" t="s">
        <v>158</v>
      </c>
      <c r="M126" s="5" t="s">
        <v>155</v>
      </c>
      <c r="N126" s="5" t="s">
        <v>56</v>
      </c>
      <c r="O126" s="6" t="s">
        <v>1117</v>
      </c>
      <c r="P126" s="5" t="s">
        <v>1118</v>
      </c>
      <c r="Q126" s="5" t="s">
        <v>64</v>
      </c>
      <c r="R126" s="5" t="s">
        <v>203</v>
      </c>
      <c r="S126" s="5" t="s">
        <v>1119</v>
      </c>
      <c r="T126" s="5" t="s">
        <v>1120</v>
      </c>
      <c r="U126" s="5" t="s">
        <v>1121</v>
      </c>
      <c r="V126" s="8">
        <v>29</v>
      </c>
      <c r="W126" s="9">
        <v>67467</v>
      </c>
      <c r="X126" s="5" t="s">
        <v>35</v>
      </c>
      <c r="Y126" s="10">
        <v>100</v>
      </c>
      <c r="Z126" s="10">
        <v>18.18</v>
      </c>
      <c r="AA126" s="10">
        <v>18.18</v>
      </c>
      <c r="AB126" s="10">
        <v>64140</v>
      </c>
      <c r="AC126" s="10">
        <v>44181</v>
      </c>
      <c r="AD126" s="10">
        <v>0</v>
      </c>
      <c r="AE126" s="11">
        <v>108321</v>
      </c>
      <c r="AF126" s="12" t="s">
        <v>136</v>
      </c>
      <c r="AG126" s="14" t="s">
        <v>297</v>
      </c>
      <c r="AH126" s="14" t="s">
        <v>65</v>
      </c>
      <c r="AI126" s="14" t="s">
        <v>144</v>
      </c>
      <c r="AJ126" s="14">
        <v>70000</v>
      </c>
      <c r="AK126" s="14">
        <v>70000</v>
      </c>
      <c r="AL126" s="13">
        <v>30</v>
      </c>
      <c r="AM126" s="13">
        <v>30</v>
      </c>
      <c r="AN126" s="14" t="s">
        <v>58</v>
      </c>
      <c r="AO126" s="14" t="s">
        <v>59</v>
      </c>
      <c r="AP126" s="14" t="s">
        <v>167</v>
      </c>
      <c r="AQ126" s="20">
        <v>202601</v>
      </c>
      <c r="AR126" s="14" t="s">
        <v>166</v>
      </c>
      <c r="AS126"/>
      <c r="AT126" s="12" t="s">
        <v>136</v>
      </c>
      <c r="AU126" s="19" t="s">
        <v>877</v>
      </c>
      <c r="AV126" s="12" t="s">
        <v>878</v>
      </c>
      <c r="AW126"/>
    </row>
    <row r="127" spans="1:49" x14ac:dyDescent="0.3">
      <c r="A127" s="5" t="s">
        <v>30</v>
      </c>
      <c r="B127" s="5" t="s">
        <v>54</v>
      </c>
      <c r="C127" s="5" t="s">
        <v>870</v>
      </c>
      <c r="D127" s="5" t="s">
        <v>32</v>
      </c>
      <c r="E127" s="6" t="s">
        <v>33</v>
      </c>
      <c r="F127" s="7">
        <v>88</v>
      </c>
      <c r="G127" s="5" t="s">
        <v>871</v>
      </c>
      <c r="H127" s="5" t="s">
        <v>1122</v>
      </c>
      <c r="I127" s="5" t="s">
        <v>1123</v>
      </c>
      <c r="J127" s="5" t="s">
        <v>34</v>
      </c>
      <c r="K127" s="5" t="s">
        <v>135</v>
      </c>
      <c r="L127" s="5" t="s">
        <v>158</v>
      </c>
      <c r="M127" s="5" t="s">
        <v>155</v>
      </c>
      <c r="N127" s="5" t="s">
        <v>56</v>
      </c>
      <c r="O127" s="6" t="s">
        <v>1124</v>
      </c>
      <c r="P127" s="5" t="s">
        <v>385</v>
      </c>
      <c r="Q127" s="5" t="s">
        <v>64</v>
      </c>
      <c r="R127" s="5" t="s">
        <v>79</v>
      </c>
      <c r="S127" s="5" t="s">
        <v>390</v>
      </c>
      <c r="T127" s="5" t="s">
        <v>609</v>
      </c>
      <c r="U127" s="5" t="s">
        <v>1125</v>
      </c>
      <c r="V127" s="8">
        <v>25</v>
      </c>
      <c r="W127" s="9">
        <v>33712</v>
      </c>
      <c r="X127" s="5" t="s">
        <v>35</v>
      </c>
      <c r="Y127" s="10">
        <v>100</v>
      </c>
      <c r="Z127" s="10">
        <v>18.18</v>
      </c>
      <c r="AA127" s="10">
        <v>18.18</v>
      </c>
      <c r="AB127" s="10">
        <v>62763</v>
      </c>
      <c r="AC127" s="10">
        <v>84633</v>
      </c>
      <c r="AD127" s="10">
        <v>0</v>
      </c>
      <c r="AE127" s="11">
        <v>147396</v>
      </c>
      <c r="AF127" s="12" t="s">
        <v>136</v>
      </c>
      <c r="AG127" s="14" t="s">
        <v>184</v>
      </c>
      <c r="AH127" s="14" t="s">
        <v>65</v>
      </c>
      <c r="AI127" s="14" t="s">
        <v>45</v>
      </c>
      <c r="AJ127" s="14">
        <v>40000</v>
      </c>
      <c r="AK127" s="14">
        <v>35000</v>
      </c>
      <c r="AL127" s="13">
        <v>30</v>
      </c>
      <c r="AM127" s="13">
        <v>27</v>
      </c>
      <c r="AN127" s="14" t="s">
        <v>58</v>
      </c>
      <c r="AO127" s="14" t="s">
        <v>59</v>
      </c>
      <c r="AP127" s="14" t="s">
        <v>167</v>
      </c>
      <c r="AQ127" s="20">
        <v>202601</v>
      </c>
      <c r="AR127" s="14" t="s">
        <v>166</v>
      </c>
      <c r="AS127"/>
      <c r="AT127" s="12" t="s">
        <v>136</v>
      </c>
      <c r="AU127" s="19" t="s">
        <v>877</v>
      </c>
      <c r="AV127" s="12" t="s">
        <v>878</v>
      </c>
      <c r="AW127"/>
    </row>
    <row r="128" spans="1:49" x14ac:dyDescent="0.3">
      <c r="A128" s="5" t="s">
        <v>30</v>
      </c>
      <c r="B128" s="5" t="s">
        <v>54</v>
      </c>
      <c r="C128" s="5" t="s">
        <v>870</v>
      </c>
      <c r="D128" s="5" t="s">
        <v>32</v>
      </c>
      <c r="E128" s="6" t="s">
        <v>33</v>
      </c>
      <c r="F128" s="7">
        <v>89</v>
      </c>
      <c r="G128" s="5" t="s">
        <v>871</v>
      </c>
      <c r="H128" s="5" t="s">
        <v>1126</v>
      </c>
      <c r="I128" s="5" t="s">
        <v>1127</v>
      </c>
      <c r="J128" s="5" t="s">
        <v>34</v>
      </c>
      <c r="K128" s="5" t="s">
        <v>135</v>
      </c>
      <c r="L128" s="5" t="s">
        <v>158</v>
      </c>
      <c r="M128" s="5" t="s">
        <v>155</v>
      </c>
      <c r="N128" s="5" t="s">
        <v>56</v>
      </c>
      <c r="O128" s="6" t="s">
        <v>1128</v>
      </c>
      <c r="P128" s="5" t="s">
        <v>159</v>
      </c>
      <c r="Q128" s="5" t="s">
        <v>64</v>
      </c>
      <c r="R128" s="5" t="s">
        <v>284</v>
      </c>
      <c r="S128" s="5" t="s">
        <v>1129</v>
      </c>
      <c r="T128" s="5" t="s">
        <v>906</v>
      </c>
      <c r="U128" s="5" t="s">
        <v>1130</v>
      </c>
      <c r="V128" s="8">
        <v>24</v>
      </c>
      <c r="W128" s="9">
        <v>37626</v>
      </c>
      <c r="X128" s="5" t="s">
        <v>35</v>
      </c>
      <c r="Y128" s="10">
        <v>100</v>
      </c>
      <c r="Z128" s="10">
        <v>18.18</v>
      </c>
      <c r="AA128" s="10">
        <v>18.18</v>
      </c>
      <c r="AB128" s="10">
        <v>48279</v>
      </c>
      <c r="AC128" s="10">
        <v>20710</v>
      </c>
      <c r="AD128" s="10">
        <v>0</v>
      </c>
      <c r="AE128" s="11">
        <v>68989</v>
      </c>
      <c r="AF128" s="12" t="s">
        <v>136</v>
      </c>
      <c r="AG128" s="14" t="s">
        <v>162</v>
      </c>
      <c r="AH128" s="14" t="s">
        <v>65</v>
      </c>
      <c r="AI128" s="14" t="s">
        <v>123</v>
      </c>
      <c r="AJ128" s="14">
        <v>40000</v>
      </c>
      <c r="AK128" s="14">
        <v>40000</v>
      </c>
      <c r="AL128" s="13">
        <v>30</v>
      </c>
      <c r="AM128" s="13">
        <v>27</v>
      </c>
      <c r="AN128" s="14" t="s">
        <v>75</v>
      </c>
      <c r="AO128" s="14" t="s">
        <v>76</v>
      </c>
      <c r="AP128" s="14" t="s">
        <v>167</v>
      </c>
      <c r="AQ128" s="20">
        <v>202601</v>
      </c>
      <c r="AR128" s="14" t="s">
        <v>166</v>
      </c>
      <c r="AS128"/>
      <c r="AT128" s="12" t="s">
        <v>136</v>
      </c>
      <c r="AU128" s="19" t="s">
        <v>877</v>
      </c>
      <c r="AV128" s="12" t="s">
        <v>878</v>
      </c>
      <c r="AW128"/>
    </row>
    <row r="129" spans="1:49" x14ac:dyDescent="0.3">
      <c r="A129" s="5" t="s">
        <v>30</v>
      </c>
      <c r="B129" s="5" t="s">
        <v>54</v>
      </c>
      <c r="C129" s="5" t="s">
        <v>870</v>
      </c>
      <c r="D129" s="5" t="s">
        <v>32</v>
      </c>
      <c r="E129" s="6" t="s">
        <v>33</v>
      </c>
      <c r="F129" s="7">
        <v>90</v>
      </c>
      <c r="G129" s="5" t="s">
        <v>871</v>
      </c>
      <c r="H129" s="5" t="s">
        <v>1131</v>
      </c>
      <c r="I129" s="5" t="s">
        <v>1132</v>
      </c>
      <c r="J129" s="5" t="s">
        <v>34</v>
      </c>
      <c r="K129" s="5" t="s">
        <v>135</v>
      </c>
      <c r="L129" s="5" t="s">
        <v>158</v>
      </c>
      <c r="M129" s="5" t="s">
        <v>155</v>
      </c>
      <c r="N129" s="5" t="s">
        <v>56</v>
      </c>
      <c r="O129" s="6" t="s">
        <v>1133</v>
      </c>
      <c r="P129" s="5" t="s">
        <v>387</v>
      </c>
      <c r="Q129" s="5" t="s">
        <v>64</v>
      </c>
      <c r="R129" s="5" t="s">
        <v>399</v>
      </c>
      <c r="S129" s="5" t="s">
        <v>635</v>
      </c>
      <c r="T129" s="5" t="s">
        <v>491</v>
      </c>
      <c r="U129" s="5" t="s">
        <v>1134</v>
      </c>
      <c r="V129" s="8">
        <v>14</v>
      </c>
      <c r="W129" s="9">
        <v>25918</v>
      </c>
      <c r="X129" s="5" t="s">
        <v>35</v>
      </c>
      <c r="Y129" s="10">
        <v>100</v>
      </c>
      <c r="Z129" s="10">
        <v>18.18</v>
      </c>
      <c r="AA129" s="10">
        <v>18.18</v>
      </c>
      <c r="AB129" s="10">
        <v>62763</v>
      </c>
      <c r="AC129" s="10">
        <v>67861</v>
      </c>
      <c r="AD129" s="10">
        <v>0</v>
      </c>
      <c r="AE129" s="11">
        <v>130624</v>
      </c>
      <c r="AF129" s="12" t="s">
        <v>136</v>
      </c>
      <c r="AG129" s="14" t="s">
        <v>234</v>
      </c>
      <c r="AH129" s="14" t="s">
        <v>65</v>
      </c>
      <c r="AI129" s="14" t="s">
        <v>36</v>
      </c>
      <c r="AJ129" s="14">
        <v>30000</v>
      </c>
      <c r="AK129" s="14">
        <v>30000</v>
      </c>
      <c r="AL129" s="13">
        <v>18</v>
      </c>
      <c r="AM129" s="13">
        <v>15</v>
      </c>
      <c r="AN129" s="14" t="s">
        <v>58</v>
      </c>
      <c r="AO129" s="14" t="s">
        <v>59</v>
      </c>
      <c r="AP129" s="14" t="s">
        <v>167</v>
      </c>
      <c r="AQ129" s="20">
        <v>202601</v>
      </c>
      <c r="AR129" s="14" t="s">
        <v>166</v>
      </c>
      <c r="AS129"/>
      <c r="AT129" s="12" t="s">
        <v>136</v>
      </c>
      <c r="AU129" s="19" t="s">
        <v>877</v>
      </c>
      <c r="AV129" s="12" t="s">
        <v>878</v>
      </c>
      <c r="AW129"/>
    </row>
    <row r="130" spans="1:49" x14ac:dyDescent="0.3">
      <c r="A130" s="5" t="s">
        <v>30</v>
      </c>
      <c r="B130" s="5" t="s">
        <v>54</v>
      </c>
      <c r="C130" s="5" t="s">
        <v>870</v>
      </c>
      <c r="D130" s="5" t="s">
        <v>32</v>
      </c>
      <c r="E130" s="6" t="s">
        <v>33</v>
      </c>
      <c r="F130" s="7">
        <v>91</v>
      </c>
      <c r="G130" s="5" t="s">
        <v>871</v>
      </c>
      <c r="H130" s="5" t="s">
        <v>1135</v>
      </c>
      <c r="I130" s="5" t="s">
        <v>1132</v>
      </c>
      <c r="J130" s="5" t="s">
        <v>34</v>
      </c>
      <c r="K130" s="5" t="s">
        <v>135</v>
      </c>
      <c r="L130" s="5" t="s">
        <v>158</v>
      </c>
      <c r="M130" s="5" t="s">
        <v>155</v>
      </c>
      <c r="N130" s="5" t="s">
        <v>56</v>
      </c>
      <c r="O130" s="6" t="s">
        <v>1133</v>
      </c>
      <c r="P130" s="5" t="s">
        <v>386</v>
      </c>
      <c r="Q130" s="5" t="s">
        <v>64</v>
      </c>
      <c r="R130" s="5" t="s">
        <v>399</v>
      </c>
      <c r="S130" s="5" t="s">
        <v>635</v>
      </c>
      <c r="T130" s="5" t="s">
        <v>491</v>
      </c>
      <c r="U130" s="5" t="s">
        <v>1134</v>
      </c>
      <c r="V130" s="8">
        <v>14</v>
      </c>
      <c r="W130" s="9">
        <v>25918</v>
      </c>
      <c r="X130" s="5" t="s">
        <v>35</v>
      </c>
      <c r="Y130" s="10">
        <v>100</v>
      </c>
      <c r="Z130" s="10">
        <v>18.18</v>
      </c>
      <c r="AA130" s="10">
        <v>18.18</v>
      </c>
      <c r="AB130" s="10">
        <v>0</v>
      </c>
      <c r="AC130" s="10">
        <v>0</v>
      </c>
      <c r="AD130" s="10">
        <v>81720</v>
      </c>
      <c r="AE130" s="11">
        <v>81720</v>
      </c>
      <c r="AF130" s="12" t="s">
        <v>136</v>
      </c>
      <c r="AG130" s="14" t="s">
        <v>234</v>
      </c>
      <c r="AH130" s="14" t="s">
        <v>65</v>
      </c>
      <c r="AI130" s="14" t="s">
        <v>36</v>
      </c>
      <c r="AJ130" s="14">
        <v>30000</v>
      </c>
      <c r="AK130" s="14">
        <v>30000</v>
      </c>
      <c r="AL130" s="13">
        <v>18</v>
      </c>
      <c r="AM130" s="13">
        <v>15</v>
      </c>
      <c r="AN130" s="14" t="s">
        <v>58</v>
      </c>
      <c r="AO130" s="14" t="s">
        <v>59</v>
      </c>
      <c r="AP130" s="14" t="s">
        <v>167</v>
      </c>
      <c r="AQ130" s="20">
        <v>202601</v>
      </c>
      <c r="AR130" s="14" t="s">
        <v>166</v>
      </c>
      <c r="AS130"/>
      <c r="AT130" s="12" t="s">
        <v>136</v>
      </c>
      <c r="AU130" s="19" t="s">
        <v>877</v>
      </c>
      <c r="AV130" s="12" t="s">
        <v>878</v>
      </c>
      <c r="AW130"/>
    </row>
    <row r="131" spans="1:49" x14ac:dyDescent="0.3">
      <c r="A131" s="5" t="s">
        <v>30</v>
      </c>
      <c r="B131" s="5" t="s">
        <v>54</v>
      </c>
      <c r="C131" s="5" t="s">
        <v>870</v>
      </c>
      <c r="D131" s="5" t="s">
        <v>32</v>
      </c>
      <c r="E131" s="6" t="s">
        <v>33</v>
      </c>
      <c r="F131" s="7">
        <v>92</v>
      </c>
      <c r="G131" s="5" t="s">
        <v>871</v>
      </c>
      <c r="H131" s="5" t="s">
        <v>1136</v>
      </c>
      <c r="I131" s="5" t="s">
        <v>1137</v>
      </c>
      <c r="J131" s="5" t="s">
        <v>34</v>
      </c>
      <c r="K131" s="5" t="s">
        <v>135</v>
      </c>
      <c r="L131" s="5" t="s">
        <v>158</v>
      </c>
      <c r="M131" s="5" t="s">
        <v>155</v>
      </c>
      <c r="N131" s="5" t="s">
        <v>56</v>
      </c>
      <c r="O131" s="6" t="s">
        <v>1138</v>
      </c>
      <c r="P131" s="5" t="s">
        <v>384</v>
      </c>
      <c r="Q131" s="5" t="s">
        <v>64</v>
      </c>
      <c r="R131" s="5" t="s">
        <v>149</v>
      </c>
      <c r="S131" s="5" t="s">
        <v>1139</v>
      </c>
      <c r="T131" s="5" t="s">
        <v>597</v>
      </c>
      <c r="U131" s="5" t="s">
        <v>1140</v>
      </c>
      <c r="V131" s="8">
        <v>7</v>
      </c>
      <c r="W131" s="9">
        <v>10462</v>
      </c>
      <c r="X131" s="5" t="s">
        <v>35</v>
      </c>
      <c r="Y131" s="10">
        <v>100</v>
      </c>
      <c r="Z131" s="10">
        <v>18.18</v>
      </c>
      <c r="AA131" s="10">
        <v>18.18</v>
      </c>
      <c r="AB131" s="10">
        <v>0</v>
      </c>
      <c r="AC131" s="10">
        <v>0</v>
      </c>
      <c r="AD131" s="10">
        <v>40471</v>
      </c>
      <c r="AE131" s="11">
        <v>40471</v>
      </c>
      <c r="AF131" s="12" t="s">
        <v>136</v>
      </c>
      <c r="AG131" s="14" t="s">
        <v>337</v>
      </c>
      <c r="AH131" s="14" t="s">
        <v>65</v>
      </c>
      <c r="AI131" s="14" t="s">
        <v>144</v>
      </c>
      <c r="AJ131" s="14">
        <v>20000</v>
      </c>
      <c r="AK131" s="14">
        <v>15000</v>
      </c>
      <c r="AL131" s="13">
        <v>12</v>
      </c>
      <c r="AM131" s="13">
        <v>9</v>
      </c>
      <c r="AN131" s="14" t="s">
        <v>58</v>
      </c>
      <c r="AO131" s="14" t="s">
        <v>59</v>
      </c>
      <c r="AP131" s="14" t="s">
        <v>167</v>
      </c>
      <c r="AQ131" s="20">
        <v>202601</v>
      </c>
      <c r="AR131" s="14" t="s">
        <v>166</v>
      </c>
      <c r="AS131"/>
      <c r="AT131" s="12" t="s">
        <v>136</v>
      </c>
      <c r="AU131" s="19" t="s">
        <v>877</v>
      </c>
      <c r="AV131" s="12" t="s">
        <v>878</v>
      </c>
      <c r="AW131"/>
    </row>
    <row r="132" spans="1:49" x14ac:dyDescent="0.3">
      <c r="A132" s="5" t="s">
        <v>30</v>
      </c>
      <c r="B132" s="5" t="s">
        <v>54</v>
      </c>
      <c r="C132" s="5" t="s">
        <v>870</v>
      </c>
      <c r="D132" s="5" t="s">
        <v>32</v>
      </c>
      <c r="E132" s="6" t="s">
        <v>33</v>
      </c>
      <c r="F132" s="7">
        <v>93</v>
      </c>
      <c r="G132" s="5" t="s">
        <v>871</v>
      </c>
      <c r="H132" s="5" t="s">
        <v>1141</v>
      </c>
      <c r="I132" s="5" t="s">
        <v>1137</v>
      </c>
      <c r="J132" s="5" t="s">
        <v>34</v>
      </c>
      <c r="K132" s="5" t="s">
        <v>135</v>
      </c>
      <c r="L132" s="5" t="s">
        <v>158</v>
      </c>
      <c r="M132" s="5" t="s">
        <v>155</v>
      </c>
      <c r="N132" s="5" t="s">
        <v>56</v>
      </c>
      <c r="O132" s="6" t="s">
        <v>1138</v>
      </c>
      <c r="P132" s="5" t="s">
        <v>385</v>
      </c>
      <c r="Q132" s="5" t="s">
        <v>64</v>
      </c>
      <c r="R132" s="5" t="s">
        <v>149</v>
      </c>
      <c r="S132" s="5" t="s">
        <v>1139</v>
      </c>
      <c r="T132" s="5" t="s">
        <v>597</v>
      </c>
      <c r="U132" s="5" t="s">
        <v>1140</v>
      </c>
      <c r="V132" s="8">
        <v>7</v>
      </c>
      <c r="W132" s="9">
        <v>10462</v>
      </c>
      <c r="X132" s="5" t="s">
        <v>35</v>
      </c>
      <c r="Y132" s="10">
        <v>100</v>
      </c>
      <c r="Z132" s="10">
        <v>18.18</v>
      </c>
      <c r="AA132" s="10">
        <v>18.18</v>
      </c>
      <c r="AB132" s="10">
        <v>60257</v>
      </c>
      <c r="AC132" s="10">
        <v>80542</v>
      </c>
      <c r="AD132" s="10">
        <v>0</v>
      </c>
      <c r="AE132" s="11">
        <v>140799</v>
      </c>
      <c r="AF132" s="12" t="s">
        <v>136</v>
      </c>
      <c r="AG132" s="14" t="s">
        <v>337</v>
      </c>
      <c r="AH132" s="14" t="s">
        <v>65</v>
      </c>
      <c r="AI132" s="14" t="s">
        <v>144</v>
      </c>
      <c r="AJ132" s="14">
        <v>20000</v>
      </c>
      <c r="AK132" s="14">
        <v>15000</v>
      </c>
      <c r="AL132" s="13">
        <v>12</v>
      </c>
      <c r="AM132" s="13">
        <v>9</v>
      </c>
      <c r="AN132" s="14" t="s">
        <v>58</v>
      </c>
      <c r="AO132" s="14" t="s">
        <v>59</v>
      </c>
      <c r="AP132" s="14" t="s">
        <v>167</v>
      </c>
      <c r="AQ132" s="20">
        <v>202601</v>
      </c>
      <c r="AR132" s="14" t="s">
        <v>166</v>
      </c>
      <c r="AS132"/>
      <c r="AT132" s="12" t="s">
        <v>136</v>
      </c>
      <c r="AU132" s="19" t="s">
        <v>877</v>
      </c>
      <c r="AV132" s="12" t="s">
        <v>878</v>
      </c>
      <c r="AW132"/>
    </row>
    <row r="133" spans="1:49" x14ac:dyDescent="0.3">
      <c r="A133" s="5" t="s">
        <v>30</v>
      </c>
      <c r="B133" s="5" t="s">
        <v>54</v>
      </c>
      <c r="C133" s="5" t="s">
        <v>870</v>
      </c>
      <c r="D133" s="5" t="s">
        <v>32</v>
      </c>
      <c r="E133" s="6" t="s">
        <v>33</v>
      </c>
      <c r="F133" s="7">
        <v>94</v>
      </c>
      <c r="G133" s="5" t="s">
        <v>871</v>
      </c>
      <c r="H133" s="5" t="s">
        <v>1142</v>
      </c>
      <c r="I133" s="5" t="s">
        <v>1143</v>
      </c>
      <c r="J133" s="5" t="s">
        <v>34</v>
      </c>
      <c r="K133" s="5" t="s">
        <v>132</v>
      </c>
      <c r="L133" s="5" t="s">
        <v>161</v>
      </c>
      <c r="M133" s="5" t="s">
        <v>89</v>
      </c>
      <c r="N133" s="5" t="s">
        <v>56</v>
      </c>
      <c r="O133" s="6" t="s">
        <v>1144</v>
      </c>
      <c r="P133" s="5" t="s">
        <v>156</v>
      </c>
      <c r="Q133" s="5" t="s">
        <v>71</v>
      </c>
      <c r="R133" s="5" t="s">
        <v>1145</v>
      </c>
      <c r="S133" s="5" t="s">
        <v>1146</v>
      </c>
      <c r="T133" s="5" t="s">
        <v>958</v>
      </c>
      <c r="U133" s="5" t="s">
        <v>1147</v>
      </c>
      <c r="V133" s="8">
        <v>36</v>
      </c>
      <c r="W133" s="9">
        <v>74013</v>
      </c>
      <c r="X133" s="5" t="s">
        <v>35</v>
      </c>
      <c r="Y133" s="10">
        <v>100</v>
      </c>
      <c r="Z133" s="10">
        <v>18.18</v>
      </c>
      <c r="AA133" s="10">
        <v>18.18</v>
      </c>
      <c r="AB133" s="10">
        <v>94052</v>
      </c>
      <c r="AC133" s="10">
        <v>18925</v>
      </c>
      <c r="AD133" s="10">
        <v>0</v>
      </c>
      <c r="AE133" s="11">
        <v>112977</v>
      </c>
      <c r="AF133" s="12" t="s">
        <v>134</v>
      </c>
      <c r="AG133" s="14" t="s">
        <v>140</v>
      </c>
      <c r="AH133" s="14" t="s">
        <v>72</v>
      </c>
      <c r="AI133" s="14" t="s">
        <v>86</v>
      </c>
      <c r="AJ133" s="14">
        <v>80000</v>
      </c>
      <c r="AK133" s="14">
        <v>75000</v>
      </c>
      <c r="AL133" s="13">
        <v>42</v>
      </c>
      <c r="AM133" s="13">
        <v>39</v>
      </c>
      <c r="AN133" s="14" t="s">
        <v>237</v>
      </c>
      <c r="AO133" s="14" t="s">
        <v>238</v>
      </c>
      <c r="AP133" s="14" t="s">
        <v>90</v>
      </c>
      <c r="AQ133" s="20">
        <v>202601</v>
      </c>
      <c r="AR133" s="14" t="s">
        <v>153</v>
      </c>
      <c r="AS133" s="14" t="s">
        <v>197</v>
      </c>
      <c r="AT133" s="12" t="s">
        <v>134</v>
      </c>
      <c r="AU133" s="19" t="s">
        <v>877</v>
      </c>
      <c r="AV133" s="12" t="s">
        <v>878</v>
      </c>
      <c r="AW133"/>
    </row>
    <row r="134" spans="1:49" x14ac:dyDescent="0.3">
      <c r="A134" s="5" t="s">
        <v>30</v>
      </c>
      <c r="B134" s="5" t="s">
        <v>54</v>
      </c>
      <c r="C134" s="5" t="s">
        <v>870</v>
      </c>
      <c r="D134" s="5" t="s">
        <v>32</v>
      </c>
      <c r="E134" s="6" t="s">
        <v>33</v>
      </c>
      <c r="F134" s="7">
        <v>96</v>
      </c>
      <c r="G134" s="5" t="s">
        <v>871</v>
      </c>
      <c r="H134" s="5" t="s">
        <v>1148</v>
      </c>
      <c r="I134" s="5" t="s">
        <v>1149</v>
      </c>
      <c r="J134" s="5" t="s">
        <v>34</v>
      </c>
      <c r="K134" s="5" t="s">
        <v>60</v>
      </c>
      <c r="L134" s="5" t="s">
        <v>1150</v>
      </c>
      <c r="M134" s="5" t="s">
        <v>48</v>
      </c>
      <c r="N134" s="5" t="s">
        <v>56</v>
      </c>
      <c r="O134" s="6" t="s">
        <v>1151</v>
      </c>
      <c r="P134" s="5" t="s">
        <v>51</v>
      </c>
      <c r="Q134" s="5" t="s">
        <v>61</v>
      </c>
      <c r="R134" s="5" t="s">
        <v>1152</v>
      </c>
      <c r="S134" s="5" t="s">
        <v>1153</v>
      </c>
      <c r="T134" s="5" t="s">
        <v>1154</v>
      </c>
      <c r="U134" s="5" t="s">
        <v>1155</v>
      </c>
      <c r="V134" s="8">
        <v>10</v>
      </c>
      <c r="W134" s="9">
        <v>11132</v>
      </c>
      <c r="X134" s="5" t="s">
        <v>35</v>
      </c>
      <c r="Y134" s="10">
        <v>100</v>
      </c>
      <c r="Z134" s="10">
        <v>18.18</v>
      </c>
      <c r="AA134" s="10">
        <v>18.18</v>
      </c>
      <c r="AB134" s="10">
        <v>13842</v>
      </c>
      <c r="AC134" s="10">
        <v>3341</v>
      </c>
      <c r="AD134" s="10">
        <v>0</v>
      </c>
      <c r="AE134" s="11">
        <v>17183</v>
      </c>
      <c r="AF134" s="12" t="s">
        <v>62</v>
      </c>
      <c r="AG134" s="14" t="s">
        <v>337</v>
      </c>
      <c r="AH134" s="14" t="s">
        <v>63</v>
      </c>
      <c r="AI134" s="14" t="s">
        <v>239</v>
      </c>
      <c r="AJ134" s="14">
        <v>20000</v>
      </c>
      <c r="AK134" s="14">
        <v>15000</v>
      </c>
      <c r="AL134" s="13">
        <v>12</v>
      </c>
      <c r="AM134" s="13">
        <v>12</v>
      </c>
      <c r="AN134" s="14" t="s">
        <v>1156</v>
      </c>
      <c r="AO134" s="14" t="s">
        <v>1157</v>
      </c>
      <c r="AP134" s="14" t="s">
        <v>48</v>
      </c>
      <c r="AQ134" s="20">
        <v>202601</v>
      </c>
      <c r="AR134" s="14" t="s">
        <v>166</v>
      </c>
      <c r="AS134"/>
      <c r="AT134" s="12" t="s">
        <v>62</v>
      </c>
      <c r="AU134" s="19" t="s">
        <v>877</v>
      </c>
      <c r="AV134" s="12" t="s">
        <v>878</v>
      </c>
      <c r="AW134"/>
    </row>
    <row r="135" spans="1:49" x14ac:dyDescent="0.3">
      <c r="A135" s="5" t="s">
        <v>30</v>
      </c>
      <c r="B135" s="5" t="s">
        <v>54</v>
      </c>
      <c r="C135" s="5" t="s">
        <v>870</v>
      </c>
      <c r="D135" s="5" t="s">
        <v>32</v>
      </c>
      <c r="E135" s="6" t="s">
        <v>33</v>
      </c>
      <c r="F135" s="7">
        <v>106</v>
      </c>
      <c r="G135" s="5" t="s">
        <v>871</v>
      </c>
      <c r="H135" s="5" t="s">
        <v>1158</v>
      </c>
      <c r="I135" s="5" t="s">
        <v>1159</v>
      </c>
      <c r="J135" s="5" t="s">
        <v>34</v>
      </c>
      <c r="K135" s="5" t="s">
        <v>50</v>
      </c>
      <c r="L135" s="5" t="s">
        <v>1160</v>
      </c>
      <c r="M135" s="5" t="s">
        <v>46</v>
      </c>
      <c r="N135" s="5" t="s">
        <v>1161</v>
      </c>
      <c r="O135" s="6" t="s">
        <v>1162</v>
      </c>
      <c r="P135" s="5" t="s">
        <v>47</v>
      </c>
      <c r="Q135" s="5" t="s">
        <v>71</v>
      </c>
      <c r="R135" s="5" t="s">
        <v>70</v>
      </c>
      <c r="S135" s="5" t="s">
        <v>1163</v>
      </c>
      <c r="T135" s="5" t="s">
        <v>906</v>
      </c>
      <c r="U135" s="5" t="s">
        <v>1164</v>
      </c>
      <c r="V135" s="8">
        <v>25</v>
      </c>
      <c r="W135" s="9">
        <v>31322</v>
      </c>
      <c r="X135" s="5" t="s">
        <v>35</v>
      </c>
      <c r="Y135" s="10">
        <v>100</v>
      </c>
      <c r="Z135" s="10">
        <v>18.18</v>
      </c>
      <c r="AA135" s="10">
        <v>18.18</v>
      </c>
      <c r="AB135" s="10">
        <v>31068</v>
      </c>
      <c r="AC135" s="10">
        <v>623</v>
      </c>
      <c r="AD135" s="10">
        <v>0</v>
      </c>
      <c r="AE135" s="11">
        <v>31691</v>
      </c>
      <c r="AF135" s="12" t="s">
        <v>52</v>
      </c>
      <c r="AG135" s="14" t="s">
        <v>295</v>
      </c>
      <c r="AH135" s="14" t="s">
        <v>72</v>
      </c>
      <c r="AI135" s="14" t="s">
        <v>49</v>
      </c>
      <c r="AJ135" s="14">
        <v>40000</v>
      </c>
      <c r="AK135" s="14">
        <v>35000</v>
      </c>
      <c r="AL135" s="13">
        <v>30</v>
      </c>
      <c r="AM135" s="13">
        <v>27</v>
      </c>
      <c r="AN135" s="14" t="s">
        <v>1165</v>
      </c>
      <c r="AO135" s="14" t="s">
        <v>1166</v>
      </c>
      <c r="AP135" s="14" t="s">
        <v>46</v>
      </c>
      <c r="AQ135" s="20">
        <v>202601</v>
      </c>
      <c r="AR135" s="14" t="s">
        <v>166</v>
      </c>
      <c r="AS135"/>
      <c r="AT135" s="12" t="s">
        <v>52</v>
      </c>
      <c r="AU135" s="19" t="s">
        <v>877</v>
      </c>
      <c r="AV135" s="12" t="s">
        <v>878</v>
      </c>
      <c r="AW135"/>
    </row>
    <row r="136" spans="1:49" x14ac:dyDescent="0.3">
      <c r="A136" s="5" t="s">
        <v>30</v>
      </c>
      <c r="B136" s="5" t="s">
        <v>54</v>
      </c>
      <c r="C136" s="5" t="s">
        <v>870</v>
      </c>
      <c r="D136" s="5" t="s">
        <v>32</v>
      </c>
      <c r="E136" s="6" t="s">
        <v>33</v>
      </c>
      <c r="F136" s="7">
        <v>107</v>
      </c>
      <c r="G136" s="5" t="s">
        <v>871</v>
      </c>
      <c r="H136" s="5" t="s">
        <v>1167</v>
      </c>
      <c r="I136" s="5" t="s">
        <v>1168</v>
      </c>
      <c r="J136" s="5" t="s">
        <v>34</v>
      </c>
      <c r="K136" s="5" t="s">
        <v>42</v>
      </c>
      <c r="L136" s="5" t="s">
        <v>1169</v>
      </c>
      <c r="M136" s="5" t="s">
        <v>213</v>
      </c>
      <c r="N136" s="5" t="s">
        <v>56</v>
      </c>
      <c r="O136" s="6" t="e">
        <v>#N/A</v>
      </c>
      <c r="P136" s="5" t="s">
        <v>47</v>
      </c>
      <c r="Q136" s="5" t="s">
        <v>64</v>
      </c>
      <c r="R136" s="5" t="s">
        <v>1170</v>
      </c>
      <c r="S136" s="5" t="s">
        <v>1171</v>
      </c>
      <c r="T136" s="5" t="s">
        <v>525</v>
      </c>
      <c r="U136" s="5" t="s">
        <v>1172</v>
      </c>
      <c r="V136" s="8">
        <v>19</v>
      </c>
      <c r="W136" s="9">
        <v>46290</v>
      </c>
      <c r="X136" s="5" t="s">
        <v>35</v>
      </c>
      <c r="Y136" s="10">
        <v>100</v>
      </c>
      <c r="Z136" s="10">
        <v>18.18</v>
      </c>
      <c r="AA136" s="10">
        <v>18.18</v>
      </c>
      <c r="AB136" s="10">
        <v>11213</v>
      </c>
      <c r="AC136" s="10">
        <v>2498</v>
      </c>
      <c r="AD136" s="10">
        <v>0</v>
      </c>
      <c r="AE136" s="11">
        <v>13711</v>
      </c>
      <c r="AF136" s="12" t="s">
        <v>44</v>
      </c>
      <c r="AG136" s="14" t="s">
        <v>181</v>
      </c>
      <c r="AH136" s="14" t="s">
        <v>65</v>
      </c>
      <c r="AI136" s="14" t="s">
        <v>49</v>
      </c>
      <c r="AJ136" s="14">
        <v>50000</v>
      </c>
      <c r="AK136" s="14">
        <v>50000</v>
      </c>
      <c r="AL136" s="13">
        <v>24</v>
      </c>
      <c r="AM136" s="13">
        <v>21</v>
      </c>
      <c r="AN136" s="14" t="s">
        <v>1173</v>
      </c>
      <c r="AO136" s="14" t="s">
        <v>1174</v>
      </c>
      <c r="AP136" s="14" t="s">
        <v>53</v>
      </c>
      <c r="AQ136" s="20">
        <v>202601</v>
      </c>
      <c r="AR136" s="14" t="s">
        <v>166</v>
      </c>
      <c r="AS136"/>
      <c r="AT136" s="12" t="s">
        <v>44</v>
      </c>
      <c r="AU136" s="19" t="s">
        <v>877</v>
      </c>
      <c r="AV136" s="12" t="s">
        <v>878</v>
      </c>
      <c r="AW136"/>
    </row>
    <row r="137" spans="1:49" x14ac:dyDescent="0.3">
      <c r="A137" s="5" t="s">
        <v>30</v>
      </c>
      <c r="B137" s="5" t="s">
        <v>54</v>
      </c>
      <c r="C137" s="5" t="s">
        <v>870</v>
      </c>
      <c r="D137" s="5" t="s">
        <v>32</v>
      </c>
      <c r="E137" s="6" t="s">
        <v>33</v>
      </c>
      <c r="F137" s="7">
        <v>108</v>
      </c>
      <c r="G137" s="5" t="s">
        <v>871</v>
      </c>
      <c r="H137" s="5" t="s">
        <v>1175</v>
      </c>
      <c r="I137" s="5" t="s">
        <v>1176</v>
      </c>
      <c r="J137" s="5" t="s">
        <v>34</v>
      </c>
      <c r="K137" s="5" t="s">
        <v>135</v>
      </c>
      <c r="L137" s="5" t="s">
        <v>982</v>
      </c>
      <c r="M137" s="5" t="s">
        <v>53</v>
      </c>
      <c r="N137" s="5" t="s">
        <v>56</v>
      </c>
      <c r="O137" s="6" t="s">
        <v>1177</v>
      </c>
      <c r="P137" s="5" t="s">
        <v>73</v>
      </c>
      <c r="Q137" s="5" t="s">
        <v>201</v>
      </c>
      <c r="R137" s="5" t="s">
        <v>373</v>
      </c>
      <c r="S137" s="5" t="s">
        <v>1178</v>
      </c>
      <c r="T137" s="5" t="s">
        <v>947</v>
      </c>
      <c r="U137" s="5" t="s">
        <v>1179</v>
      </c>
      <c r="V137" s="8">
        <v>37</v>
      </c>
      <c r="W137" s="9">
        <v>75699</v>
      </c>
      <c r="X137" s="5" t="s">
        <v>35</v>
      </c>
      <c r="Y137" s="10">
        <v>100</v>
      </c>
      <c r="Z137" s="10">
        <v>18.18</v>
      </c>
      <c r="AA137" s="10">
        <v>18.18</v>
      </c>
      <c r="AB137" s="10">
        <v>30995</v>
      </c>
      <c r="AC137" s="10">
        <v>13363</v>
      </c>
      <c r="AD137" s="10">
        <v>0</v>
      </c>
      <c r="AE137" s="11">
        <v>44358</v>
      </c>
      <c r="AF137" s="12" t="s">
        <v>136</v>
      </c>
      <c r="AG137" s="14" t="s">
        <v>140</v>
      </c>
      <c r="AH137" s="14" t="s">
        <v>202</v>
      </c>
      <c r="AI137" s="14" t="s">
        <v>123</v>
      </c>
      <c r="AJ137" s="14">
        <v>80000</v>
      </c>
      <c r="AK137" s="14">
        <v>80000</v>
      </c>
      <c r="AL137" s="13">
        <v>42</v>
      </c>
      <c r="AM137" s="13">
        <v>39</v>
      </c>
      <c r="AN137" s="14" t="s">
        <v>58</v>
      </c>
      <c r="AO137" s="14" t="s">
        <v>59</v>
      </c>
      <c r="AP137" s="14" t="s">
        <v>53</v>
      </c>
      <c r="AQ137" s="20">
        <v>202601</v>
      </c>
      <c r="AR137" s="14" t="s">
        <v>166</v>
      </c>
      <c r="AS137"/>
      <c r="AT137" s="12" t="s">
        <v>136</v>
      </c>
      <c r="AU137" s="19" t="s">
        <v>877</v>
      </c>
      <c r="AV137" s="12" t="s">
        <v>878</v>
      </c>
      <c r="AW137"/>
    </row>
    <row r="138" spans="1:49" x14ac:dyDescent="0.3">
      <c r="A138" s="5" t="s">
        <v>30</v>
      </c>
      <c r="B138" s="5" t="s">
        <v>54</v>
      </c>
      <c r="C138" s="5" t="s">
        <v>870</v>
      </c>
      <c r="D138" s="5" t="s">
        <v>32</v>
      </c>
      <c r="E138" s="6" t="s">
        <v>33</v>
      </c>
      <c r="F138" s="7">
        <v>109</v>
      </c>
      <c r="G138" s="5" t="s">
        <v>871</v>
      </c>
      <c r="H138" s="5" t="s">
        <v>1180</v>
      </c>
      <c r="I138" s="5" t="s">
        <v>1181</v>
      </c>
      <c r="J138" s="5" t="s">
        <v>34</v>
      </c>
      <c r="K138" s="5" t="s">
        <v>42</v>
      </c>
      <c r="L138" s="5" t="s">
        <v>170</v>
      </c>
      <c r="M138" s="5" t="s">
        <v>171</v>
      </c>
      <c r="N138" s="5" t="s">
        <v>56</v>
      </c>
      <c r="O138" s="6" t="s">
        <v>1182</v>
      </c>
      <c r="P138" s="5" t="s">
        <v>172</v>
      </c>
      <c r="Q138" s="5" t="s">
        <v>61</v>
      </c>
      <c r="R138" s="5" t="s">
        <v>1170</v>
      </c>
      <c r="S138" s="5" t="s">
        <v>1183</v>
      </c>
      <c r="T138" s="5" t="s">
        <v>1022</v>
      </c>
      <c r="U138" s="5" t="s">
        <v>959</v>
      </c>
      <c r="V138" s="8">
        <v>14</v>
      </c>
      <c r="W138" s="9">
        <v>50478</v>
      </c>
      <c r="X138" s="5" t="s">
        <v>35</v>
      </c>
      <c r="Y138" s="10">
        <v>100</v>
      </c>
      <c r="Z138" s="10">
        <v>18.18</v>
      </c>
      <c r="AA138" s="10">
        <v>18.18</v>
      </c>
      <c r="AB138" s="10">
        <v>7398</v>
      </c>
      <c r="AC138" s="10">
        <v>644</v>
      </c>
      <c r="AD138" s="10">
        <v>0</v>
      </c>
      <c r="AE138" s="11">
        <v>8042</v>
      </c>
      <c r="AF138" s="12" t="s">
        <v>44</v>
      </c>
      <c r="AG138" s="14" t="s">
        <v>246</v>
      </c>
      <c r="AH138" s="14" t="s">
        <v>63</v>
      </c>
      <c r="AI138" s="14" t="s">
        <v>49</v>
      </c>
      <c r="AJ138" s="14">
        <v>60000</v>
      </c>
      <c r="AK138" s="14">
        <v>55000</v>
      </c>
      <c r="AL138" s="13">
        <v>18</v>
      </c>
      <c r="AM138" s="13">
        <v>15</v>
      </c>
      <c r="AN138" s="14" t="s">
        <v>289</v>
      </c>
      <c r="AO138" s="14" t="s">
        <v>290</v>
      </c>
      <c r="AP138" s="14" t="s">
        <v>171</v>
      </c>
      <c r="AQ138" s="20">
        <v>202601</v>
      </c>
      <c r="AR138" s="14" t="s">
        <v>166</v>
      </c>
      <c r="AS138"/>
      <c r="AT138" s="12" t="s">
        <v>44</v>
      </c>
      <c r="AU138" s="19" t="s">
        <v>877</v>
      </c>
      <c r="AV138" s="12" t="s">
        <v>878</v>
      </c>
      <c r="AW138"/>
    </row>
    <row r="139" spans="1:49" x14ac:dyDescent="0.3">
      <c r="A139" s="5" t="s">
        <v>30</v>
      </c>
      <c r="B139" s="5" t="s">
        <v>54</v>
      </c>
      <c r="C139" s="5" t="s">
        <v>870</v>
      </c>
      <c r="D139" s="5" t="s">
        <v>32</v>
      </c>
      <c r="E139" s="6" t="s">
        <v>33</v>
      </c>
      <c r="F139" s="7">
        <v>110</v>
      </c>
      <c r="G139" s="5" t="s">
        <v>871</v>
      </c>
      <c r="H139" s="5" t="s">
        <v>1184</v>
      </c>
      <c r="I139" s="5" t="s">
        <v>1185</v>
      </c>
      <c r="J139" s="5" t="s">
        <v>34</v>
      </c>
      <c r="K139" s="5" t="s">
        <v>135</v>
      </c>
      <c r="L139" s="5" t="s">
        <v>1186</v>
      </c>
      <c r="M139" s="5" t="s">
        <v>1187</v>
      </c>
      <c r="N139" s="5" t="s">
        <v>56</v>
      </c>
      <c r="O139" s="6" t="s">
        <v>1188</v>
      </c>
      <c r="P139" s="5" t="s">
        <v>182</v>
      </c>
      <c r="Q139" s="5" t="s">
        <v>64</v>
      </c>
      <c r="R139" s="5" t="s">
        <v>1189</v>
      </c>
      <c r="S139" s="5" t="s">
        <v>1178</v>
      </c>
      <c r="T139" s="5" t="s">
        <v>525</v>
      </c>
      <c r="U139" s="5" t="s">
        <v>1190</v>
      </c>
      <c r="V139" s="8">
        <v>31</v>
      </c>
      <c r="W139" s="9">
        <v>42047</v>
      </c>
      <c r="X139" s="5" t="s">
        <v>35</v>
      </c>
      <c r="Y139" s="10">
        <v>100</v>
      </c>
      <c r="Z139" s="10">
        <v>18.18</v>
      </c>
      <c r="AA139" s="10">
        <v>18.18</v>
      </c>
      <c r="AB139" s="10">
        <v>52475</v>
      </c>
      <c r="AC139" s="10">
        <v>44549</v>
      </c>
      <c r="AD139" s="10">
        <v>0</v>
      </c>
      <c r="AE139" s="11">
        <v>97024</v>
      </c>
      <c r="AF139" s="12" t="s">
        <v>136</v>
      </c>
      <c r="AG139" s="14" t="s">
        <v>140</v>
      </c>
      <c r="AH139" s="14" t="s">
        <v>65</v>
      </c>
      <c r="AI139" s="14" t="s">
        <v>1191</v>
      </c>
      <c r="AJ139" s="14">
        <v>50000</v>
      </c>
      <c r="AK139" s="14">
        <v>45000</v>
      </c>
      <c r="AL139" s="13">
        <v>36</v>
      </c>
      <c r="AM139" s="13">
        <v>33</v>
      </c>
      <c r="AN139" s="14" t="s">
        <v>137</v>
      </c>
      <c r="AO139" s="14" t="s">
        <v>138</v>
      </c>
      <c r="AP139" s="14" t="s">
        <v>1192</v>
      </c>
      <c r="AQ139" s="20">
        <v>202601</v>
      </c>
      <c r="AR139" s="14" t="s">
        <v>153</v>
      </c>
      <c r="AS139" s="14" t="s">
        <v>1193</v>
      </c>
      <c r="AT139" s="14" t="s">
        <v>1193</v>
      </c>
      <c r="AU139" s="19" t="s">
        <v>877</v>
      </c>
      <c r="AV139" s="12" t="s">
        <v>878</v>
      </c>
      <c r="AW139"/>
    </row>
    <row r="140" spans="1:49" x14ac:dyDescent="0.3">
      <c r="A140" s="5" t="s">
        <v>30</v>
      </c>
      <c r="B140" s="5" t="s">
        <v>54</v>
      </c>
      <c r="C140" s="5" t="s">
        <v>870</v>
      </c>
      <c r="D140" s="5" t="s">
        <v>32</v>
      </c>
      <c r="E140" s="6" t="s">
        <v>33</v>
      </c>
      <c r="F140" s="7">
        <v>111</v>
      </c>
      <c r="G140" s="5" t="s">
        <v>871</v>
      </c>
      <c r="H140" s="5" t="s">
        <v>1194</v>
      </c>
      <c r="I140" s="5" t="s">
        <v>1195</v>
      </c>
      <c r="J140" s="5" t="s">
        <v>34</v>
      </c>
      <c r="K140" s="5" t="s">
        <v>135</v>
      </c>
      <c r="L140" s="5" t="s">
        <v>1186</v>
      </c>
      <c r="M140" s="5" t="s">
        <v>1187</v>
      </c>
      <c r="N140" s="5" t="s">
        <v>56</v>
      </c>
      <c r="O140" s="6" t="s">
        <v>1196</v>
      </c>
      <c r="P140" s="5" t="s">
        <v>1197</v>
      </c>
      <c r="Q140" s="5" t="s">
        <v>64</v>
      </c>
      <c r="R140" s="5" t="s">
        <v>145</v>
      </c>
      <c r="S140" s="5" t="s">
        <v>1198</v>
      </c>
      <c r="T140" s="5" t="s">
        <v>525</v>
      </c>
      <c r="U140" s="5" t="s">
        <v>1199</v>
      </c>
      <c r="V140" s="8">
        <v>26</v>
      </c>
      <c r="W140" s="9">
        <v>41762</v>
      </c>
      <c r="X140" s="5" t="s">
        <v>35</v>
      </c>
      <c r="Y140" s="10">
        <v>100</v>
      </c>
      <c r="Z140" s="10">
        <v>18.18</v>
      </c>
      <c r="AA140" s="10">
        <v>18.18</v>
      </c>
      <c r="AB140" s="10">
        <v>50641</v>
      </c>
      <c r="AC140" s="10">
        <v>51979</v>
      </c>
      <c r="AD140" s="10">
        <v>0</v>
      </c>
      <c r="AE140" s="11">
        <v>102620</v>
      </c>
      <c r="AF140" s="12" t="s">
        <v>136</v>
      </c>
      <c r="AG140" s="14" t="s">
        <v>152</v>
      </c>
      <c r="AH140" s="14" t="s">
        <v>65</v>
      </c>
      <c r="AI140" s="14" t="s">
        <v>36</v>
      </c>
      <c r="AJ140" s="14">
        <v>50000</v>
      </c>
      <c r="AK140" s="14">
        <v>45000</v>
      </c>
      <c r="AL140" s="13">
        <v>30</v>
      </c>
      <c r="AM140" s="13">
        <v>27</v>
      </c>
      <c r="AN140" s="14" t="s">
        <v>102</v>
      </c>
      <c r="AO140" s="14" t="s">
        <v>103</v>
      </c>
      <c r="AP140" s="14" t="s">
        <v>1192</v>
      </c>
      <c r="AQ140" s="20">
        <v>202601</v>
      </c>
      <c r="AR140" s="14" t="s">
        <v>153</v>
      </c>
      <c r="AS140" s="14" t="s">
        <v>1193</v>
      </c>
      <c r="AT140" s="14" t="s">
        <v>1193</v>
      </c>
      <c r="AU140" s="19" t="s">
        <v>877</v>
      </c>
      <c r="AV140" s="12" t="s">
        <v>878</v>
      </c>
      <c r="AW140"/>
    </row>
    <row r="141" spans="1:49" x14ac:dyDescent="0.3">
      <c r="A141" s="5" t="s">
        <v>30</v>
      </c>
      <c r="B141" s="5" t="s">
        <v>54</v>
      </c>
      <c r="C141" s="5" t="s">
        <v>870</v>
      </c>
      <c r="D141" s="5" t="s">
        <v>32</v>
      </c>
      <c r="E141" s="6" t="s">
        <v>33</v>
      </c>
      <c r="F141" s="7">
        <v>112</v>
      </c>
      <c r="G141" s="5" t="s">
        <v>871</v>
      </c>
      <c r="H141" s="5" t="s">
        <v>1200</v>
      </c>
      <c r="I141" s="5" t="s">
        <v>1201</v>
      </c>
      <c r="J141" s="5" t="s">
        <v>34</v>
      </c>
      <c r="K141" s="5" t="s">
        <v>135</v>
      </c>
      <c r="L141" s="5" t="s">
        <v>1186</v>
      </c>
      <c r="M141" s="5" t="s">
        <v>1187</v>
      </c>
      <c r="N141" s="5" t="s">
        <v>56</v>
      </c>
      <c r="O141" s="6" t="s">
        <v>1202</v>
      </c>
      <c r="P141" s="5" t="s">
        <v>182</v>
      </c>
      <c r="Q141" s="5" t="s">
        <v>64</v>
      </c>
      <c r="R141" s="5" t="s">
        <v>145</v>
      </c>
      <c r="S141" s="5" t="s">
        <v>1203</v>
      </c>
      <c r="T141" s="5" t="s">
        <v>921</v>
      </c>
      <c r="U141" s="5" t="s">
        <v>1204</v>
      </c>
      <c r="V141" s="8">
        <v>11</v>
      </c>
      <c r="W141" s="9">
        <v>16002</v>
      </c>
      <c r="X141" s="5" t="s">
        <v>35</v>
      </c>
      <c r="Y141" s="10">
        <v>100</v>
      </c>
      <c r="Z141" s="10">
        <v>18.18</v>
      </c>
      <c r="AA141" s="10">
        <v>18.18</v>
      </c>
      <c r="AB141" s="10">
        <v>99417</v>
      </c>
      <c r="AC141" s="10">
        <v>62354</v>
      </c>
      <c r="AD141" s="10">
        <v>0</v>
      </c>
      <c r="AE141" s="11">
        <v>161771</v>
      </c>
      <c r="AF141" s="12" t="s">
        <v>136</v>
      </c>
      <c r="AG141" s="14" t="s">
        <v>339</v>
      </c>
      <c r="AH141" s="14" t="s">
        <v>65</v>
      </c>
      <c r="AI141" s="14" t="s">
        <v>36</v>
      </c>
      <c r="AJ141" s="14">
        <v>20000</v>
      </c>
      <c r="AK141" s="14">
        <v>20000</v>
      </c>
      <c r="AL141" s="13">
        <v>12</v>
      </c>
      <c r="AM141" s="13">
        <v>12</v>
      </c>
      <c r="AN141" s="14" t="s">
        <v>137</v>
      </c>
      <c r="AO141" s="14" t="s">
        <v>138</v>
      </c>
      <c r="AP141" s="14" t="s">
        <v>1192</v>
      </c>
      <c r="AQ141" s="20">
        <v>202601</v>
      </c>
      <c r="AR141" s="14" t="s">
        <v>153</v>
      </c>
      <c r="AS141" s="14" t="s">
        <v>1193</v>
      </c>
      <c r="AT141" s="14" t="s">
        <v>1193</v>
      </c>
      <c r="AU141" s="19" t="s">
        <v>877</v>
      </c>
      <c r="AV141" s="12" t="s">
        <v>878</v>
      </c>
      <c r="AW141"/>
    </row>
    <row r="142" spans="1:49" x14ac:dyDescent="0.3">
      <c r="A142" s="5" t="s">
        <v>30</v>
      </c>
      <c r="B142" s="5" t="s">
        <v>54</v>
      </c>
      <c r="C142" s="5" t="s">
        <v>993</v>
      </c>
      <c r="D142" s="5" t="s">
        <v>32</v>
      </c>
      <c r="E142" s="6" t="s">
        <v>33</v>
      </c>
      <c r="F142" s="7">
        <v>1</v>
      </c>
      <c r="G142" s="5" t="s">
        <v>426</v>
      </c>
      <c r="H142" s="5" t="s">
        <v>1205</v>
      </c>
      <c r="I142" s="5" t="s">
        <v>1206</v>
      </c>
      <c r="J142" s="5" t="s">
        <v>34</v>
      </c>
      <c r="K142" s="5" t="s">
        <v>42</v>
      </c>
      <c r="L142" s="5" t="s">
        <v>1207</v>
      </c>
      <c r="M142" s="5" t="s">
        <v>43</v>
      </c>
      <c r="N142" s="5" t="s">
        <v>56</v>
      </c>
      <c r="O142" s="6" t="s">
        <v>1208</v>
      </c>
      <c r="P142" s="5" t="s">
        <v>47</v>
      </c>
      <c r="Q142" s="5" t="s">
        <v>64</v>
      </c>
      <c r="R142" s="5" t="s">
        <v>145</v>
      </c>
      <c r="S142" s="5" t="s">
        <v>1209</v>
      </c>
      <c r="T142" s="5" t="s">
        <v>1095</v>
      </c>
      <c r="U142" s="5" t="s">
        <v>315</v>
      </c>
      <c r="V142" s="8">
        <v>3</v>
      </c>
      <c r="W142" s="9">
        <v>361</v>
      </c>
      <c r="X142" s="5" t="s">
        <v>35</v>
      </c>
      <c r="Y142" s="10">
        <v>100</v>
      </c>
      <c r="Z142" s="10">
        <v>18.18</v>
      </c>
      <c r="AA142" s="10">
        <v>18.18</v>
      </c>
      <c r="AB142" s="10">
        <v>180105</v>
      </c>
      <c r="AC142" s="10">
        <v>4174</v>
      </c>
      <c r="AD142" s="10">
        <v>0</v>
      </c>
      <c r="AE142" s="11">
        <v>184279</v>
      </c>
      <c r="AF142" s="12" t="s">
        <v>44</v>
      </c>
      <c r="AG142" s="14" t="s">
        <v>414</v>
      </c>
      <c r="AH142" s="14" t="s">
        <v>65</v>
      </c>
      <c r="AI142" s="14" t="s">
        <v>36</v>
      </c>
      <c r="AJ142" s="14">
        <v>10000</v>
      </c>
      <c r="AK142" s="14">
        <v>5000</v>
      </c>
      <c r="AL142" s="13">
        <v>6</v>
      </c>
      <c r="AM142" s="13">
        <v>6</v>
      </c>
      <c r="AN142" s="14" t="s">
        <v>1210</v>
      </c>
      <c r="AO142" s="14" t="s">
        <v>1211</v>
      </c>
      <c r="AP142" s="14" t="s">
        <v>46</v>
      </c>
      <c r="AQ142" s="20">
        <v>202601</v>
      </c>
      <c r="AR142" s="21" t="s">
        <v>153</v>
      </c>
      <c r="AS142" s="14" t="s">
        <v>314</v>
      </c>
      <c r="AT142" s="12" t="s">
        <v>44</v>
      </c>
      <c r="AU142" s="19" t="s">
        <v>877</v>
      </c>
      <c r="AV142" s="12" t="s">
        <v>878</v>
      </c>
      <c r="AW142"/>
    </row>
    <row r="143" spans="1:49" x14ac:dyDescent="0.3">
      <c r="A143" s="5" t="s">
        <v>151</v>
      </c>
      <c r="B143" s="5" t="s">
        <v>31</v>
      </c>
      <c r="C143" s="5" t="s">
        <v>870</v>
      </c>
      <c r="D143" s="5" t="s">
        <v>32</v>
      </c>
      <c r="E143" s="6" t="s">
        <v>33</v>
      </c>
      <c r="F143" s="5">
        <v>21</v>
      </c>
      <c r="G143" s="5" t="s">
        <v>871</v>
      </c>
      <c r="H143" s="5" t="s">
        <v>1212</v>
      </c>
      <c r="I143" s="5" t="s">
        <v>1213</v>
      </c>
      <c r="J143" s="5" t="s">
        <v>34</v>
      </c>
      <c r="K143" s="5" t="s">
        <v>94</v>
      </c>
      <c r="L143" s="5" t="s">
        <v>98</v>
      </c>
      <c r="M143" s="5" t="s">
        <v>39</v>
      </c>
      <c r="N143" s="5"/>
      <c r="O143" s="6" t="e">
        <v>#N/A</v>
      </c>
      <c r="P143" s="5" t="s">
        <v>84</v>
      </c>
      <c r="Q143" s="5" t="s">
        <v>95</v>
      </c>
      <c r="R143" s="5" t="s">
        <v>145</v>
      </c>
      <c r="S143" s="5" t="s">
        <v>1214</v>
      </c>
      <c r="T143" s="5" t="s">
        <v>1215</v>
      </c>
      <c r="U143" s="5" t="s">
        <v>1216</v>
      </c>
      <c r="V143" s="8">
        <v>34</v>
      </c>
      <c r="W143" s="9">
        <v>23475</v>
      </c>
      <c r="X143" s="5"/>
      <c r="Y143" s="10">
        <v>100</v>
      </c>
      <c r="Z143" s="10">
        <v>25.44</v>
      </c>
      <c r="AA143" s="10">
        <v>25.44</v>
      </c>
      <c r="AB143" s="10">
        <v>118933</v>
      </c>
      <c r="AC143" s="10">
        <v>31418</v>
      </c>
      <c r="AD143" s="10">
        <v>0</v>
      </c>
      <c r="AE143" s="11">
        <v>150351</v>
      </c>
      <c r="AF143" s="12" t="s">
        <v>96</v>
      </c>
      <c r="AG143" s="14" t="s">
        <v>191</v>
      </c>
      <c r="AH143" s="14" t="e">
        <v>#N/A</v>
      </c>
      <c r="AI143" s="14" t="s">
        <v>36</v>
      </c>
      <c r="AJ143" s="14">
        <v>30000</v>
      </c>
      <c r="AK143" s="14">
        <v>25000</v>
      </c>
      <c r="AL143" s="13">
        <v>36</v>
      </c>
      <c r="AM143" s="13">
        <v>36</v>
      </c>
      <c r="AN143" s="14" t="s">
        <v>1217</v>
      </c>
      <c r="AO143" s="14" t="s">
        <v>87</v>
      </c>
      <c r="AP143" s="14" t="s">
        <v>37</v>
      </c>
      <c r="AQ143" s="20">
        <v>202601</v>
      </c>
      <c r="AR143" s="21" t="s">
        <v>153</v>
      </c>
      <c r="AS143" s="14" t="s">
        <v>336</v>
      </c>
      <c r="AT143" s="14" t="s">
        <v>336</v>
      </c>
      <c r="AU143" s="19" t="s">
        <v>877</v>
      </c>
      <c r="AV143" s="12" t="s">
        <v>878</v>
      </c>
      <c r="AW143"/>
    </row>
    <row r="144" spans="1:49" x14ac:dyDescent="0.3">
      <c r="A144" s="5" t="s">
        <v>151</v>
      </c>
      <c r="B144" s="5" t="s">
        <v>31</v>
      </c>
      <c r="C144" s="5" t="s">
        <v>870</v>
      </c>
      <c r="D144" s="5" t="s">
        <v>32</v>
      </c>
      <c r="E144" s="6" t="s">
        <v>33</v>
      </c>
      <c r="F144" s="5">
        <v>22</v>
      </c>
      <c r="G144" s="5" t="s">
        <v>871</v>
      </c>
      <c r="H144" s="5" t="s">
        <v>1218</v>
      </c>
      <c r="I144" s="5" t="s">
        <v>1219</v>
      </c>
      <c r="J144" s="5" t="s">
        <v>34</v>
      </c>
      <c r="K144" s="5" t="s">
        <v>94</v>
      </c>
      <c r="L144" s="5" t="s">
        <v>98</v>
      </c>
      <c r="M144" s="5" t="s">
        <v>39</v>
      </c>
      <c r="N144" s="5"/>
      <c r="O144" s="6" t="e">
        <v>#N/A</v>
      </c>
      <c r="P144" s="5" t="s">
        <v>84</v>
      </c>
      <c r="Q144" s="5" t="s">
        <v>95</v>
      </c>
      <c r="R144" s="5" t="s">
        <v>146</v>
      </c>
      <c r="S144" s="5" t="s">
        <v>1220</v>
      </c>
      <c r="T144" s="5" t="s">
        <v>1221</v>
      </c>
      <c r="U144" s="5" t="s">
        <v>1222</v>
      </c>
      <c r="V144" s="8">
        <v>11</v>
      </c>
      <c r="W144" s="9">
        <v>9618</v>
      </c>
      <c r="X144" s="5"/>
      <c r="Y144" s="10">
        <v>100</v>
      </c>
      <c r="Z144" s="10">
        <v>25.44</v>
      </c>
      <c r="AA144" s="10">
        <v>25.44</v>
      </c>
      <c r="AB144" s="10">
        <v>118933</v>
      </c>
      <c r="AC144" s="10">
        <v>23443</v>
      </c>
      <c r="AD144" s="10">
        <v>0</v>
      </c>
      <c r="AE144" s="11">
        <v>142376</v>
      </c>
      <c r="AF144" s="12" t="s">
        <v>96</v>
      </c>
      <c r="AG144" s="14" t="s">
        <v>414</v>
      </c>
      <c r="AH144" s="14" t="e">
        <v>#N/A</v>
      </c>
      <c r="AI144" s="14" t="s">
        <v>36</v>
      </c>
      <c r="AJ144" s="14">
        <v>10000</v>
      </c>
      <c r="AK144" s="14">
        <v>10000</v>
      </c>
      <c r="AL144" s="13">
        <v>12</v>
      </c>
      <c r="AM144" s="13">
        <v>12</v>
      </c>
      <c r="AN144" s="14" t="s">
        <v>357</v>
      </c>
      <c r="AO144" s="14" t="s">
        <v>87</v>
      </c>
      <c r="AP144" s="14" t="s">
        <v>37</v>
      </c>
      <c r="AQ144" s="20">
        <v>202601</v>
      </c>
      <c r="AR144" s="21" t="s">
        <v>153</v>
      </c>
      <c r="AS144" s="14" t="s">
        <v>336</v>
      </c>
      <c r="AT144" s="14" t="s">
        <v>336</v>
      </c>
      <c r="AU144" s="19" t="s">
        <v>877</v>
      </c>
      <c r="AV144" s="12" t="s">
        <v>878</v>
      </c>
      <c r="AW144"/>
    </row>
    <row r="145" spans="1:49" x14ac:dyDescent="0.3">
      <c r="A145" s="5" t="s">
        <v>151</v>
      </c>
      <c r="B145" s="5" t="s">
        <v>54</v>
      </c>
      <c r="C145" s="5" t="s">
        <v>870</v>
      </c>
      <c r="D145" s="5" t="s">
        <v>32</v>
      </c>
      <c r="E145" s="6" t="s">
        <v>33</v>
      </c>
      <c r="F145" s="5">
        <v>51</v>
      </c>
      <c r="G145" s="5" t="s">
        <v>871</v>
      </c>
      <c r="H145" s="5" t="s">
        <v>1223</v>
      </c>
      <c r="I145" s="5" t="s">
        <v>1224</v>
      </c>
      <c r="J145" s="5" t="s">
        <v>34</v>
      </c>
      <c r="K145" s="5" t="s">
        <v>60</v>
      </c>
      <c r="L145" s="5" t="s">
        <v>104</v>
      </c>
      <c r="M145" s="5" t="s">
        <v>39</v>
      </c>
      <c r="N145" s="5"/>
      <c r="O145" s="6" t="s">
        <v>1225</v>
      </c>
      <c r="P145" s="5" t="s">
        <v>97</v>
      </c>
      <c r="Q145" s="5" t="s">
        <v>64</v>
      </c>
      <c r="R145" s="5" t="s">
        <v>145</v>
      </c>
      <c r="S145" s="5" t="s">
        <v>1226</v>
      </c>
      <c r="T145" s="5" t="s">
        <v>1227</v>
      </c>
      <c r="U145" s="5" t="s">
        <v>1228</v>
      </c>
      <c r="V145" s="8">
        <v>83</v>
      </c>
      <c r="W145" s="9">
        <v>103075</v>
      </c>
      <c r="X145" s="5"/>
      <c r="Y145" s="10">
        <v>100</v>
      </c>
      <c r="Z145" s="10">
        <v>18.18</v>
      </c>
      <c r="AA145" s="10">
        <v>18.18</v>
      </c>
      <c r="AB145" s="10">
        <v>144937</v>
      </c>
      <c r="AC145" s="10">
        <v>25252</v>
      </c>
      <c r="AD145" s="10">
        <v>0</v>
      </c>
      <c r="AE145" s="11">
        <v>170189</v>
      </c>
      <c r="AF145" s="12" t="s">
        <v>62</v>
      </c>
      <c r="AG145" s="14" t="s">
        <v>423</v>
      </c>
      <c r="AH145" s="14" t="s">
        <v>65</v>
      </c>
      <c r="AI145" s="14" t="s">
        <v>36</v>
      </c>
      <c r="AJ145" s="14" t="s">
        <v>142</v>
      </c>
      <c r="AK145" s="14" t="s">
        <v>142</v>
      </c>
      <c r="AL145" s="13" t="s">
        <v>124</v>
      </c>
      <c r="AM145" s="13" t="s">
        <v>124</v>
      </c>
      <c r="AN145" s="14" t="s">
        <v>137</v>
      </c>
      <c r="AO145" s="14" t="s">
        <v>138</v>
      </c>
      <c r="AP145" s="14" t="s">
        <v>37</v>
      </c>
      <c r="AQ145" s="20">
        <v>202601</v>
      </c>
      <c r="AR145" s="21" t="s">
        <v>153</v>
      </c>
      <c r="AS145" s="14" t="s">
        <v>336</v>
      </c>
      <c r="AT145" s="14" t="s">
        <v>336</v>
      </c>
      <c r="AU145" s="19" t="s">
        <v>877</v>
      </c>
      <c r="AV145" s="12" t="s">
        <v>878</v>
      </c>
      <c r="AW145"/>
    </row>
    <row r="146" spans="1:49" x14ac:dyDescent="0.3">
      <c r="A146" s="5" t="s">
        <v>151</v>
      </c>
      <c r="B146" s="5" t="s">
        <v>31</v>
      </c>
      <c r="C146" s="5" t="s">
        <v>870</v>
      </c>
      <c r="D146" s="5" t="s">
        <v>32</v>
      </c>
      <c r="E146" s="6" t="s">
        <v>33</v>
      </c>
      <c r="F146" s="5">
        <v>23</v>
      </c>
      <c r="G146" s="5" t="s">
        <v>871</v>
      </c>
      <c r="H146" s="5" t="s">
        <v>1229</v>
      </c>
      <c r="I146" s="5" t="s">
        <v>1230</v>
      </c>
      <c r="J146" s="5" t="s">
        <v>34</v>
      </c>
      <c r="K146" s="5" t="s">
        <v>60</v>
      </c>
      <c r="L146" s="5" t="s">
        <v>1231</v>
      </c>
      <c r="M146" s="5" t="s">
        <v>39</v>
      </c>
      <c r="N146" s="5"/>
      <c r="O146" s="6" t="s">
        <v>1232</v>
      </c>
      <c r="P146" s="5" t="s">
        <v>1233</v>
      </c>
      <c r="Q146" s="5" t="s">
        <v>95</v>
      </c>
      <c r="R146" s="5" t="s">
        <v>145</v>
      </c>
      <c r="S146" s="5" t="s">
        <v>1234</v>
      </c>
      <c r="T146" s="5" t="s">
        <v>1235</v>
      </c>
      <c r="U146" s="5" t="s">
        <v>412</v>
      </c>
      <c r="V146" s="8">
        <v>13</v>
      </c>
      <c r="W146" s="9">
        <v>9010</v>
      </c>
      <c r="X146" s="5"/>
      <c r="Y146" s="10">
        <v>100</v>
      </c>
      <c r="Z146" s="10">
        <v>25.44</v>
      </c>
      <c r="AA146" s="10">
        <v>25.44</v>
      </c>
      <c r="AB146" s="10">
        <v>120173</v>
      </c>
      <c r="AC146" s="10">
        <v>31139</v>
      </c>
      <c r="AD146" s="10">
        <v>0</v>
      </c>
      <c r="AE146" s="11">
        <v>151312</v>
      </c>
      <c r="AF146" s="12" t="s">
        <v>62</v>
      </c>
      <c r="AG146" s="14" t="s">
        <v>337</v>
      </c>
      <c r="AH146" s="14" t="e">
        <v>#N/A</v>
      </c>
      <c r="AI146" s="14" t="s">
        <v>36</v>
      </c>
      <c r="AJ146" s="14">
        <v>10000</v>
      </c>
      <c r="AK146" s="14">
        <v>10000</v>
      </c>
      <c r="AL146" s="13">
        <v>18</v>
      </c>
      <c r="AM146" s="13">
        <v>15</v>
      </c>
      <c r="AN146" s="14" t="s">
        <v>1217</v>
      </c>
      <c r="AO146" s="14" t="s">
        <v>87</v>
      </c>
      <c r="AP146" s="14" t="s">
        <v>37</v>
      </c>
      <c r="AQ146" s="20">
        <v>202601</v>
      </c>
      <c r="AR146" s="21" t="s">
        <v>153</v>
      </c>
      <c r="AS146" s="14" t="s">
        <v>336</v>
      </c>
      <c r="AT146" s="14" t="s">
        <v>336</v>
      </c>
      <c r="AU146" s="19" t="s">
        <v>877</v>
      </c>
      <c r="AV146" s="12" t="s">
        <v>878</v>
      </c>
      <c r="AW146"/>
    </row>
    <row r="147" spans="1:49" x14ac:dyDescent="0.3">
      <c r="A147" s="5" t="s">
        <v>151</v>
      </c>
      <c r="B147" s="5" t="s">
        <v>54</v>
      </c>
      <c r="C147" s="5" t="s">
        <v>870</v>
      </c>
      <c r="D147" s="5" t="s">
        <v>32</v>
      </c>
      <c r="E147" s="6" t="s">
        <v>33</v>
      </c>
      <c r="F147" s="5">
        <v>52</v>
      </c>
      <c r="G147" s="5" t="s">
        <v>871</v>
      </c>
      <c r="H147" s="5" t="s">
        <v>1236</v>
      </c>
      <c r="I147" s="5" t="s">
        <v>1237</v>
      </c>
      <c r="J147" s="5" t="s">
        <v>34</v>
      </c>
      <c r="K147" s="5" t="s">
        <v>60</v>
      </c>
      <c r="L147" s="5" t="s">
        <v>104</v>
      </c>
      <c r="M147" s="5" t="s">
        <v>39</v>
      </c>
      <c r="N147" s="5"/>
      <c r="O147" s="6" t="s">
        <v>1238</v>
      </c>
      <c r="P147" s="5" t="s">
        <v>97</v>
      </c>
      <c r="Q147" s="5" t="s">
        <v>64</v>
      </c>
      <c r="R147" s="5" t="s">
        <v>145</v>
      </c>
      <c r="S147" s="5" t="s">
        <v>1239</v>
      </c>
      <c r="T147" s="5" t="s">
        <v>1215</v>
      </c>
      <c r="U147" s="5" t="s">
        <v>1240</v>
      </c>
      <c r="V147" s="8">
        <v>83</v>
      </c>
      <c r="W147" s="9">
        <v>28971</v>
      </c>
      <c r="X147" s="5"/>
      <c r="Y147" s="10">
        <v>100</v>
      </c>
      <c r="Z147" s="10">
        <v>18.18</v>
      </c>
      <c r="AA147" s="10">
        <v>18.18</v>
      </c>
      <c r="AB147" s="10">
        <v>146359</v>
      </c>
      <c r="AC147" s="10">
        <v>29427</v>
      </c>
      <c r="AD147" s="10">
        <v>0</v>
      </c>
      <c r="AE147" s="11">
        <v>175786</v>
      </c>
      <c r="AF147" s="12" t="s">
        <v>62</v>
      </c>
      <c r="AG147" s="14" t="s">
        <v>322</v>
      </c>
      <c r="AH147" s="14" t="s">
        <v>65</v>
      </c>
      <c r="AI147" s="14" t="s">
        <v>36</v>
      </c>
      <c r="AJ147" s="14">
        <v>30000</v>
      </c>
      <c r="AK147" s="14">
        <v>30000</v>
      </c>
      <c r="AL147" s="13" t="s">
        <v>124</v>
      </c>
      <c r="AM147" s="13" t="s">
        <v>124</v>
      </c>
      <c r="AN147" s="14" t="s">
        <v>66</v>
      </c>
      <c r="AO147" s="14" t="s">
        <v>67</v>
      </c>
      <c r="AP147" s="14" t="s">
        <v>37</v>
      </c>
      <c r="AQ147" s="20">
        <v>202601</v>
      </c>
      <c r="AR147" s="21" t="s">
        <v>153</v>
      </c>
      <c r="AS147" s="14" t="s">
        <v>336</v>
      </c>
      <c r="AT147" s="14" t="s">
        <v>336</v>
      </c>
      <c r="AU147" s="19" t="s">
        <v>877</v>
      </c>
      <c r="AV147" s="12" t="s">
        <v>878</v>
      </c>
      <c r="AW147"/>
    </row>
    <row r="148" spans="1:49" x14ac:dyDescent="0.3">
      <c r="A148" s="5" t="s">
        <v>151</v>
      </c>
      <c r="B148" s="5" t="s">
        <v>54</v>
      </c>
      <c r="C148" s="5" t="s">
        <v>870</v>
      </c>
      <c r="D148" s="5" t="s">
        <v>32</v>
      </c>
      <c r="E148" s="6" t="s">
        <v>33</v>
      </c>
      <c r="F148" s="5">
        <v>53</v>
      </c>
      <c r="G148" s="5" t="s">
        <v>871</v>
      </c>
      <c r="H148" s="5" t="s">
        <v>1241</v>
      </c>
      <c r="I148" s="5" t="s">
        <v>1242</v>
      </c>
      <c r="J148" s="5" t="s">
        <v>34</v>
      </c>
      <c r="K148" s="5" t="s">
        <v>60</v>
      </c>
      <c r="L148" s="5" t="s">
        <v>104</v>
      </c>
      <c r="M148" s="5" t="s">
        <v>39</v>
      </c>
      <c r="N148" s="5"/>
      <c r="O148" s="6" t="s">
        <v>1243</v>
      </c>
      <c r="P148" s="5" t="s">
        <v>97</v>
      </c>
      <c r="Q148" s="5" t="s">
        <v>64</v>
      </c>
      <c r="R148" s="5" t="s">
        <v>145</v>
      </c>
      <c r="S148" s="5" t="s">
        <v>1244</v>
      </c>
      <c r="T148" s="5" t="s">
        <v>1245</v>
      </c>
      <c r="U148" s="5" t="s">
        <v>1246</v>
      </c>
      <c r="V148" s="8">
        <v>72</v>
      </c>
      <c r="W148" s="9">
        <v>41469</v>
      </c>
      <c r="X148" s="5"/>
      <c r="Y148" s="10">
        <v>100</v>
      </c>
      <c r="Z148" s="10">
        <v>18.18</v>
      </c>
      <c r="AA148" s="10">
        <v>18.18</v>
      </c>
      <c r="AB148" s="10">
        <v>146472</v>
      </c>
      <c r="AC148" s="10">
        <v>29479</v>
      </c>
      <c r="AD148" s="10">
        <v>0</v>
      </c>
      <c r="AE148" s="11">
        <v>175951</v>
      </c>
      <c r="AF148" s="12" t="s">
        <v>62</v>
      </c>
      <c r="AG148" s="14" t="s">
        <v>356</v>
      </c>
      <c r="AH148" s="14" t="s">
        <v>65</v>
      </c>
      <c r="AI148" s="14" t="s">
        <v>36</v>
      </c>
      <c r="AJ148" s="14">
        <v>50000</v>
      </c>
      <c r="AK148" s="14">
        <v>45000</v>
      </c>
      <c r="AL148" s="13" t="s">
        <v>124</v>
      </c>
      <c r="AM148" s="13" t="s">
        <v>124</v>
      </c>
      <c r="AN148" s="14" t="s">
        <v>66</v>
      </c>
      <c r="AO148" s="14" t="s">
        <v>67</v>
      </c>
      <c r="AP148" s="14" t="s">
        <v>37</v>
      </c>
      <c r="AQ148" s="20">
        <v>202601</v>
      </c>
      <c r="AR148" s="21" t="s">
        <v>153</v>
      </c>
      <c r="AS148" s="14" t="s">
        <v>336</v>
      </c>
      <c r="AT148" s="14" t="s">
        <v>336</v>
      </c>
      <c r="AU148" s="19" t="s">
        <v>877</v>
      </c>
      <c r="AV148" s="12" t="s">
        <v>878</v>
      </c>
      <c r="AW148"/>
    </row>
    <row r="149" spans="1:49" x14ac:dyDescent="0.3">
      <c r="A149" s="5" t="s">
        <v>151</v>
      </c>
      <c r="B149" s="5" t="s">
        <v>54</v>
      </c>
      <c r="C149" s="5" t="s">
        <v>870</v>
      </c>
      <c r="D149" s="5" t="s">
        <v>32</v>
      </c>
      <c r="E149" s="6" t="s">
        <v>33</v>
      </c>
      <c r="F149" s="5">
        <v>54</v>
      </c>
      <c r="G149" s="5" t="s">
        <v>871</v>
      </c>
      <c r="H149" s="5" t="s">
        <v>1247</v>
      </c>
      <c r="I149" s="5" t="s">
        <v>1248</v>
      </c>
      <c r="J149" s="5" t="s">
        <v>34</v>
      </c>
      <c r="K149" s="5" t="s">
        <v>60</v>
      </c>
      <c r="L149" s="5" t="s">
        <v>104</v>
      </c>
      <c r="M149" s="5" t="s">
        <v>39</v>
      </c>
      <c r="N149" s="5"/>
      <c r="O149" s="6" t="s">
        <v>1249</v>
      </c>
      <c r="P149" s="5" t="s">
        <v>97</v>
      </c>
      <c r="Q149" s="5" t="s">
        <v>64</v>
      </c>
      <c r="R149" s="5" t="s">
        <v>146</v>
      </c>
      <c r="S149" s="5" t="s">
        <v>1250</v>
      </c>
      <c r="T149" s="5" t="s">
        <v>1251</v>
      </c>
      <c r="U149" s="5" t="s">
        <v>1252</v>
      </c>
      <c r="V149" s="8">
        <v>69</v>
      </c>
      <c r="W149" s="9">
        <v>52219</v>
      </c>
      <c r="X149" s="5"/>
      <c r="Y149" s="10">
        <v>100</v>
      </c>
      <c r="Z149" s="10">
        <v>18.18</v>
      </c>
      <c r="AA149" s="10">
        <v>18.18</v>
      </c>
      <c r="AB149" s="10">
        <v>143576</v>
      </c>
      <c r="AC149" s="10">
        <v>25609</v>
      </c>
      <c r="AD149" s="10">
        <v>0</v>
      </c>
      <c r="AE149" s="11">
        <v>169185</v>
      </c>
      <c r="AF149" s="12" t="s">
        <v>62</v>
      </c>
      <c r="AG149" s="14" t="s">
        <v>360</v>
      </c>
      <c r="AH149" s="14" t="s">
        <v>65</v>
      </c>
      <c r="AI149" s="14" t="s">
        <v>36</v>
      </c>
      <c r="AJ149" s="14">
        <v>60000</v>
      </c>
      <c r="AK149" s="14">
        <v>55000</v>
      </c>
      <c r="AL149" s="13" t="s">
        <v>124</v>
      </c>
      <c r="AM149" s="13" t="s">
        <v>124</v>
      </c>
      <c r="AN149" s="14" t="s">
        <v>137</v>
      </c>
      <c r="AO149" s="14" t="s">
        <v>138</v>
      </c>
      <c r="AP149" s="14" t="s">
        <v>37</v>
      </c>
      <c r="AQ149" s="20">
        <v>202601</v>
      </c>
      <c r="AR149" s="21" t="s">
        <v>153</v>
      </c>
      <c r="AS149" s="14" t="s">
        <v>336</v>
      </c>
      <c r="AT149" s="14" t="s">
        <v>336</v>
      </c>
      <c r="AU149" s="19" t="s">
        <v>877</v>
      </c>
      <c r="AV149" s="12" t="s">
        <v>878</v>
      </c>
      <c r="AW149"/>
    </row>
    <row r="150" spans="1:49" x14ac:dyDescent="0.3">
      <c r="A150" s="5" t="s">
        <v>151</v>
      </c>
      <c r="B150" s="5" t="s">
        <v>54</v>
      </c>
      <c r="C150" s="5" t="s">
        <v>993</v>
      </c>
      <c r="D150" s="5" t="s">
        <v>32</v>
      </c>
      <c r="E150" s="6" t="s">
        <v>33</v>
      </c>
      <c r="F150" s="5">
        <v>133</v>
      </c>
      <c r="G150" s="5" t="s">
        <v>871</v>
      </c>
      <c r="H150" s="5" t="s">
        <v>1253</v>
      </c>
      <c r="I150" s="5" t="s">
        <v>1254</v>
      </c>
      <c r="J150" s="5" t="s">
        <v>34</v>
      </c>
      <c r="K150" s="5" t="s">
        <v>60</v>
      </c>
      <c r="L150" s="5" t="s">
        <v>221</v>
      </c>
      <c r="M150" s="5" t="s">
        <v>39</v>
      </c>
      <c r="N150" s="5"/>
      <c r="O150" s="6" t="s">
        <v>1255</v>
      </c>
      <c r="P150" s="5" t="s">
        <v>97</v>
      </c>
      <c r="Q150" s="5" t="s">
        <v>64</v>
      </c>
      <c r="R150" s="5" t="s">
        <v>146</v>
      </c>
      <c r="S150" s="5" t="s">
        <v>1256</v>
      </c>
      <c r="T150" s="5" t="s">
        <v>1257</v>
      </c>
      <c r="U150" s="5" t="s">
        <v>1258</v>
      </c>
      <c r="V150" s="8">
        <v>41</v>
      </c>
      <c r="W150" s="9">
        <v>31125</v>
      </c>
      <c r="X150" s="5"/>
      <c r="Y150" s="10">
        <v>100</v>
      </c>
      <c r="Z150" s="10">
        <v>18.18</v>
      </c>
      <c r="AA150" s="10">
        <v>18.18</v>
      </c>
      <c r="AB150" s="10">
        <v>64428</v>
      </c>
      <c r="AC150" s="10">
        <v>29094</v>
      </c>
      <c r="AD150" s="10">
        <v>0</v>
      </c>
      <c r="AE150" s="11">
        <v>93522</v>
      </c>
      <c r="AF150" s="12" t="s">
        <v>62</v>
      </c>
      <c r="AG150" s="14" t="s">
        <v>180</v>
      </c>
      <c r="AH150" s="14" t="s">
        <v>65</v>
      </c>
      <c r="AI150" s="14" t="s">
        <v>36</v>
      </c>
      <c r="AJ150" s="14">
        <v>40000</v>
      </c>
      <c r="AK150" s="14">
        <v>35000</v>
      </c>
      <c r="AL150" s="13">
        <v>42</v>
      </c>
      <c r="AM150" s="13">
        <v>42</v>
      </c>
      <c r="AN150" s="14" t="s">
        <v>66</v>
      </c>
      <c r="AO150" s="14" t="s">
        <v>67</v>
      </c>
      <c r="AP150" s="14" t="s">
        <v>37</v>
      </c>
      <c r="AQ150" s="20">
        <v>202601</v>
      </c>
      <c r="AR150" s="21" t="s">
        <v>153</v>
      </c>
      <c r="AS150" s="14" t="s">
        <v>336</v>
      </c>
      <c r="AT150" s="14" t="s">
        <v>336</v>
      </c>
      <c r="AU150" s="19" t="s">
        <v>877</v>
      </c>
      <c r="AV150" s="12" t="s">
        <v>878</v>
      </c>
      <c r="AW150"/>
    </row>
    <row r="151" spans="1:49" x14ac:dyDescent="0.3">
      <c r="A151" s="5" t="s">
        <v>151</v>
      </c>
      <c r="B151" s="5" t="s">
        <v>54</v>
      </c>
      <c r="C151" s="5" t="s">
        <v>993</v>
      </c>
      <c r="D151" s="5" t="s">
        <v>32</v>
      </c>
      <c r="E151" s="6" t="s">
        <v>33</v>
      </c>
      <c r="F151" s="5">
        <v>134</v>
      </c>
      <c r="G151" s="5" t="s">
        <v>871</v>
      </c>
      <c r="H151" s="5" t="s">
        <v>1259</v>
      </c>
      <c r="I151" s="5" t="s">
        <v>1260</v>
      </c>
      <c r="J151" s="5" t="s">
        <v>34</v>
      </c>
      <c r="K151" s="5" t="s">
        <v>60</v>
      </c>
      <c r="L151" s="5" t="s">
        <v>221</v>
      </c>
      <c r="M151" s="5" t="s">
        <v>39</v>
      </c>
      <c r="N151" s="5"/>
      <c r="O151" s="6" t="s">
        <v>1261</v>
      </c>
      <c r="P151" s="5" t="s">
        <v>97</v>
      </c>
      <c r="Q151" s="5" t="s">
        <v>64</v>
      </c>
      <c r="R151" s="5" t="s">
        <v>145</v>
      </c>
      <c r="S151" s="5" t="s">
        <v>1262</v>
      </c>
      <c r="T151" s="5" t="s">
        <v>1263</v>
      </c>
      <c r="U151" s="5" t="s">
        <v>1264</v>
      </c>
      <c r="V151" s="8">
        <v>32</v>
      </c>
      <c r="W151" s="9">
        <v>53910</v>
      </c>
      <c r="X151" s="5"/>
      <c r="Y151" s="10">
        <v>100</v>
      </c>
      <c r="Z151" s="10">
        <v>18.18</v>
      </c>
      <c r="AA151" s="10">
        <v>18.18</v>
      </c>
      <c r="AB151" s="10">
        <v>75762</v>
      </c>
      <c r="AC151" s="10">
        <v>56605</v>
      </c>
      <c r="AD151" s="10">
        <v>0</v>
      </c>
      <c r="AE151" s="11">
        <v>132367</v>
      </c>
      <c r="AF151" s="12" t="s">
        <v>62</v>
      </c>
      <c r="AG151" s="14" t="s">
        <v>192</v>
      </c>
      <c r="AH151" s="14" t="s">
        <v>65</v>
      </c>
      <c r="AI151" s="14" t="s">
        <v>36</v>
      </c>
      <c r="AJ151" s="14">
        <v>60000</v>
      </c>
      <c r="AK151" s="14">
        <v>55000</v>
      </c>
      <c r="AL151" s="13">
        <v>36</v>
      </c>
      <c r="AM151" s="13">
        <v>33</v>
      </c>
      <c r="AN151" s="14" t="s">
        <v>1265</v>
      </c>
      <c r="AO151" s="14" t="s">
        <v>1266</v>
      </c>
      <c r="AP151" s="14" t="s">
        <v>37</v>
      </c>
      <c r="AQ151" s="20">
        <v>202601</v>
      </c>
      <c r="AR151" s="21" t="s">
        <v>153</v>
      </c>
      <c r="AS151" s="14" t="s">
        <v>336</v>
      </c>
      <c r="AT151" s="14" t="s">
        <v>336</v>
      </c>
      <c r="AU151" s="19" t="s">
        <v>877</v>
      </c>
      <c r="AV151" s="12" t="s">
        <v>878</v>
      </c>
      <c r="AW151"/>
    </row>
    <row r="152" spans="1:49" x14ac:dyDescent="0.3">
      <c r="A152" s="5" t="s">
        <v>151</v>
      </c>
      <c r="B152" s="5" t="s">
        <v>54</v>
      </c>
      <c r="C152" s="5" t="s">
        <v>993</v>
      </c>
      <c r="D152" s="5" t="s">
        <v>32</v>
      </c>
      <c r="E152" s="6" t="s">
        <v>33</v>
      </c>
      <c r="F152" s="5">
        <v>135</v>
      </c>
      <c r="G152" s="5" t="s">
        <v>871</v>
      </c>
      <c r="H152" s="5" t="s">
        <v>1267</v>
      </c>
      <c r="I152" s="5" t="s">
        <v>1268</v>
      </c>
      <c r="J152" s="5" t="s">
        <v>34</v>
      </c>
      <c r="K152" s="5" t="s">
        <v>60</v>
      </c>
      <c r="L152" s="5" t="s">
        <v>221</v>
      </c>
      <c r="M152" s="5" t="s">
        <v>39</v>
      </c>
      <c r="N152" s="5"/>
      <c r="O152" s="6" t="s">
        <v>1269</v>
      </c>
      <c r="P152" s="5" t="s">
        <v>224</v>
      </c>
      <c r="Q152" s="5" t="s">
        <v>64</v>
      </c>
      <c r="R152" s="5" t="s">
        <v>145</v>
      </c>
      <c r="S152" s="5" t="s">
        <v>1270</v>
      </c>
      <c r="T152" s="5" t="s">
        <v>1271</v>
      </c>
      <c r="U152" s="5" t="s">
        <v>839</v>
      </c>
      <c r="V152" s="8">
        <v>19</v>
      </c>
      <c r="W152" s="9">
        <v>25652</v>
      </c>
      <c r="X152" s="5"/>
      <c r="Y152" s="10">
        <v>100</v>
      </c>
      <c r="Z152" s="10">
        <v>18.18</v>
      </c>
      <c r="AA152" s="10">
        <v>18.18</v>
      </c>
      <c r="AB152" s="10">
        <v>68850</v>
      </c>
      <c r="AC152" s="10">
        <v>11600</v>
      </c>
      <c r="AD152" s="10">
        <v>0</v>
      </c>
      <c r="AE152" s="11">
        <v>80450</v>
      </c>
      <c r="AF152" s="12" t="s">
        <v>62</v>
      </c>
      <c r="AG152" s="14" t="s">
        <v>212</v>
      </c>
      <c r="AH152" s="14" t="s">
        <v>65</v>
      </c>
      <c r="AI152" s="14" t="s">
        <v>36</v>
      </c>
      <c r="AJ152" s="14">
        <v>30000</v>
      </c>
      <c r="AK152" s="14">
        <v>30000</v>
      </c>
      <c r="AL152" s="13">
        <v>24</v>
      </c>
      <c r="AM152" s="13">
        <v>21</v>
      </c>
      <c r="AN152" s="14" t="s">
        <v>222</v>
      </c>
      <c r="AO152" s="14" t="s">
        <v>223</v>
      </c>
      <c r="AP152" s="14" t="s">
        <v>37</v>
      </c>
      <c r="AQ152" s="20">
        <v>202601</v>
      </c>
      <c r="AR152" s="21" t="s">
        <v>153</v>
      </c>
      <c r="AS152" s="14" t="s">
        <v>336</v>
      </c>
      <c r="AT152" s="14" t="s">
        <v>336</v>
      </c>
      <c r="AU152" s="19" t="s">
        <v>877</v>
      </c>
      <c r="AV152" s="12" t="s">
        <v>878</v>
      </c>
      <c r="AW152"/>
    </row>
    <row r="153" spans="1:49" x14ac:dyDescent="0.3">
      <c r="A153" s="5" t="s">
        <v>151</v>
      </c>
      <c r="B153" s="5" t="s">
        <v>54</v>
      </c>
      <c r="C153" s="5" t="s">
        <v>993</v>
      </c>
      <c r="D153" s="5" t="s">
        <v>32</v>
      </c>
      <c r="E153" s="6" t="s">
        <v>33</v>
      </c>
      <c r="F153" s="5">
        <v>136</v>
      </c>
      <c r="G153" s="5" t="s">
        <v>871</v>
      </c>
      <c r="H153" s="5" t="s">
        <v>1272</v>
      </c>
      <c r="I153" s="5" t="s">
        <v>1273</v>
      </c>
      <c r="J153" s="5" t="s">
        <v>34</v>
      </c>
      <c r="K153" s="5" t="s">
        <v>60</v>
      </c>
      <c r="L153" s="5" t="s">
        <v>221</v>
      </c>
      <c r="M153" s="5" t="s">
        <v>39</v>
      </c>
      <c r="N153" s="5"/>
      <c r="O153" s="6" t="s">
        <v>1274</v>
      </c>
      <c r="P153" s="5" t="s">
        <v>224</v>
      </c>
      <c r="Q153" s="5" t="s">
        <v>64</v>
      </c>
      <c r="R153" s="5" t="s">
        <v>145</v>
      </c>
      <c r="S153" s="5" t="s">
        <v>1275</v>
      </c>
      <c r="T153" s="5" t="s">
        <v>1227</v>
      </c>
      <c r="U153" s="5" t="s">
        <v>1276</v>
      </c>
      <c r="V153" s="8">
        <v>13</v>
      </c>
      <c r="W153" s="9">
        <v>15390</v>
      </c>
      <c r="X153" s="5"/>
      <c r="Y153" s="10">
        <v>100</v>
      </c>
      <c r="Z153" s="10">
        <v>18.18</v>
      </c>
      <c r="AA153" s="10">
        <v>18.18</v>
      </c>
      <c r="AB153" s="10">
        <v>71631</v>
      </c>
      <c r="AC153" s="10">
        <v>5715</v>
      </c>
      <c r="AD153" s="10">
        <v>0</v>
      </c>
      <c r="AE153" s="11">
        <v>77346</v>
      </c>
      <c r="AF153" s="12" t="s">
        <v>62</v>
      </c>
      <c r="AG153" s="14" t="s">
        <v>207</v>
      </c>
      <c r="AH153" s="14" t="s">
        <v>65</v>
      </c>
      <c r="AI153" s="14" t="s">
        <v>36</v>
      </c>
      <c r="AJ153" s="14">
        <v>20000</v>
      </c>
      <c r="AK153" s="14">
        <v>20000</v>
      </c>
      <c r="AL153" s="13">
        <v>18</v>
      </c>
      <c r="AM153" s="13">
        <v>15</v>
      </c>
      <c r="AN153" s="14" t="s">
        <v>1277</v>
      </c>
      <c r="AO153" s="14" t="s">
        <v>1278</v>
      </c>
      <c r="AP153" s="14" t="s">
        <v>37</v>
      </c>
      <c r="AQ153" s="20">
        <v>202601</v>
      </c>
      <c r="AR153" s="21" t="s">
        <v>153</v>
      </c>
      <c r="AS153" s="14" t="s">
        <v>336</v>
      </c>
      <c r="AT153" s="14" t="s">
        <v>336</v>
      </c>
      <c r="AU153" s="19" t="s">
        <v>877</v>
      </c>
      <c r="AV153" s="12" t="s">
        <v>878</v>
      </c>
      <c r="AW153"/>
    </row>
    <row r="154" spans="1:49" x14ac:dyDescent="0.3">
      <c r="A154" s="5" t="s">
        <v>151</v>
      </c>
      <c r="B154" s="5" t="s">
        <v>54</v>
      </c>
      <c r="C154" s="5" t="s">
        <v>993</v>
      </c>
      <c r="D154" s="5" t="s">
        <v>32</v>
      </c>
      <c r="E154" s="6" t="s">
        <v>33</v>
      </c>
      <c r="F154" s="5">
        <v>137</v>
      </c>
      <c r="G154" s="5" t="s">
        <v>871</v>
      </c>
      <c r="H154" s="5" t="s">
        <v>1279</v>
      </c>
      <c r="I154" s="5" t="s">
        <v>1280</v>
      </c>
      <c r="J154" s="5" t="s">
        <v>34</v>
      </c>
      <c r="K154" s="5" t="s">
        <v>60</v>
      </c>
      <c r="L154" s="5" t="s">
        <v>227</v>
      </c>
      <c r="M154" s="5" t="s">
        <v>39</v>
      </c>
      <c r="N154" s="5"/>
      <c r="O154" s="6" t="s">
        <v>1281</v>
      </c>
      <c r="P154" s="5" t="s">
        <v>224</v>
      </c>
      <c r="Q154" s="5" t="s">
        <v>64</v>
      </c>
      <c r="R154" s="5" t="s">
        <v>145</v>
      </c>
      <c r="S154" s="5" t="s">
        <v>1282</v>
      </c>
      <c r="T154" s="5" t="s">
        <v>411</v>
      </c>
      <c r="U154" s="5" t="s">
        <v>1283</v>
      </c>
      <c r="V154" s="8">
        <v>48</v>
      </c>
      <c r="W154" s="9">
        <v>58656</v>
      </c>
      <c r="X154" s="5"/>
      <c r="Y154" s="10">
        <v>100</v>
      </c>
      <c r="Z154" s="10">
        <v>18.18</v>
      </c>
      <c r="AA154" s="10">
        <v>18.18</v>
      </c>
      <c r="AB154" s="10">
        <v>114017</v>
      </c>
      <c r="AC154" s="10">
        <v>4382</v>
      </c>
      <c r="AD154" s="10">
        <v>0</v>
      </c>
      <c r="AE154" s="11">
        <v>118399</v>
      </c>
      <c r="AF154" s="12" t="s">
        <v>62</v>
      </c>
      <c r="AG154" s="14" t="s">
        <v>564</v>
      </c>
      <c r="AH154" s="14" t="s">
        <v>65</v>
      </c>
      <c r="AI154" s="14" t="s">
        <v>36</v>
      </c>
      <c r="AJ154" s="14">
        <v>60000</v>
      </c>
      <c r="AK154" s="14">
        <v>60000</v>
      </c>
      <c r="AL154" s="13">
        <v>54</v>
      </c>
      <c r="AM154" s="13">
        <v>51</v>
      </c>
      <c r="AN154" s="14" t="s">
        <v>1284</v>
      </c>
      <c r="AO154" s="14" t="s">
        <v>1285</v>
      </c>
      <c r="AP154" s="14" t="s">
        <v>37</v>
      </c>
      <c r="AQ154" s="20">
        <v>202601</v>
      </c>
      <c r="AR154" s="21" t="s">
        <v>153</v>
      </c>
      <c r="AS154" s="14" t="s">
        <v>336</v>
      </c>
      <c r="AT154" s="14" t="s">
        <v>336</v>
      </c>
      <c r="AU154" s="19" t="s">
        <v>877</v>
      </c>
      <c r="AV154" s="12" t="s">
        <v>878</v>
      </c>
      <c r="AW154"/>
    </row>
    <row r="155" spans="1:49" x14ac:dyDescent="0.3">
      <c r="A155" s="5" t="s">
        <v>151</v>
      </c>
      <c r="B155" s="5" t="s">
        <v>54</v>
      </c>
      <c r="C155" s="5" t="s">
        <v>993</v>
      </c>
      <c r="D155" s="5" t="s">
        <v>32</v>
      </c>
      <c r="E155" s="6" t="s">
        <v>33</v>
      </c>
      <c r="F155" s="5">
        <v>138</v>
      </c>
      <c r="G155" s="5" t="s">
        <v>871</v>
      </c>
      <c r="H155" s="5" t="s">
        <v>1286</v>
      </c>
      <c r="I155" s="5" t="s">
        <v>1287</v>
      </c>
      <c r="J155" s="5" t="s">
        <v>34</v>
      </c>
      <c r="K155" s="5" t="s">
        <v>99</v>
      </c>
      <c r="L155" s="5" t="s">
        <v>227</v>
      </c>
      <c r="M155" s="5" t="s">
        <v>39</v>
      </c>
      <c r="N155" s="5"/>
      <c r="O155" s="6" t="e">
        <v>#N/A</v>
      </c>
      <c r="P155" s="5" t="s">
        <v>228</v>
      </c>
      <c r="Q155" s="5" t="s">
        <v>64</v>
      </c>
      <c r="R155" s="5" t="s">
        <v>1288</v>
      </c>
      <c r="S155" s="5" t="s">
        <v>1289</v>
      </c>
      <c r="T155" s="5" t="s">
        <v>1290</v>
      </c>
      <c r="U155" s="5" t="s">
        <v>1291</v>
      </c>
      <c r="V155" s="8">
        <v>35</v>
      </c>
      <c r="W155" s="9">
        <v>51869</v>
      </c>
      <c r="X155" s="5"/>
      <c r="Y155" s="10">
        <v>100</v>
      </c>
      <c r="Z155" s="10">
        <v>18.18</v>
      </c>
      <c r="AA155" s="10">
        <v>18.18</v>
      </c>
      <c r="AB155" s="10">
        <v>210773</v>
      </c>
      <c r="AC155" s="10">
        <v>81609</v>
      </c>
      <c r="AD155" s="10">
        <v>0</v>
      </c>
      <c r="AE155" s="11">
        <v>292382</v>
      </c>
      <c r="AF155" s="12" t="s">
        <v>101</v>
      </c>
      <c r="AG155" s="14" t="s">
        <v>141</v>
      </c>
      <c r="AH155" s="14" t="s">
        <v>65</v>
      </c>
      <c r="AI155" s="14" t="s">
        <v>45</v>
      </c>
      <c r="AJ155" s="14">
        <v>60000</v>
      </c>
      <c r="AK155" s="14">
        <v>55000</v>
      </c>
      <c r="AL155" s="13">
        <v>36</v>
      </c>
      <c r="AM155" s="13">
        <v>36</v>
      </c>
      <c r="AN155" s="14" t="s">
        <v>137</v>
      </c>
      <c r="AO155" s="14" t="s">
        <v>138</v>
      </c>
      <c r="AP155" s="14" t="s">
        <v>37</v>
      </c>
      <c r="AQ155" s="20">
        <v>202601</v>
      </c>
      <c r="AR155" s="21" t="s">
        <v>153</v>
      </c>
      <c r="AS155" s="14" t="s">
        <v>336</v>
      </c>
      <c r="AT155" s="14" t="s">
        <v>336</v>
      </c>
      <c r="AU155" s="19" t="s">
        <v>877</v>
      </c>
      <c r="AV155" s="12" t="s">
        <v>878</v>
      </c>
      <c r="AW155"/>
    </row>
    <row r="156" spans="1:49" x14ac:dyDescent="0.3">
      <c r="A156" s="5" t="s">
        <v>151</v>
      </c>
      <c r="B156" s="5" t="s">
        <v>54</v>
      </c>
      <c r="C156" s="5" t="s">
        <v>993</v>
      </c>
      <c r="D156" s="5" t="s">
        <v>32</v>
      </c>
      <c r="E156" s="6" t="s">
        <v>33</v>
      </c>
      <c r="F156" s="5">
        <v>139</v>
      </c>
      <c r="G156" s="5" t="s">
        <v>871</v>
      </c>
      <c r="H156" s="5" t="s">
        <v>1292</v>
      </c>
      <c r="I156" s="5" t="s">
        <v>1293</v>
      </c>
      <c r="J156" s="5" t="s">
        <v>34</v>
      </c>
      <c r="K156" s="5" t="s">
        <v>99</v>
      </c>
      <c r="L156" s="5" t="s">
        <v>227</v>
      </c>
      <c r="M156" s="5" t="s">
        <v>39</v>
      </c>
      <c r="N156" s="5"/>
      <c r="O156" s="6" t="e">
        <v>#N/A</v>
      </c>
      <c r="P156" s="5" t="s">
        <v>1294</v>
      </c>
      <c r="Q156" s="5" t="s">
        <v>64</v>
      </c>
      <c r="R156" s="5" t="s">
        <v>146</v>
      </c>
      <c r="S156" s="5" t="s">
        <v>1295</v>
      </c>
      <c r="T156" s="5" t="s">
        <v>807</v>
      </c>
      <c r="U156" s="5" t="s">
        <v>1296</v>
      </c>
      <c r="V156" s="8">
        <v>32</v>
      </c>
      <c r="W156" s="9">
        <v>36091</v>
      </c>
      <c r="X156" s="5"/>
      <c r="Y156" s="10">
        <v>100</v>
      </c>
      <c r="Z156" s="10">
        <v>18.18</v>
      </c>
      <c r="AA156" s="10">
        <v>18.18</v>
      </c>
      <c r="AB156" s="10">
        <v>210442</v>
      </c>
      <c r="AC156" s="10">
        <v>82626</v>
      </c>
      <c r="AD156" s="10">
        <v>0</v>
      </c>
      <c r="AE156" s="11">
        <v>293068</v>
      </c>
      <c r="AF156" s="12" t="s">
        <v>101</v>
      </c>
      <c r="AG156" s="14" t="s">
        <v>192</v>
      </c>
      <c r="AH156" s="14" t="s">
        <v>65</v>
      </c>
      <c r="AI156" s="14" t="s">
        <v>36</v>
      </c>
      <c r="AJ156" s="14">
        <v>40000</v>
      </c>
      <c r="AK156" s="14">
        <v>40000</v>
      </c>
      <c r="AL156" s="13">
        <v>36</v>
      </c>
      <c r="AM156" s="13">
        <v>33</v>
      </c>
      <c r="AN156" s="14" t="s">
        <v>66</v>
      </c>
      <c r="AO156" s="14" t="s">
        <v>67</v>
      </c>
      <c r="AP156" s="14" t="s">
        <v>37</v>
      </c>
      <c r="AQ156" s="20">
        <v>202601</v>
      </c>
      <c r="AR156" s="21" t="s">
        <v>153</v>
      </c>
      <c r="AS156" s="14" t="s">
        <v>336</v>
      </c>
      <c r="AT156" s="14" t="s">
        <v>336</v>
      </c>
      <c r="AU156" s="19" t="s">
        <v>877</v>
      </c>
      <c r="AV156" s="12" t="s">
        <v>878</v>
      </c>
      <c r="AW156"/>
    </row>
    <row r="157" spans="1:49" x14ac:dyDescent="0.3">
      <c r="A157" s="5" t="s">
        <v>151</v>
      </c>
      <c r="B157" s="5" t="s">
        <v>54</v>
      </c>
      <c r="C157" s="5" t="s">
        <v>993</v>
      </c>
      <c r="D157" s="5" t="s">
        <v>32</v>
      </c>
      <c r="E157" s="6" t="s">
        <v>33</v>
      </c>
      <c r="F157" s="5">
        <v>140</v>
      </c>
      <c r="G157" s="5" t="s">
        <v>871</v>
      </c>
      <c r="H157" s="5" t="s">
        <v>1297</v>
      </c>
      <c r="I157" s="5" t="s">
        <v>1298</v>
      </c>
      <c r="J157" s="5" t="s">
        <v>34</v>
      </c>
      <c r="K157" s="5" t="s">
        <v>60</v>
      </c>
      <c r="L157" s="5" t="s">
        <v>229</v>
      </c>
      <c r="M157" s="5" t="s">
        <v>39</v>
      </c>
      <c r="N157" s="5"/>
      <c r="O157" s="6" t="s">
        <v>1299</v>
      </c>
      <c r="P157" s="5" t="s">
        <v>97</v>
      </c>
      <c r="Q157" s="5" t="s">
        <v>64</v>
      </c>
      <c r="R157" s="5" t="s">
        <v>146</v>
      </c>
      <c r="S157" s="5" t="s">
        <v>1300</v>
      </c>
      <c r="T157" s="5" t="s">
        <v>776</v>
      </c>
      <c r="U157" s="5" t="s">
        <v>1301</v>
      </c>
      <c r="V157" s="8">
        <v>58</v>
      </c>
      <c r="W157" s="9">
        <v>63010</v>
      </c>
      <c r="X157" s="5"/>
      <c r="Y157" s="10">
        <v>100</v>
      </c>
      <c r="Z157" s="10">
        <v>18.18</v>
      </c>
      <c r="AA157" s="10">
        <v>18.18</v>
      </c>
      <c r="AB157" s="10">
        <v>39660</v>
      </c>
      <c r="AC157" s="10">
        <v>2348</v>
      </c>
      <c r="AD157" s="10">
        <v>0</v>
      </c>
      <c r="AE157" s="11">
        <v>42008</v>
      </c>
      <c r="AF157" s="12" t="s">
        <v>62</v>
      </c>
      <c r="AG157" s="14" t="s">
        <v>230</v>
      </c>
      <c r="AH157" s="14" t="s">
        <v>65</v>
      </c>
      <c r="AI157" s="14" t="s">
        <v>36</v>
      </c>
      <c r="AJ157" s="14">
        <v>70000</v>
      </c>
      <c r="AK157" s="14">
        <v>65000</v>
      </c>
      <c r="AL157" s="13">
        <v>60</v>
      </c>
      <c r="AM157" s="13">
        <v>60</v>
      </c>
      <c r="AN157" s="14" t="s">
        <v>225</v>
      </c>
      <c r="AO157" s="14" t="s">
        <v>226</v>
      </c>
      <c r="AP157" s="14" t="s">
        <v>37</v>
      </c>
      <c r="AQ157" s="20">
        <v>202601</v>
      </c>
      <c r="AR157" s="21" t="s">
        <v>153</v>
      </c>
      <c r="AS157" s="14" t="s">
        <v>336</v>
      </c>
      <c r="AT157" s="14" t="s">
        <v>336</v>
      </c>
      <c r="AU157" s="19" t="s">
        <v>877</v>
      </c>
      <c r="AV157" s="12" t="s">
        <v>878</v>
      </c>
      <c r="AW157"/>
    </row>
    <row r="158" spans="1:49" x14ac:dyDescent="0.3">
      <c r="A158" s="5" t="s">
        <v>151</v>
      </c>
      <c r="B158" s="5" t="s">
        <v>54</v>
      </c>
      <c r="C158" s="5" t="s">
        <v>993</v>
      </c>
      <c r="D158" s="5" t="s">
        <v>32</v>
      </c>
      <c r="E158" s="6" t="s">
        <v>33</v>
      </c>
      <c r="F158" s="5">
        <v>141</v>
      </c>
      <c r="G158" s="5" t="s">
        <v>871</v>
      </c>
      <c r="H158" s="5" t="s">
        <v>1302</v>
      </c>
      <c r="I158" s="5" t="s">
        <v>1303</v>
      </c>
      <c r="J158" s="5" t="s">
        <v>34</v>
      </c>
      <c r="K158" s="5" t="s">
        <v>60</v>
      </c>
      <c r="L158" s="5" t="s">
        <v>229</v>
      </c>
      <c r="M158" s="5" t="s">
        <v>39</v>
      </c>
      <c r="N158" s="5"/>
      <c r="O158" s="6" t="s">
        <v>1299</v>
      </c>
      <c r="P158" s="5" t="s">
        <v>97</v>
      </c>
      <c r="Q158" s="5" t="s">
        <v>64</v>
      </c>
      <c r="R158" s="5" t="s">
        <v>146</v>
      </c>
      <c r="S158" s="5" t="s">
        <v>1304</v>
      </c>
      <c r="T158" s="5" t="s">
        <v>1305</v>
      </c>
      <c r="U158" s="5" t="s">
        <v>1306</v>
      </c>
      <c r="V158" s="8">
        <v>42</v>
      </c>
      <c r="W158" s="9">
        <v>94795</v>
      </c>
      <c r="X158" s="5"/>
      <c r="Y158" s="10">
        <v>100</v>
      </c>
      <c r="Z158" s="10">
        <v>18.18</v>
      </c>
      <c r="AA158" s="10">
        <v>18.18</v>
      </c>
      <c r="AB158" s="10">
        <v>39660</v>
      </c>
      <c r="AC158" s="10">
        <v>2348</v>
      </c>
      <c r="AD158" s="10">
        <v>0</v>
      </c>
      <c r="AE158" s="11">
        <v>42008</v>
      </c>
      <c r="AF158" s="12" t="s">
        <v>62</v>
      </c>
      <c r="AG158" s="14" t="s">
        <v>1307</v>
      </c>
      <c r="AH158" s="14" t="s">
        <v>65</v>
      </c>
      <c r="AI158" s="14" t="s">
        <v>36</v>
      </c>
      <c r="AJ158" s="14">
        <v>100000</v>
      </c>
      <c r="AK158" s="14">
        <v>95000</v>
      </c>
      <c r="AL158" s="13">
        <v>48</v>
      </c>
      <c r="AM158" s="13">
        <v>45</v>
      </c>
      <c r="AN158" s="14" t="s">
        <v>225</v>
      </c>
      <c r="AO158" s="14" t="s">
        <v>226</v>
      </c>
      <c r="AP158" s="14" t="s">
        <v>37</v>
      </c>
      <c r="AQ158" s="20">
        <v>202601</v>
      </c>
      <c r="AR158" s="21" t="s">
        <v>153</v>
      </c>
      <c r="AS158" s="14" t="s">
        <v>336</v>
      </c>
      <c r="AT158" s="14" t="s">
        <v>336</v>
      </c>
      <c r="AU158" s="19" t="s">
        <v>877</v>
      </c>
      <c r="AV158" s="12" t="s">
        <v>878</v>
      </c>
      <c r="AW158"/>
    </row>
    <row r="159" spans="1:49" x14ac:dyDescent="0.3">
      <c r="A159" s="5" t="s">
        <v>151</v>
      </c>
      <c r="B159" s="5" t="s">
        <v>54</v>
      </c>
      <c r="C159" s="5" t="s">
        <v>993</v>
      </c>
      <c r="D159" s="5" t="s">
        <v>32</v>
      </c>
      <c r="E159" s="6" t="s">
        <v>33</v>
      </c>
      <c r="F159" s="5">
        <v>142</v>
      </c>
      <c r="G159" s="5" t="s">
        <v>871</v>
      </c>
      <c r="H159" s="5" t="s">
        <v>1308</v>
      </c>
      <c r="I159" s="5" t="s">
        <v>1309</v>
      </c>
      <c r="J159" s="5" t="s">
        <v>34</v>
      </c>
      <c r="K159" s="5" t="s">
        <v>60</v>
      </c>
      <c r="L159" s="5" t="s">
        <v>229</v>
      </c>
      <c r="M159" s="5" t="s">
        <v>39</v>
      </c>
      <c r="N159" s="5"/>
      <c r="O159" s="6" t="s">
        <v>1299</v>
      </c>
      <c r="P159" s="5" t="s">
        <v>224</v>
      </c>
      <c r="Q159" s="5" t="s">
        <v>64</v>
      </c>
      <c r="R159" s="5" t="s">
        <v>145</v>
      </c>
      <c r="S159" s="5" t="s">
        <v>1310</v>
      </c>
      <c r="T159" s="5" t="s">
        <v>1311</v>
      </c>
      <c r="U159" s="5" t="s">
        <v>1312</v>
      </c>
      <c r="V159" s="8">
        <v>45</v>
      </c>
      <c r="W159" s="9">
        <v>68976</v>
      </c>
      <c r="X159" s="5"/>
      <c r="Y159" s="10">
        <v>100</v>
      </c>
      <c r="Z159" s="10">
        <v>18.18</v>
      </c>
      <c r="AA159" s="10">
        <v>18.18</v>
      </c>
      <c r="AB159" s="10">
        <v>39660</v>
      </c>
      <c r="AC159" s="10">
        <v>1043</v>
      </c>
      <c r="AD159" s="10">
        <v>0</v>
      </c>
      <c r="AE159" s="11">
        <v>40703</v>
      </c>
      <c r="AF159" s="12" t="s">
        <v>62</v>
      </c>
      <c r="AG159" s="14" t="s">
        <v>231</v>
      </c>
      <c r="AH159" s="14" t="s">
        <v>65</v>
      </c>
      <c r="AI159" s="14" t="s">
        <v>36</v>
      </c>
      <c r="AJ159" s="14">
        <v>70000</v>
      </c>
      <c r="AK159" s="14">
        <v>70000</v>
      </c>
      <c r="AL159" s="13">
        <v>48</v>
      </c>
      <c r="AM159" s="13">
        <v>48</v>
      </c>
      <c r="AN159" s="14" t="s">
        <v>225</v>
      </c>
      <c r="AO159" s="14" t="s">
        <v>226</v>
      </c>
      <c r="AP159" s="14" t="s">
        <v>37</v>
      </c>
      <c r="AQ159" s="20">
        <v>202601</v>
      </c>
      <c r="AR159" s="21" t="s">
        <v>153</v>
      </c>
      <c r="AS159" s="14" t="s">
        <v>336</v>
      </c>
      <c r="AT159" s="14" t="s">
        <v>336</v>
      </c>
      <c r="AU159" s="19" t="s">
        <v>877</v>
      </c>
      <c r="AV159" s="12" t="s">
        <v>878</v>
      </c>
      <c r="AW159"/>
    </row>
    <row r="160" spans="1:49" x14ac:dyDescent="0.3">
      <c r="A160" s="5" t="s">
        <v>151</v>
      </c>
      <c r="B160" s="5" t="s">
        <v>54</v>
      </c>
      <c r="C160" s="5" t="s">
        <v>993</v>
      </c>
      <c r="D160" s="5" t="s">
        <v>32</v>
      </c>
      <c r="E160" s="6" t="s">
        <v>33</v>
      </c>
      <c r="F160" s="5">
        <v>143</v>
      </c>
      <c r="G160" s="5" t="s">
        <v>871</v>
      </c>
      <c r="H160" s="5" t="s">
        <v>1313</v>
      </c>
      <c r="I160" s="5" t="s">
        <v>1314</v>
      </c>
      <c r="J160" s="5" t="s">
        <v>34</v>
      </c>
      <c r="K160" s="5" t="s">
        <v>60</v>
      </c>
      <c r="L160" s="5" t="s">
        <v>229</v>
      </c>
      <c r="M160" s="5" t="s">
        <v>39</v>
      </c>
      <c r="N160" s="5"/>
      <c r="O160" s="6" t="s">
        <v>1315</v>
      </c>
      <c r="P160" s="5" t="s">
        <v>97</v>
      </c>
      <c r="Q160" s="5" t="s">
        <v>64</v>
      </c>
      <c r="R160" s="5" t="s">
        <v>146</v>
      </c>
      <c r="S160" s="5" t="s">
        <v>1316</v>
      </c>
      <c r="T160" s="5" t="s">
        <v>1317</v>
      </c>
      <c r="U160" s="5" t="s">
        <v>1318</v>
      </c>
      <c r="V160" s="8">
        <v>44</v>
      </c>
      <c r="W160" s="9">
        <v>66006</v>
      </c>
      <c r="X160" s="5"/>
      <c r="Y160" s="10">
        <v>100</v>
      </c>
      <c r="Z160" s="10">
        <v>18.18</v>
      </c>
      <c r="AA160" s="10">
        <v>18.18</v>
      </c>
      <c r="AB160" s="10">
        <v>39660</v>
      </c>
      <c r="AC160" s="10">
        <v>2348</v>
      </c>
      <c r="AD160" s="10">
        <v>0</v>
      </c>
      <c r="AE160" s="11">
        <v>42008</v>
      </c>
      <c r="AF160" s="12" t="s">
        <v>62</v>
      </c>
      <c r="AG160" s="14" t="s">
        <v>231</v>
      </c>
      <c r="AH160" s="14" t="s">
        <v>65</v>
      </c>
      <c r="AI160" s="14" t="s">
        <v>36</v>
      </c>
      <c r="AJ160" s="14">
        <v>70000</v>
      </c>
      <c r="AK160" s="14">
        <v>70000</v>
      </c>
      <c r="AL160" s="13">
        <v>48</v>
      </c>
      <c r="AM160" s="13">
        <v>45</v>
      </c>
      <c r="AN160" s="14" t="s">
        <v>225</v>
      </c>
      <c r="AO160" s="14" t="s">
        <v>226</v>
      </c>
      <c r="AP160" s="14" t="s">
        <v>37</v>
      </c>
      <c r="AQ160" s="20">
        <v>202601</v>
      </c>
      <c r="AR160" s="21" t="s">
        <v>153</v>
      </c>
      <c r="AS160" s="14" t="s">
        <v>336</v>
      </c>
      <c r="AT160" s="14" t="s">
        <v>336</v>
      </c>
      <c r="AU160" s="19" t="s">
        <v>877</v>
      </c>
      <c r="AV160" s="12" t="s">
        <v>878</v>
      </c>
      <c r="AW160"/>
    </row>
    <row r="161" spans="1:49" x14ac:dyDescent="0.3">
      <c r="A161" s="5" t="s">
        <v>151</v>
      </c>
      <c r="B161" s="5" t="s">
        <v>54</v>
      </c>
      <c r="C161" s="5" t="s">
        <v>993</v>
      </c>
      <c r="D161" s="5" t="s">
        <v>32</v>
      </c>
      <c r="E161" s="6" t="s">
        <v>33</v>
      </c>
      <c r="F161" s="5">
        <v>144</v>
      </c>
      <c r="G161" s="5" t="s">
        <v>871</v>
      </c>
      <c r="H161" s="5" t="s">
        <v>1319</v>
      </c>
      <c r="I161" s="5" t="s">
        <v>1320</v>
      </c>
      <c r="J161" s="5" t="s">
        <v>34</v>
      </c>
      <c r="K161" s="5" t="s">
        <v>60</v>
      </c>
      <c r="L161" s="5" t="s">
        <v>229</v>
      </c>
      <c r="M161" s="5" t="s">
        <v>39</v>
      </c>
      <c r="N161" s="5"/>
      <c r="O161" s="6" t="s">
        <v>1315</v>
      </c>
      <c r="P161" s="5" t="s">
        <v>97</v>
      </c>
      <c r="Q161" s="5" t="s">
        <v>64</v>
      </c>
      <c r="R161" s="5" t="s">
        <v>146</v>
      </c>
      <c r="S161" s="5" t="s">
        <v>1321</v>
      </c>
      <c r="T161" s="5" t="s">
        <v>1322</v>
      </c>
      <c r="U161" s="5" t="s">
        <v>1323</v>
      </c>
      <c r="V161" s="8">
        <v>46</v>
      </c>
      <c r="W161" s="9">
        <v>93062</v>
      </c>
      <c r="X161" s="5"/>
      <c r="Y161" s="10">
        <v>100</v>
      </c>
      <c r="Z161" s="10">
        <v>18.18</v>
      </c>
      <c r="AA161" s="10">
        <v>18.18</v>
      </c>
      <c r="AB161" s="10">
        <v>39660</v>
      </c>
      <c r="AC161" s="10">
        <v>2348</v>
      </c>
      <c r="AD161" s="10">
        <v>0</v>
      </c>
      <c r="AE161" s="11">
        <v>42008</v>
      </c>
      <c r="AF161" s="12" t="s">
        <v>62</v>
      </c>
      <c r="AG161" s="14" t="s">
        <v>403</v>
      </c>
      <c r="AH161" s="14" t="s">
        <v>65</v>
      </c>
      <c r="AI161" s="14" t="s">
        <v>36</v>
      </c>
      <c r="AJ161" s="14">
        <v>100000</v>
      </c>
      <c r="AK161" s="14">
        <v>95000</v>
      </c>
      <c r="AL161" s="13">
        <v>48</v>
      </c>
      <c r="AM161" s="13">
        <v>48</v>
      </c>
      <c r="AN161" s="14" t="s">
        <v>225</v>
      </c>
      <c r="AO161" s="14" t="s">
        <v>226</v>
      </c>
      <c r="AP161" s="14" t="s">
        <v>37</v>
      </c>
      <c r="AQ161" s="20">
        <v>202601</v>
      </c>
      <c r="AR161" s="21" t="s">
        <v>153</v>
      </c>
      <c r="AS161" s="14" t="s">
        <v>336</v>
      </c>
      <c r="AT161" s="14" t="s">
        <v>336</v>
      </c>
      <c r="AU161" s="19" t="s">
        <v>877</v>
      </c>
      <c r="AV161" s="12" t="s">
        <v>878</v>
      </c>
      <c r="AW161"/>
    </row>
    <row r="162" spans="1:49" x14ac:dyDescent="0.3">
      <c r="A162" s="5" t="s">
        <v>151</v>
      </c>
      <c r="B162" s="5" t="s">
        <v>54</v>
      </c>
      <c r="C162" s="5" t="s">
        <v>993</v>
      </c>
      <c r="D162" s="5" t="s">
        <v>32</v>
      </c>
      <c r="E162" s="6" t="s">
        <v>33</v>
      </c>
      <c r="F162" s="5">
        <v>145</v>
      </c>
      <c r="G162" s="5" t="s">
        <v>871</v>
      </c>
      <c r="H162" s="5" t="s">
        <v>1324</v>
      </c>
      <c r="I162" s="5" t="s">
        <v>1325</v>
      </c>
      <c r="J162" s="5" t="s">
        <v>34</v>
      </c>
      <c r="K162" s="5" t="s">
        <v>60</v>
      </c>
      <c r="L162" s="5" t="s">
        <v>229</v>
      </c>
      <c r="M162" s="5" t="s">
        <v>39</v>
      </c>
      <c r="N162" s="5"/>
      <c r="O162" s="6" t="s">
        <v>1299</v>
      </c>
      <c r="P162" s="5" t="s">
        <v>93</v>
      </c>
      <c r="Q162" s="5" t="s">
        <v>64</v>
      </c>
      <c r="R162" s="5" t="s">
        <v>79</v>
      </c>
      <c r="S162" s="5" t="s">
        <v>1326</v>
      </c>
      <c r="T162" s="5" t="s">
        <v>1327</v>
      </c>
      <c r="U162" s="5" t="s">
        <v>1328</v>
      </c>
      <c r="V162" s="8">
        <v>35</v>
      </c>
      <c r="W162" s="9">
        <v>75111</v>
      </c>
      <c r="X162" s="5"/>
      <c r="Y162" s="10">
        <v>100</v>
      </c>
      <c r="Z162" s="10">
        <v>18.18</v>
      </c>
      <c r="AA162" s="10">
        <v>18.18</v>
      </c>
      <c r="AB162" s="10">
        <v>39660</v>
      </c>
      <c r="AC162" s="10">
        <v>3391</v>
      </c>
      <c r="AD162" s="10">
        <v>0</v>
      </c>
      <c r="AE162" s="11">
        <v>43051</v>
      </c>
      <c r="AF162" s="12" t="s">
        <v>62</v>
      </c>
      <c r="AG162" s="14" t="s">
        <v>209</v>
      </c>
      <c r="AH162" s="14" t="s">
        <v>65</v>
      </c>
      <c r="AI162" s="14" t="s">
        <v>45</v>
      </c>
      <c r="AJ162" s="14">
        <v>80000</v>
      </c>
      <c r="AK162" s="14">
        <v>80000</v>
      </c>
      <c r="AL162" s="13">
        <v>36</v>
      </c>
      <c r="AM162" s="13">
        <v>36</v>
      </c>
      <c r="AN162" s="14" t="s">
        <v>225</v>
      </c>
      <c r="AO162" s="14" t="s">
        <v>226</v>
      </c>
      <c r="AP162" s="14" t="s">
        <v>37</v>
      </c>
      <c r="AQ162" s="20">
        <v>202601</v>
      </c>
      <c r="AR162" s="21" t="s">
        <v>153</v>
      </c>
      <c r="AS162" s="14" t="s">
        <v>336</v>
      </c>
      <c r="AT162" s="14" t="s">
        <v>336</v>
      </c>
      <c r="AU162" s="19" t="s">
        <v>877</v>
      </c>
      <c r="AV162" s="12" t="s">
        <v>878</v>
      </c>
      <c r="AW162"/>
    </row>
    <row r="163" spans="1:49" x14ac:dyDescent="0.3">
      <c r="A163" s="5" t="s">
        <v>151</v>
      </c>
      <c r="B163" s="5" t="s">
        <v>54</v>
      </c>
      <c r="C163" s="5" t="s">
        <v>993</v>
      </c>
      <c r="D163" s="5" t="s">
        <v>32</v>
      </c>
      <c r="E163" s="6" t="s">
        <v>33</v>
      </c>
      <c r="F163" s="5">
        <v>146</v>
      </c>
      <c r="G163" s="5" t="s">
        <v>871</v>
      </c>
      <c r="H163" s="5" t="s">
        <v>1329</v>
      </c>
      <c r="I163" s="5" t="s">
        <v>1330</v>
      </c>
      <c r="J163" s="5" t="s">
        <v>34</v>
      </c>
      <c r="K163" s="5" t="s">
        <v>60</v>
      </c>
      <c r="L163" s="5" t="s">
        <v>229</v>
      </c>
      <c r="M163" s="5" t="s">
        <v>39</v>
      </c>
      <c r="N163" s="5"/>
      <c r="O163" s="6" t="s">
        <v>1299</v>
      </c>
      <c r="P163" s="5" t="s">
        <v>97</v>
      </c>
      <c r="Q163" s="5" t="s">
        <v>64</v>
      </c>
      <c r="R163" s="5" t="s">
        <v>146</v>
      </c>
      <c r="S163" s="5" t="s">
        <v>1331</v>
      </c>
      <c r="T163" s="5" t="s">
        <v>1332</v>
      </c>
      <c r="U163" s="5" t="s">
        <v>1333</v>
      </c>
      <c r="V163" s="8">
        <v>35</v>
      </c>
      <c r="W163" s="9">
        <v>94290</v>
      </c>
      <c r="X163" s="5"/>
      <c r="Y163" s="10">
        <v>100</v>
      </c>
      <c r="Z163" s="10">
        <v>18.18</v>
      </c>
      <c r="AA163" s="10">
        <v>18.18</v>
      </c>
      <c r="AB163" s="10">
        <v>39660</v>
      </c>
      <c r="AC163" s="10">
        <v>2348</v>
      </c>
      <c r="AD163" s="10">
        <v>0</v>
      </c>
      <c r="AE163" s="11">
        <v>42008</v>
      </c>
      <c r="AF163" s="12" t="s">
        <v>62</v>
      </c>
      <c r="AG163" s="14" t="s">
        <v>139</v>
      </c>
      <c r="AH163" s="14" t="s">
        <v>65</v>
      </c>
      <c r="AI163" s="14" t="s">
        <v>36</v>
      </c>
      <c r="AJ163" s="14">
        <v>100000</v>
      </c>
      <c r="AK163" s="14">
        <v>95000</v>
      </c>
      <c r="AL163" s="13">
        <v>36</v>
      </c>
      <c r="AM163" s="13">
        <v>36</v>
      </c>
      <c r="AN163" s="14" t="s">
        <v>225</v>
      </c>
      <c r="AO163" s="14" t="s">
        <v>226</v>
      </c>
      <c r="AP163" s="14" t="s">
        <v>37</v>
      </c>
      <c r="AQ163" s="20">
        <v>202601</v>
      </c>
      <c r="AR163" s="21" t="s">
        <v>153</v>
      </c>
      <c r="AS163" s="14" t="s">
        <v>336</v>
      </c>
      <c r="AT163" s="14" t="s">
        <v>336</v>
      </c>
      <c r="AU163" s="19" t="s">
        <v>877</v>
      </c>
      <c r="AV163" s="12" t="s">
        <v>878</v>
      </c>
      <c r="AW163"/>
    </row>
    <row r="164" spans="1:49" x14ac:dyDescent="0.3">
      <c r="A164" s="5" t="s">
        <v>151</v>
      </c>
      <c r="B164" s="5" t="s">
        <v>54</v>
      </c>
      <c r="C164" s="5" t="s">
        <v>993</v>
      </c>
      <c r="D164" s="5" t="s">
        <v>32</v>
      </c>
      <c r="E164" s="6" t="s">
        <v>33</v>
      </c>
      <c r="F164" s="5">
        <v>147</v>
      </c>
      <c r="G164" s="5" t="s">
        <v>871</v>
      </c>
      <c r="H164" s="5" t="s">
        <v>1334</v>
      </c>
      <c r="I164" s="5" t="s">
        <v>1335</v>
      </c>
      <c r="J164" s="5" t="s">
        <v>34</v>
      </c>
      <c r="K164" s="5" t="s">
        <v>60</v>
      </c>
      <c r="L164" s="5" t="s">
        <v>229</v>
      </c>
      <c r="M164" s="5" t="s">
        <v>39</v>
      </c>
      <c r="N164" s="5"/>
      <c r="O164" s="6" t="s">
        <v>1299</v>
      </c>
      <c r="P164" s="5" t="s">
        <v>97</v>
      </c>
      <c r="Q164" s="5" t="s">
        <v>64</v>
      </c>
      <c r="R164" s="5" t="s">
        <v>146</v>
      </c>
      <c r="S164" s="5" t="s">
        <v>1336</v>
      </c>
      <c r="T164" s="5" t="s">
        <v>1251</v>
      </c>
      <c r="U164" s="5" t="s">
        <v>1337</v>
      </c>
      <c r="V164" s="8">
        <v>27</v>
      </c>
      <c r="W164" s="9">
        <v>44408</v>
      </c>
      <c r="X164" s="5"/>
      <c r="Y164" s="10">
        <v>100</v>
      </c>
      <c r="Z164" s="10">
        <v>18.18</v>
      </c>
      <c r="AA164" s="10">
        <v>18.18</v>
      </c>
      <c r="AB164" s="10">
        <v>39660</v>
      </c>
      <c r="AC164" s="10">
        <v>2348</v>
      </c>
      <c r="AD164" s="10">
        <v>0</v>
      </c>
      <c r="AE164" s="11">
        <v>42008</v>
      </c>
      <c r="AF164" s="12" t="s">
        <v>62</v>
      </c>
      <c r="AG164" s="14" t="s">
        <v>184</v>
      </c>
      <c r="AH164" s="14" t="s">
        <v>65</v>
      </c>
      <c r="AI164" s="14" t="s">
        <v>36</v>
      </c>
      <c r="AJ164" s="14">
        <v>50000</v>
      </c>
      <c r="AK164" s="14">
        <v>45000</v>
      </c>
      <c r="AL164" s="13">
        <v>30</v>
      </c>
      <c r="AM164" s="13">
        <v>30</v>
      </c>
      <c r="AN164" s="14" t="s">
        <v>225</v>
      </c>
      <c r="AO164" s="14" t="s">
        <v>226</v>
      </c>
      <c r="AP164" s="14" t="s">
        <v>37</v>
      </c>
      <c r="AQ164" s="20">
        <v>202601</v>
      </c>
      <c r="AR164" s="21" t="s">
        <v>153</v>
      </c>
      <c r="AS164" s="14" t="s">
        <v>336</v>
      </c>
      <c r="AT164" s="14" t="s">
        <v>336</v>
      </c>
      <c r="AU164" s="19" t="s">
        <v>877</v>
      </c>
      <c r="AV164" s="12" t="s">
        <v>878</v>
      </c>
      <c r="AW164"/>
    </row>
    <row r="165" spans="1:49" x14ac:dyDescent="0.3">
      <c r="A165" s="5" t="s">
        <v>151</v>
      </c>
      <c r="B165" s="5" t="s">
        <v>54</v>
      </c>
      <c r="C165" s="5" t="s">
        <v>993</v>
      </c>
      <c r="D165" s="5" t="s">
        <v>32</v>
      </c>
      <c r="E165" s="6" t="s">
        <v>33</v>
      </c>
      <c r="F165" s="5">
        <v>148</v>
      </c>
      <c r="G165" s="5" t="s">
        <v>871</v>
      </c>
      <c r="H165" s="5" t="s">
        <v>1338</v>
      </c>
      <c r="I165" s="5" t="s">
        <v>1339</v>
      </c>
      <c r="J165" s="5" t="s">
        <v>34</v>
      </c>
      <c r="K165" s="5" t="s">
        <v>60</v>
      </c>
      <c r="L165" s="5" t="s">
        <v>229</v>
      </c>
      <c r="M165" s="5" t="s">
        <v>39</v>
      </c>
      <c r="N165" s="5"/>
      <c r="O165" s="6" t="s">
        <v>1315</v>
      </c>
      <c r="P165" s="5" t="s">
        <v>97</v>
      </c>
      <c r="Q165" s="5" t="s">
        <v>64</v>
      </c>
      <c r="R165" s="5" t="s">
        <v>145</v>
      </c>
      <c r="S165" s="5" t="s">
        <v>1340</v>
      </c>
      <c r="T165" s="5" t="s">
        <v>1341</v>
      </c>
      <c r="U165" s="5" t="s">
        <v>1342</v>
      </c>
      <c r="V165" s="8">
        <v>19</v>
      </c>
      <c r="W165" s="9">
        <v>34113</v>
      </c>
      <c r="X165" s="5"/>
      <c r="Y165" s="10">
        <v>100</v>
      </c>
      <c r="Z165" s="10">
        <v>18.18</v>
      </c>
      <c r="AA165" s="10">
        <v>18.18</v>
      </c>
      <c r="AB165" s="10">
        <v>39660</v>
      </c>
      <c r="AC165" s="10">
        <v>2348</v>
      </c>
      <c r="AD165" s="10">
        <v>0</v>
      </c>
      <c r="AE165" s="11">
        <v>42008</v>
      </c>
      <c r="AF165" s="12" t="s">
        <v>62</v>
      </c>
      <c r="AG165" s="14" t="s">
        <v>162</v>
      </c>
      <c r="AH165" s="14" t="s">
        <v>65</v>
      </c>
      <c r="AI165" s="14" t="s">
        <v>36</v>
      </c>
      <c r="AJ165" s="14">
        <v>40000</v>
      </c>
      <c r="AK165" s="14">
        <v>35000</v>
      </c>
      <c r="AL165" s="13">
        <v>24</v>
      </c>
      <c r="AM165" s="13">
        <v>21</v>
      </c>
      <c r="AN165" s="14" t="s">
        <v>225</v>
      </c>
      <c r="AO165" s="14" t="s">
        <v>226</v>
      </c>
      <c r="AP165" s="14" t="s">
        <v>37</v>
      </c>
      <c r="AQ165" s="20">
        <v>202601</v>
      </c>
      <c r="AR165" s="21" t="s">
        <v>153</v>
      </c>
      <c r="AS165" s="14" t="s">
        <v>336</v>
      </c>
      <c r="AT165" s="14" t="s">
        <v>336</v>
      </c>
      <c r="AU165" s="19" t="s">
        <v>877</v>
      </c>
      <c r="AV165" s="12" t="s">
        <v>878</v>
      </c>
      <c r="AW165"/>
    </row>
    <row r="166" spans="1:49" x14ac:dyDescent="0.3">
      <c r="A166" s="5" t="s">
        <v>151</v>
      </c>
      <c r="B166" s="5" t="s">
        <v>54</v>
      </c>
      <c r="C166" s="5" t="s">
        <v>993</v>
      </c>
      <c r="D166" s="5" t="s">
        <v>32</v>
      </c>
      <c r="E166" s="6" t="s">
        <v>33</v>
      </c>
      <c r="F166" s="5">
        <v>149</v>
      </c>
      <c r="G166" s="5" t="s">
        <v>871</v>
      </c>
      <c r="H166" s="5" t="s">
        <v>1343</v>
      </c>
      <c r="I166" s="5" t="s">
        <v>1344</v>
      </c>
      <c r="J166" s="5" t="s">
        <v>34</v>
      </c>
      <c r="K166" s="5" t="s">
        <v>60</v>
      </c>
      <c r="L166" s="5" t="s">
        <v>229</v>
      </c>
      <c r="M166" s="5" t="s">
        <v>39</v>
      </c>
      <c r="N166" s="5"/>
      <c r="O166" s="6" t="s">
        <v>1299</v>
      </c>
      <c r="P166" s="5" t="s">
        <v>224</v>
      </c>
      <c r="Q166" s="5" t="s">
        <v>64</v>
      </c>
      <c r="R166" s="5" t="s">
        <v>146</v>
      </c>
      <c r="S166" s="5" t="s">
        <v>1345</v>
      </c>
      <c r="T166" s="5" t="s">
        <v>1346</v>
      </c>
      <c r="U166" s="5" t="s">
        <v>1347</v>
      </c>
      <c r="V166" s="8">
        <v>22</v>
      </c>
      <c r="W166" s="9">
        <v>62455</v>
      </c>
      <c r="X166" s="5"/>
      <c r="Y166" s="10">
        <v>100</v>
      </c>
      <c r="Z166" s="10">
        <v>18.18</v>
      </c>
      <c r="AA166" s="10">
        <v>18.18</v>
      </c>
      <c r="AB166" s="10">
        <v>39660</v>
      </c>
      <c r="AC166" s="10">
        <v>1043</v>
      </c>
      <c r="AD166" s="10">
        <v>0</v>
      </c>
      <c r="AE166" s="11">
        <v>40703</v>
      </c>
      <c r="AF166" s="12" t="s">
        <v>62</v>
      </c>
      <c r="AG166" s="14" t="s">
        <v>319</v>
      </c>
      <c r="AH166" s="14" t="s">
        <v>65</v>
      </c>
      <c r="AI166" s="14" t="s">
        <v>36</v>
      </c>
      <c r="AJ166" s="14">
        <v>70000</v>
      </c>
      <c r="AK166" s="14">
        <v>65000</v>
      </c>
      <c r="AL166" s="13">
        <v>24</v>
      </c>
      <c r="AM166" s="13">
        <v>24</v>
      </c>
      <c r="AN166" s="14" t="s">
        <v>225</v>
      </c>
      <c r="AO166" s="14" t="s">
        <v>226</v>
      </c>
      <c r="AP166" s="14" t="s">
        <v>37</v>
      </c>
      <c r="AQ166" s="20">
        <v>202601</v>
      </c>
      <c r="AR166" s="21" t="s">
        <v>153</v>
      </c>
      <c r="AS166" s="14" t="s">
        <v>336</v>
      </c>
      <c r="AT166" s="14" t="s">
        <v>336</v>
      </c>
      <c r="AU166" s="19" t="s">
        <v>877</v>
      </c>
      <c r="AV166" s="12" t="s">
        <v>878</v>
      </c>
      <c r="AW166"/>
    </row>
    <row r="167" spans="1:49" x14ac:dyDescent="0.3">
      <c r="A167" s="5" t="s">
        <v>151</v>
      </c>
      <c r="B167" s="5" t="s">
        <v>54</v>
      </c>
      <c r="C167" s="5" t="s">
        <v>993</v>
      </c>
      <c r="D167" s="5" t="s">
        <v>32</v>
      </c>
      <c r="E167" s="6" t="s">
        <v>33</v>
      </c>
      <c r="F167" s="5">
        <v>150</v>
      </c>
      <c r="G167" s="5" t="s">
        <v>871</v>
      </c>
      <c r="H167" s="5" t="s">
        <v>1348</v>
      </c>
      <c r="I167" s="5" t="s">
        <v>1349</v>
      </c>
      <c r="J167" s="5" t="s">
        <v>34</v>
      </c>
      <c r="K167" s="5" t="s">
        <v>99</v>
      </c>
      <c r="L167" s="5" t="s">
        <v>229</v>
      </c>
      <c r="M167" s="5" t="s">
        <v>39</v>
      </c>
      <c r="N167" s="5"/>
      <c r="O167" s="6" t="e">
        <v>#N/A</v>
      </c>
      <c r="P167" s="5" t="s">
        <v>97</v>
      </c>
      <c r="Q167" s="5" t="s">
        <v>64</v>
      </c>
      <c r="R167" s="5" t="s">
        <v>146</v>
      </c>
      <c r="S167" s="5" t="s">
        <v>1350</v>
      </c>
      <c r="T167" s="5" t="s">
        <v>1351</v>
      </c>
      <c r="U167" s="5" t="s">
        <v>1352</v>
      </c>
      <c r="V167" s="8">
        <v>52</v>
      </c>
      <c r="W167" s="9">
        <v>38359</v>
      </c>
      <c r="X167" s="5"/>
      <c r="Y167" s="10">
        <v>100</v>
      </c>
      <c r="Z167" s="10">
        <v>18.18</v>
      </c>
      <c r="AA167" s="10">
        <v>18.18</v>
      </c>
      <c r="AB167" s="10">
        <v>39660</v>
      </c>
      <c r="AC167" s="10">
        <v>3391</v>
      </c>
      <c r="AD167" s="10">
        <v>0</v>
      </c>
      <c r="AE167" s="11">
        <v>43051</v>
      </c>
      <c r="AF167" s="12" t="s">
        <v>101</v>
      </c>
      <c r="AG167" s="14" t="s">
        <v>889</v>
      </c>
      <c r="AH167" s="14" t="s">
        <v>65</v>
      </c>
      <c r="AI167" s="14" t="s">
        <v>36</v>
      </c>
      <c r="AJ167" s="14">
        <v>40000</v>
      </c>
      <c r="AK167" s="14">
        <v>40000</v>
      </c>
      <c r="AL167" s="13">
        <v>54</v>
      </c>
      <c r="AM167" s="13">
        <v>54</v>
      </c>
      <c r="AN167" s="14" t="s">
        <v>225</v>
      </c>
      <c r="AO167" s="14" t="s">
        <v>226</v>
      </c>
      <c r="AP167" s="14" t="s">
        <v>37</v>
      </c>
      <c r="AQ167" s="20">
        <v>202601</v>
      </c>
      <c r="AR167" s="21" t="s">
        <v>153</v>
      </c>
      <c r="AS167" s="14" t="s">
        <v>336</v>
      </c>
      <c r="AT167" s="14" t="s">
        <v>336</v>
      </c>
      <c r="AU167" s="19" t="s">
        <v>877</v>
      </c>
      <c r="AV167" s="12" t="s">
        <v>878</v>
      </c>
      <c r="AW167"/>
    </row>
    <row r="168" spans="1:49" x14ac:dyDescent="0.3">
      <c r="A168" s="5" t="s">
        <v>151</v>
      </c>
      <c r="B168" s="5" t="s">
        <v>54</v>
      </c>
      <c r="C168" s="5" t="s">
        <v>993</v>
      </c>
      <c r="D168" s="5" t="s">
        <v>32</v>
      </c>
      <c r="E168" s="6" t="s">
        <v>33</v>
      </c>
      <c r="F168" s="5">
        <v>151</v>
      </c>
      <c r="G168" s="5" t="s">
        <v>871</v>
      </c>
      <c r="H168" s="5" t="s">
        <v>1353</v>
      </c>
      <c r="I168" s="5" t="s">
        <v>1354</v>
      </c>
      <c r="J168" s="5" t="s">
        <v>34</v>
      </c>
      <c r="K168" s="5" t="s">
        <v>99</v>
      </c>
      <c r="L168" s="5" t="s">
        <v>229</v>
      </c>
      <c r="M168" s="5" t="s">
        <v>39</v>
      </c>
      <c r="N168" s="5"/>
      <c r="O168" s="6" t="e">
        <v>#N/A</v>
      </c>
      <c r="P168" s="5" t="s">
        <v>97</v>
      </c>
      <c r="Q168" s="5" t="s">
        <v>64</v>
      </c>
      <c r="R168" s="5" t="s">
        <v>146</v>
      </c>
      <c r="S168" s="5" t="s">
        <v>1350</v>
      </c>
      <c r="T168" s="5" t="s">
        <v>1355</v>
      </c>
      <c r="U168" s="5" t="s">
        <v>415</v>
      </c>
      <c r="V168" s="8">
        <v>51</v>
      </c>
      <c r="W168" s="9">
        <v>42951</v>
      </c>
      <c r="X168" s="5"/>
      <c r="Y168" s="10">
        <v>100</v>
      </c>
      <c r="Z168" s="10">
        <v>18.18</v>
      </c>
      <c r="AA168" s="10">
        <v>18.18</v>
      </c>
      <c r="AB168" s="10">
        <v>39660</v>
      </c>
      <c r="AC168" s="10">
        <v>3391</v>
      </c>
      <c r="AD168" s="10">
        <v>0</v>
      </c>
      <c r="AE168" s="11">
        <v>43051</v>
      </c>
      <c r="AF168" s="12" t="s">
        <v>101</v>
      </c>
      <c r="AG168" s="14" t="s">
        <v>889</v>
      </c>
      <c r="AH168" s="14" t="s">
        <v>65</v>
      </c>
      <c r="AI168" s="14" t="s">
        <v>36</v>
      </c>
      <c r="AJ168" s="14">
        <v>50000</v>
      </c>
      <c r="AK168" s="14">
        <v>45000</v>
      </c>
      <c r="AL168" s="13">
        <v>54</v>
      </c>
      <c r="AM168" s="13">
        <v>54</v>
      </c>
      <c r="AN168" s="14" t="s">
        <v>225</v>
      </c>
      <c r="AO168" s="14" t="s">
        <v>226</v>
      </c>
      <c r="AP168" s="14" t="s">
        <v>37</v>
      </c>
      <c r="AQ168" s="20">
        <v>202601</v>
      </c>
      <c r="AR168" s="21" t="s">
        <v>153</v>
      </c>
      <c r="AS168" s="14" t="s">
        <v>336</v>
      </c>
      <c r="AT168" s="14" t="s">
        <v>336</v>
      </c>
      <c r="AU168" s="19" t="s">
        <v>877</v>
      </c>
      <c r="AV168" s="12" t="s">
        <v>878</v>
      </c>
      <c r="AW168"/>
    </row>
    <row r="169" spans="1:49" x14ac:dyDescent="0.3">
      <c r="A169" s="5" t="s">
        <v>151</v>
      </c>
      <c r="B169" s="5" t="s">
        <v>54</v>
      </c>
      <c r="C169" s="5" t="s">
        <v>993</v>
      </c>
      <c r="D169" s="5" t="s">
        <v>32</v>
      </c>
      <c r="E169" s="6" t="s">
        <v>33</v>
      </c>
      <c r="F169" s="5">
        <v>152</v>
      </c>
      <c r="G169" s="5" t="s">
        <v>871</v>
      </c>
      <c r="H169" s="5" t="s">
        <v>1356</v>
      </c>
      <c r="I169" s="5" t="s">
        <v>1357</v>
      </c>
      <c r="J169" s="5" t="s">
        <v>34</v>
      </c>
      <c r="K169" s="5" t="s">
        <v>99</v>
      </c>
      <c r="L169" s="5" t="s">
        <v>229</v>
      </c>
      <c r="M169" s="5" t="s">
        <v>39</v>
      </c>
      <c r="N169" s="5"/>
      <c r="O169" s="6" t="e">
        <v>#N/A</v>
      </c>
      <c r="P169" s="5" t="s">
        <v>97</v>
      </c>
      <c r="Q169" s="5" t="s">
        <v>64</v>
      </c>
      <c r="R169" s="5" t="s">
        <v>146</v>
      </c>
      <c r="S169" s="5" t="s">
        <v>1358</v>
      </c>
      <c r="T169" s="5" t="s">
        <v>1359</v>
      </c>
      <c r="U169" s="5" t="s">
        <v>1360</v>
      </c>
      <c r="V169" s="8">
        <v>55</v>
      </c>
      <c r="W169" s="9">
        <v>91928</v>
      </c>
      <c r="X169" s="5"/>
      <c r="Y169" s="10">
        <v>100</v>
      </c>
      <c r="Z169" s="10">
        <v>18.18</v>
      </c>
      <c r="AA169" s="10">
        <v>18.18</v>
      </c>
      <c r="AB169" s="10">
        <v>39660</v>
      </c>
      <c r="AC169" s="10">
        <v>3391</v>
      </c>
      <c r="AD169" s="10">
        <v>0</v>
      </c>
      <c r="AE169" s="11">
        <v>43051</v>
      </c>
      <c r="AF169" s="12" t="s">
        <v>101</v>
      </c>
      <c r="AG169" s="14" t="s">
        <v>931</v>
      </c>
      <c r="AH169" s="14" t="s">
        <v>65</v>
      </c>
      <c r="AI169" s="14" t="s">
        <v>36</v>
      </c>
      <c r="AJ169" s="14">
        <v>100000</v>
      </c>
      <c r="AK169" s="14">
        <v>95000</v>
      </c>
      <c r="AL169" s="13">
        <v>60</v>
      </c>
      <c r="AM169" s="13">
        <v>57</v>
      </c>
      <c r="AN169" s="14" t="s">
        <v>225</v>
      </c>
      <c r="AO169" s="14" t="s">
        <v>226</v>
      </c>
      <c r="AP169" s="14" t="s">
        <v>37</v>
      </c>
      <c r="AQ169" s="20">
        <v>202601</v>
      </c>
      <c r="AR169" s="21" t="s">
        <v>153</v>
      </c>
      <c r="AS169" s="14" t="s">
        <v>336</v>
      </c>
      <c r="AT169" s="14" t="s">
        <v>336</v>
      </c>
      <c r="AU169" s="19" t="s">
        <v>877</v>
      </c>
      <c r="AV169" s="12" t="s">
        <v>878</v>
      </c>
      <c r="AW169"/>
    </row>
    <row r="170" spans="1:49" x14ac:dyDescent="0.3">
      <c r="A170" s="5" t="s">
        <v>151</v>
      </c>
      <c r="B170" s="5" t="s">
        <v>54</v>
      </c>
      <c r="C170" s="5" t="s">
        <v>993</v>
      </c>
      <c r="D170" s="5" t="s">
        <v>32</v>
      </c>
      <c r="E170" s="6" t="s">
        <v>33</v>
      </c>
      <c r="F170" s="5">
        <v>153</v>
      </c>
      <c r="G170" s="5" t="s">
        <v>871</v>
      </c>
      <c r="H170" s="5" t="s">
        <v>1361</v>
      </c>
      <c r="I170" s="5" t="s">
        <v>1362</v>
      </c>
      <c r="J170" s="5" t="s">
        <v>34</v>
      </c>
      <c r="K170" s="5" t="s">
        <v>99</v>
      </c>
      <c r="L170" s="5" t="s">
        <v>229</v>
      </c>
      <c r="M170" s="5" t="s">
        <v>39</v>
      </c>
      <c r="N170" s="5"/>
      <c r="O170" s="6" t="e">
        <v>#N/A</v>
      </c>
      <c r="P170" s="5" t="s">
        <v>97</v>
      </c>
      <c r="Q170" s="5" t="s">
        <v>64</v>
      </c>
      <c r="R170" s="5" t="s">
        <v>146</v>
      </c>
      <c r="S170" s="5" t="s">
        <v>1363</v>
      </c>
      <c r="T170" s="5" t="s">
        <v>1364</v>
      </c>
      <c r="U170" s="5" t="s">
        <v>1365</v>
      </c>
      <c r="V170" s="8">
        <v>57</v>
      </c>
      <c r="W170" s="9">
        <v>69553</v>
      </c>
      <c r="X170" s="5"/>
      <c r="Y170" s="10">
        <v>100</v>
      </c>
      <c r="Z170" s="10">
        <v>18.18</v>
      </c>
      <c r="AA170" s="10">
        <v>18.18</v>
      </c>
      <c r="AB170" s="10">
        <v>39660</v>
      </c>
      <c r="AC170" s="10">
        <v>3391</v>
      </c>
      <c r="AD170" s="10">
        <v>0</v>
      </c>
      <c r="AE170" s="11">
        <v>43051</v>
      </c>
      <c r="AF170" s="12" t="s">
        <v>101</v>
      </c>
      <c r="AG170" s="14" t="s">
        <v>931</v>
      </c>
      <c r="AH170" s="14" t="s">
        <v>65</v>
      </c>
      <c r="AI170" s="14" t="s">
        <v>36</v>
      </c>
      <c r="AJ170" s="14">
        <v>70000</v>
      </c>
      <c r="AK170" s="14">
        <v>70000</v>
      </c>
      <c r="AL170" s="13">
        <v>60</v>
      </c>
      <c r="AM170" s="13">
        <v>60</v>
      </c>
      <c r="AN170" s="14" t="s">
        <v>225</v>
      </c>
      <c r="AO170" s="14" t="s">
        <v>226</v>
      </c>
      <c r="AP170" s="14" t="s">
        <v>37</v>
      </c>
      <c r="AQ170" s="20">
        <v>202601</v>
      </c>
      <c r="AR170" s="21" t="s">
        <v>153</v>
      </c>
      <c r="AS170" s="14" t="s">
        <v>336</v>
      </c>
      <c r="AT170" s="14" t="s">
        <v>336</v>
      </c>
      <c r="AU170" s="19" t="s">
        <v>877</v>
      </c>
      <c r="AV170" s="12" t="s">
        <v>878</v>
      </c>
      <c r="AW170"/>
    </row>
    <row r="171" spans="1:49" x14ac:dyDescent="0.3">
      <c r="A171" s="5" t="s">
        <v>151</v>
      </c>
      <c r="B171" s="5" t="s">
        <v>54</v>
      </c>
      <c r="C171" s="5" t="s">
        <v>993</v>
      </c>
      <c r="D171" s="5" t="s">
        <v>32</v>
      </c>
      <c r="E171" s="6" t="s">
        <v>33</v>
      </c>
      <c r="F171" s="5">
        <v>154</v>
      </c>
      <c r="G171" s="5" t="s">
        <v>871</v>
      </c>
      <c r="H171" s="5" t="s">
        <v>1366</v>
      </c>
      <c r="I171" s="5" t="s">
        <v>1367</v>
      </c>
      <c r="J171" s="5" t="s">
        <v>34</v>
      </c>
      <c r="K171" s="5" t="s">
        <v>99</v>
      </c>
      <c r="L171" s="5" t="s">
        <v>229</v>
      </c>
      <c r="M171" s="5" t="s">
        <v>39</v>
      </c>
      <c r="N171" s="5"/>
      <c r="O171" s="6" t="e">
        <v>#N/A</v>
      </c>
      <c r="P171" s="5" t="s">
        <v>224</v>
      </c>
      <c r="Q171" s="5" t="s">
        <v>64</v>
      </c>
      <c r="R171" s="5" t="s">
        <v>146</v>
      </c>
      <c r="S171" s="5" t="s">
        <v>1368</v>
      </c>
      <c r="T171" s="5" t="s">
        <v>406</v>
      </c>
      <c r="U171" s="5" t="s">
        <v>418</v>
      </c>
      <c r="V171" s="8">
        <v>60</v>
      </c>
      <c r="W171" s="9">
        <v>59120</v>
      </c>
      <c r="X171" s="5"/>
      <c r="Y171" s="10">
        <v>100</v>
      </c>
      <c r="Z171" s="10">
        <v>18.18</v>
      </c>
      <c r="AA171" s="10">
        <v>18.18</v>
      </c>
      <c r="AB171" s="10">
        <v>39660</v>
      </c>
      <c r="AC171" s="10">
        <v>1043</v>
      </c>
      <c r="AD171" s="10">
        <v>0</v>
      </c>
      <c r="AE171" s="11">
        <v>40703</v>
      </c>
      <c r="AF171" s="12" t="s">
        <v>101</v>
      </c>
      <c r="AG171" s="14" t="s">
        <v>196</v>
      </c>
      <c r="AH171" s="14" t="s">
        <v>65</v>
      </c>
      <c r="AI171" s="14" t="s">
        <v>36</v>
      </c>
      <c r="AJ171" s="14">
        <v>60000</v>
      </c>
      <c r="AK171" s="14">
        <v>60000</v>
      </c>
      <c r="AL171" s="13" t="s">
        <v>124</v>
      </c>
      <c r="AM171" s="13" t="s">
        <v>124</v>
      </c>
      <c r="AN171" s="14" t="s">
        <v>225</v>
      </c>
      <c r="AO171" s="14" t="s">
        <v>226</v>
      </c>
      <c r="AP171" s="14" t="s">
        <v>37</v>
      </c>
      <c r="AQ171" s="20">
        <v>202601</v>
      </c>
      <c r="AR171" s="21" t="s">
        <v>153</v>
      </c>
      <c r="AS171" s="14" t="s">
        <v>336</v>
      </c>
      <c r="AT171" s="14" t="s">
        <v>336</v>
      </c>
      <c r="AU171" s="19" t="s">
        <v>877</v>
      </c>
      <c r="AV171" s="12" t="s">
        <v>878</v>
      </c>
      <c r="AW171"/>
    </row>
    <row r="172" spans="1:49" x14ac:dyDescent="0.3">
      <c r="A172" s="5" t="s">
        <v>151</v>
      </c>
      <c r="B172" s="5" t="s">
        <v>54</v>
      </c>
      <c r="C172" s="5" t="s">
        <v>993</v>
      </c>
      <c r="D172" s="5" t="s">
        <v>32</v>
      </c>
      <c r="E172" s="6" t="s">
        <v>33</v>
      </c>
      <c r="F172" s="5">
        <v>155</v>
      </c>
      <c r="G172" s="5" t="s">
        <v>871</v>
      </c>
      <c r="H172" s="5" t="s">
        <v>1369</v>
      </c>
      <c r="I172" s="5" t="s">
        <v>1370</v>
      </c>
      <c r="J172" s="5" t="s">
        <v>34</v>
      </c>
      <c r="K172" s="5" t="s">
        <v>99</v>
      </c>
      <c r="L172" s="5" t="s">
        <v>229</v>
      </c>
      <c r="M172" s="5" t="s">
        <v>39</v>
      </c>
      <c r="N172" s="5"/>
      <c r="O172" s="6" t="e">
        <v>#N/A</v>
      </c>
      <c r="P172" s="5" t="s">
        <v>97</v>
      </c>
      <c r="Q172" s="5" t="s">
        <v>64</v>
      </c>
      <c r="R172" s="5" t="s">
        <v>146</v>
      </c>
      <c r="S172" s="5" t="s">
        <v>1371</v>
      </c>
      <c r="T172" s="5" t="s">
        <v>1372</v>
      </c>
      <c r="U172" s="5" t="s">
        <v>1373</v>
      </c>
      <c r="V172" s="8">
        <v>47</v>
      </c>
      <c r="W172" s="9">
        <v>90982</v>
      </c>
      <c r="X172" s="5"/>
      <c r="Y172" s="10">
        <v>100</v>
      </c>
      <c r="Z172" s="10">
        <v>18.18</v>
      </c>
      <c r="AA172" s="10">
        <v>18.18</v>
      </c>
      <c r="AB172" s="10">
        <v>39660</v>
      </c>
      <c r="AC172" s="10">
        <v>3391</v>
      </c>
      <c r="AD172" s="10">
        <v>0</v>
      </c>
      <c r="AE172" s="11">
        <v>43051</v>
      </c>
      <c r="AF172" s="12" t="s">
        <v>101</v>
      </c>
      <c r="AG172" s="14" t="s">
        <v>232</v>
      </c>
      <c r="AH172" s="14" t="s">
        <v>65</v>
      </c>
      <c r="AI172" s="14" t="s">
        <v>36</v>
      </c>
      <c r="AJ172" s="14">
        <v>100000</v>
      </c>
      <c r="AK172" s="14">
        <v>95000</v>
      </c>
      <c r="AL172" s="13">
        <v>48</v>
      </c>
      <c r="AM172" s="13">
        <v>48</v>
      </c>
      <c r="AN172" s="14" t="s">
        <v>225</v>
      </c>
      <c r="AO172" s="14" t="s">
        <v>226</v>
      </c>
      <c r="AP172" s="14" t="s">
        <v>37</v>
      </c>
      <c r="AQ172" s="20">
        <v>202601</v>
      </c>
      <c r="AR172" s="21" t="s">
        <v>153</v>
      </c>
      <c r="AS172" s="14" t="s">
        <v>336</v>
      </c>
      <c r="AT172" s="14" t="s">
        <v>336</v>
      </c>
      <c r="AU172" s="19" t="s">
        <v>877</v>
      </c>
      <c r="AV172" s="12" t="s">
        <v>878</v>
      </c>
      <c r="AW172"/>
    </row>
    <row r="173" spans="1:49" x14ac:dyDescent="0.3">
      <c r="A173" s="5" t="s">
        <v>151</v>
      </c>
      <c r="B173" s="5" t="s">
        <v>54</v>
      </c>
      <c r="C173" s="5" t="s">
        <v>993</v>
      </c>
      <c r="D173" s="5" t="s">
        <v>32</v>
      </c>
      <c r="E173" s="6" t="s">
        <v>33</v>
      </c>
      <c r="F173" s="5">
        <v>156</v>
      </c>
      <c r="G173" s="5" t="s">
        <v>871</v>
      </c>
      <c r="H173" s="5" t="s">
        <v>1374</v>
      </c>
      <c r="I173" s="5" t="s">
        <v>1375</v>
      </c>
      <c r="J173" s="5" t="s">
        <v>34</v>
      </c>
      <c r="K173" s="5" t="s">
        <v>99</v>
      </c>
      <c r="L173" s="5" t="s">
        <v>229</v>
      </c>
      <c r="M173" s="5" t="s">
        <v>39</v>
      </c>
      <c r="N173" s="5"/>
      <c r="O173" s="6" t="e">
        <v>#N/A</v>
      </c>
      <c r="P173" s="5" t="s">
        <v>97</v>
      </c>
      <c r="Q173" s="5" t="s">
        <v>64</v>
      </c>
      <c r="R173" s="5" t="s">
        <v>146</v>
      </c>
      <c r="S173" s="5" t="s">
        <v>345</v>
      </c>
      <c r="T173" s="5" t="s">
        <v>1376</v>
      </c>
      <c r="U173" s="5" t="s">
        <v>1377</v>
      </c>
      <c r="V173" s="8">
        <v>51</v>
      </c>
      <c r="W173" s="9">
        <v>66264</v>
      </c>
      <c r="X173" s="5"/>
      <c r="Y173" s="10">
        <v>100</v>
      </c>
      <c r="Z173" s="10">
        <v>18.18</v>
      </c>
      <c r="AA173" s="10">
        <v>18.18</v>
      </c>
      <c r="AB173" s="10">
        <v>39660</v>
      </c>
      <c r="AC173" s="10">
        <v>3391</v>
      </c>
      <c r="AD173" s="10">
        <v>0</v>
      </c>
      <c r="AE173" s="11">
        <v>43051</v>
      </c>
      <c r="AF173" s="12" t="s">
        <v>101</v>
      </c>
      <c r="AG173" s="14" t="s">
        <v>211</v>
      </c>
      <c r="AH173" s="14" t="s">
        <v>65</v>
      </c>
      <c r="AI173" s="14" t="s">
        <v>36</v>
      </c>
      <c r="AJ173" s="14">
        <v>70000</v>
      </c>
      <c r="AK173" s="14">
        <v>70000</v>
      </c>
      <c r="AL173" s="13">
        <v>54</v>
      </c>
      <c r="AM173" s="13">
        <v>54</v>
      </c>
      <c r="AN173" s="14" t="s">
        <v>225</v>
      </c>
      <c r="AO173" s="14" t="s">
        <v>226</v>
      </c>
      <c r="AP173" s="14" t="s">
        <v>37</v>
      </c>
      <c r="AQ173" s="20">
        <v>202601</v>
      </c>
      <c r="AR173" s="21" t="s">
        <v>153</v>
      </c>
      <c r="AS173" s="14" t="s">
        <v>336</v>
      </c>
      <c r="AT173" s="14" t="s">
        <v>336</v>
      </c>
      <c r="AU173" s="19" t="s">
        <v>877</v>
      </c>
      <c r="AV173" s="12" t="s">
        <v>878</v>
      </c>
      <c r="AW173"/>
    </row>
    <row r="174" spans="1:49" x14ac:dyDescent="0.3">
      <c r="A174" s="5" t="s">
        <v>151</v>
      </c>
      <c r="B174" s="5" t="s">
        <v>54</v>
      </c>
      <c r="C174" s="5" t="s">
        <v>993</v>
      </c>
      <c r="D174" s="5" t="s">
        <v>32</v>
      </c>
      <c r="E174" s="6" t="s">
        <v>33</v>
      </c>
      <c r="F174" s="5">
        <v>157</v>
      </c>
      <c r="G174" s="5" t="s">
        <v>871</v>
      </c>
      <c r="H174" s="5" t="s">
        <v>1378</v>
      </c>
      <c r="I174" s="5" t="s">
        <v>1379</v>
      </c>
      <c r="J174" s="5" t="s">
        <v>34</v>
      </c>
      <c r="K174" s="5" t="s">
        <v>99</v>
      </c>
      <c r="L174" s="5" t="s">
        <v>229</v>
      </c>
      <c r="M174" s="5" t="s">
        <v>39</v>
      </c>
      <c r="N174" s="5"/>
      <c r="O174" s="6" t="e">
        <v>#N/A</v>
      </c>
      <c r="P174" s="5" t="s">
        <v>224</v>
      </c>
      <c r="Q174" s="5" t="s">
        <v>64</v>
      </c>
      <c r="R174" s="5" t="s">
        <v>146</v>
      </c>
      <c r="S174" s="5" t="s">
        <v>345</v>
      </c>
      <c r="T174" s="5" t="s">
        <v>1380</v>
      </c>
      <c r="U174" s="5" t="s">
        <v>1381</v>
      </c>
      <c r="V174" s="8">
        <v>47</v>
      </c>
      <c r="W174" s="9">
        <v>99061</v>
      </c>
      <c r="X174" s="5"/>
      <c r="Y174" s="10">
        <v>100</v>
      </c>
      <c r="Z174" s="10">
        <v>18.18</v>
      </c>
      <c r="AA174" s="10">
        <v>18.18</v>
      </c>
      <c r="AB174" s="10">
        <v>39660</v>
      </c>
      <c r="AC174" s="10">
        <v>1043</v>
      </c>
      <c r="AD174" s="10">
        <v>0</v>
      </c>
      <c r="AE174" s="11">
        <v>40703</v>
      </c>
      <c r="AF174" s="12" t="s">
        <v>101</v>
      </c>
      <c r="AG174" s="14" t="s">
        <v>211</v>
      </c>
      <c r="AH174" s="14" t="s">
        <v>65</v>
      </c>
      <c r="AI174" s="14" t="s">
        <v>36</v>
      </c>
      <c r="AJ174" s="14">
        <v>100000</v>
      </c>
      <c r="AK174" s="14">
        <v>100000</v>
      </c>
      <c r="AL174" s="13">
        <v>48</v>
      </c>
      <c r="AM174" s="13">
        <v>48</v>
      </c>
      <c r="AN174" s="14" t="s">
        <v>225</v>
      </c>
      <c r="AO174" s="14" t="s">
        <v>226</v>
      </c>
      <c r="AP174" s="14" t="s">
        <v>37</v>
      </c>
      <c r="AQ174" s="20">
        <v>202601</v>
      </c>
      <c r="AR174" s="21" t="s">
        <v>153</v>
      </c>
      <c r="AS174" s="14" t="s">
        <v>336</v>
      </c>
      <c r="AT174" s="14" t="s">
        <v>336</v>
      </c>
      <c r="AU174" s="19" t="s">
        <v>877</v>
      </c>
      <c r="AV174" s="12" t="s">
        <v>878</v>
      </c>
      <c r="AW174"/>
    </row>
    <row r="175" spans="1:49" x14ac:dyDescent="0.3">
      <c r="A175" s="5" t="s">
        <v>151</v>
      </c>
      <c r="B175" s="5" t="s">
        <v>54</v>
      </c>
      <c r="C175" s="5" t="s">
        <v>993</v>
      </c>
      <c r="D175" s="5" t="s">
        <v>32</v>
      </c>
      <c r="E175" s="6" t="s">
        <v>33</v>
      </c>
      <c r="F175" s="5">
        <v>158</v>
      </c>
      <c r="G175" s="5" t="s">
        <v>871</v>
      </c>
      <c r="H175" s="5" t="s">
        <v>1382</v>
      </c>
      <c r="I175" s="5" t="s">
        <v>1383</v>
      </c>
      <c r="J175" s="5" t="s">
        <v>34</v>
      </c>
      <c r="K175" s="5" t="s">
        <v>99</v>
      </c>
      <c r="L175" s="5" t="s">
        <v>229</v>
      </c>
      <c r="M175" s="5" t="s">
        <v>39</v>
      </c>
      <c r="N175" s="5"/>
      <c r="O175" s="6" t="e">
        <v>#N/A</v>
      </c>
      <c r="P175" s="5" t="s">
        <v>97</v>
      </c>
      <c r="Q175" s="5" t="s">
        <v>64</v>
      </c>
      <c r="R175" s="5" t="s">
        <v>146</v>
      </c>
      <c r="S175" s="5" t="s">
        <v>345</v>
      </c>
      <c r="T175" s="5" t="s">
        <v>417</v>
      </c>
      <c r="U175" s="5" t="s">
        <v>1384</v>
      </c>
      <c r="V175" s="8">
        <v>48</v>
      </c>
      <c r="W175" s="9">
        <v>84784</v>
      </c>
      <c r="X175" s="5"/>
      <c r="Y175" s="10">
        <v>100</v>
      </c>
      <c r="Z175" s="10">
        <v>18.18</v>
      </c>
      <c r="AA175" s="10">
        <v>18.18</v>
      </c>
      <c r="AB175" s="10">
        <v>39660</v>
      </c>
      <c r="AC175" s="10">
        <v>3391</v>
      </c>
      <c r="AD175" s="10">
        <v>0</v>
      </c>
      <c r="AE175" s="11">
        <v>43051</v>
      </c>
      <c r="AF175" s="12" t="s">
        <v>101</v>
      </c>
      <c r="AG175" s="14" t="s">
        <v>211</v>
      </c>
      <c r="AH175" s="14" t="s">
        <v>65</v>
      </c>
      <c r="AI175" s="14" t="s">
        <v>36</v>
      </c>
      <c r="AJ175" s="14">
        <v>90000</v>
      </c>
      <c r="AK175" s="14">
        <v>85000</v>
      </c>
      <c r="AL175" s="13">
        <v>54</v>
      </c>
      <c r="AM175" s="13">
        <v>51</v>
      </c>
      <c r="AN175" s="14" t="s">
        <v>225</v>
      </c>
      <c r="AO175" s="14" t="s">
        <v>226</v>
      </c>
      <c r="AP175" s="14" t="s">
        <v>37</v>
      </c>
      <c r="AQ175" s="20">
        <v>202601</v>
      </c>
      <c r="AR175" s="21" t="s">
        <v>153</v>
      </c>
      <c r="AS175" s="14" t="s">
        <v>336</v>
      </c>
      <c r="AT175" s="14" t="s">
        <v>336</v>
      </c>
      <c r="AU175" s="19" t="s">
        <v>877</v>
      </c>
      <c r="AV175" s="12" t="s">
        <v>878</v>
      </c>
      <c r="AW175"/>
    </row>
    <row r="176" spans="1:49" x14ac:dyDescent="0.3">
      <c r="A176" s="5" t="s">
        <v>151</v>
      </c>
      <c r="B176" s="5" t="s">
        <v>54</v>
      </c>
      <c r="C176" s="5" t="s">
        <v>993</v>
      </c>
      <c r="D176" s="5" t="s">
        <v>32</v>
      </c>
      <c r="E176" s="6" t="s">
        <v>33</v>
      </c>
      <c r="F176" s="5">
        <v>159</v>
      </c>
      <c r="G176" s="5" t="s">
        <v>871</v>
      </c>
      <c r="H176" s="5" t="s">
        <v>1385</v>
      </c>
      <c r="I176" s="5" t="s">
        <v>1386</v>
      </c>
      <c r="J176" s="5" t="s">
        <v>34</v>
      </c>
      <c r="K176" s="5" t="s">
        <v>99</v>
      </c>
      <c r="L176" s="5" t="s">
        <v>229</v>
      </c>
      <c r="M176" s="5" t="s">
        <v>39</v>
      </c>
      <c r="N176" s="5"/>
      <c r="O176" s="6" t="e">
        <v>#N/A</v>
      </c>
      <c r="P176" s="5" t="s">
        <v>97</v>
      </c>
      <c r="Q176" s="5" t="s">
        <v>64</v>
      </c>
      <c r="R176" s="5" t="s">
        <v>146</v>
      </c>
      <c r="S176" s="5" t="s">
        <v>1387</v>
      </c>
      <c r="T176" s="5" t="s">
        <v>1388</v>
      </c>
      <c r="U176" s="5" t="s">
        <v>1381</v>
      </c>
      <c r="V176" s="8">
        <v>47</v>
      </c>
      <c r="W176" s="9">
        <v>47447</v>
      </c>
      <c r="X176" s="5"/>
      <c r="Y176" s="10">
        <v>100</v>
      </c>
      <c r="Z176" s="10">
        <v>18.18</v>
      </c>
      <c r="AA176" s="10">
        <v>18.18</v>
      </c>
      <c r="AB176" s="10">
        <v>39660</v>
      </c>
      <c r="AC176" s="10">
        <v>3391</v>
      </c>
      <c r="AD176" s="10">
        <v>0</v>
      </c>
      <c r="AE176" s="11">
        <v>43051</v>
      </c>
      <c r="AF176" s="12" t="s">
        <v>101</v>
      </c>
      <c r="AG176" s="14" t="s">
        <v>211</v>
      </c>
      <c r="AH176" s="14" t="s">
        <v>65</v>
      </c>
      <c r="AI176" s="14" t="s">
        <v>36</v>
      </c>
      <c r="AJ176" s="14">
        <v>50000</v>
      </c>
      <c r="AK176" s="14">
        <v>50000</v>
      </c>
      <c r="AL176" s="13">
        <v>48</v>
      </c>
      <c r="AM176" s="13">
        <v>48</v>
      </c>
      <c r="AN176" s="14" t="s">
        <v>225</v>
      </c>
      <c r="AO176" s="14" t="s">
        <v>226</v>
      </c>
      <c r="AP176" s="14" t="s">
        <v>37</v>
      </c>
      <c r="AQ176" s="20">
        <v>202601</v>
      </c>
      <c r="AR176" s="21" t="s">
        <v>153</v>
      </c>
      <c r="AS176" s="14" t="s">
        <v>336</v>
      </c>
      <c r="AT176" s="14" t="s">
        <v>336</v>
      </c>
      <c r="AU176" s="19" t="s">
        <v>877</v>
      </c>
      <c r="AV176" s="12" t="s">
        <v>878</v>
      </c>
      <c r="AW176"/>
    </row>
    <row r="177" spans="1:49" x14ac:dyDescent="0.3">
      <c r="A177" s="5" t="s">
        <v>151</v>
      </c>
      <c r="B177" s="5" t="s">
        <v>54</v>
      </c>
      <c r="C177" s="5" t="s">
        <v>993</v>
      </c>
      <c r="D177" s="5" t="s">
        <v>32</v>
      </c>
      <c r="E177" s="6" t="s">
        <v>33</v>
      </c>
      <c r="F177" s="5">
        <v>160</v>
      </c>
      <c r="G177" s="5" t="s">
        <v>871</v>
      </c>
      <c r="H177" s="5" t="s">
        <v>1389</v>
      </c>
      <c r="I177" s="5" t="s">
        <v>1390</v>
      </c>
      <c r="J177" s="5" t="s">
        <v>34</v>
      </c>
      <c r="K177" s="5" t="s">
        <v>99</v>
      </c>
      <c r="L177" s="5" t="s">
        <v>229</v>
      </c>
      <c r="M177" s="5" t="s">
        <v>39</v>
      </c>
      <c r="N177" s="5"/>
      <c r="O177" s="6" t="e">
        <v>#N/A</v>
      </c>
      <c r="P177" s="5" t="s">
        <v>97</v>
      </c>
      <c r="Q177" s="5" t="s">
        <v>64</v>
      </c>
      <c r="R177" s="5" t="s">
        <v>146</v>
      </c>
      <c r="S177" s="5" t="s">
        <v>1391</v>
      </c>
      <c r="T177" s="5" t="s">
        <v>417</v>
      </c>
      <c r="U177" s="5" t="s">
        <v>1310</v>
      </c>
      <c r="V177" s="8">
        <v>46</v>
      </c>
      <c r="W177" s="9">
        <v>90072</v>
      </c>
      <c r="X177" s="5"/>
      <c r="Y177" s="10">
        <v>100</v>
      </c>
      <c r="Z177" s="10">
        <v>18.18</v>
      </c>
      <c r="AA177" s="10">
        <v>18.18</v>
      </c>
      <c r="AB177" s="10">
        <v>39660</v>
      </c>
      <c r="AC177" s="10">
        <v>3391</v>
      </c>
      <c r="AD177" s="10">
        <v>0</v>
      </c>
      <c r="AE177" s="11">
        <v>43051</v>
      </c>
      <c r="AF177" s="12" t="s">
        <v>101</v>
      </c>
      <c r="AG177" s="14" t="s">
        <v>331</v>
      </c>
      <c r="AH177" s="14" t="s">
        <v>65</v>
      </c>
      <c r="AI177" s="14" t="s">
        <v>36</v>
      </c>
      <c r="AJ177" s="14">
        <v>100000</v>
      </c>
      <c r="AK177" s="14">
        <v>95000</v>
      </c>
      <c r="AL177" s="13">
        <v>48</v>
      </c>
      <c r="AM177" s="13">
        <v>48</v>
      </c>
      <c r="AN177" s="14" t="s">
        <v>225</v>
      </c>
      <c r="AO177" s="14" t="s">
        <v>226</v>
      </c>
      <c r="AP177" s="14" t="s">
        <v>37</v>
      </c>
      <c r="AQ177" s="20">
        <v>202601</v>
      </c>
      <c r="AR177" s="21" t="s">
        <v>153</v>
      </c>
      <c r="AS177" s="14" t="s">
        <v>336</v>
      </c>
      <c r="AT177" s="14" t="s">
        <v>336</v>
      </c>
      <c r="AU177" s="19" t="s">
        <v>877</v>
      </c>
      <c r="AV177" s="12" t="s">
        <v>878</v>
      </c>
      <c r="AW177"/>
    </row>
    <row r="178" spans="1:49" x14ac:dyDescent="0.3">
      <c r="A178" s="5" t="s">
        <v>151</v>
      </c>
      <c r="B178" s="5" t="s">
        <v>54</v>
      </c>
      <c r="C178" s="5" t="s">
        <v>993</v>
      </c>
      <c r="D178" s="5" t="s">
        <v>32</v>
      </c>
      <c r="E178" s="6" t="s">
        <v>33</v>
      </c>
      <c r="F178" s="5">
        <v>161</v>
      </c>
      <c r="G178" s="5" t="s">
        <v>871</v>
      </c>
      <c r="H178" s="5" t="s">
        <v>1392</v>
      </c>
      <c r="I178" s="5" t="s">
        <v>1393</v>
      </c>
      <c r="J178" s="5" t="s">
        <v>34</v>
      </c>
      <c r="K178" s="5" t="s">
        <v>99</v>
      </c>
      <c r="L178" s="5" t="s">
        <v>229</v>
      </c>
      <c r="M178" s="5" t="s">
        <v>39</v>
      </c>
      <c r="N178" s="5"/>
      <c r="O178" s="6" t="e">
        <v>#N/A</v>
      </c>
      <c r="P178" s="5" t="s">
        <v>97</v>
      </c>
      <c r="Q178" s="5" t="s">
        <v>64</v>
      </c>
      <c r="R178" s="5" t="s">
        <v>146</v>
      </c>
      <c r="S178" s="5" t="s">
        <v>1310</v>
      </c>
      <c r="T178" s="5" t="s">
        <v>1394</v>
      </c>
      <c r="U178" s="5" t="s">
        <v>1395</v>
      </c>
      <c r="V178" s="8">
        <v>42</v>
      </c>
      <c r="W178" s="9">
        <v>89909</v>
      </c>
      <c r="X178" s="5"/>
      <c r="Y178" s="10">
        <v>100</v>
      </c>
      <c r="Z178" s="10">
        <v>18.18</v>
      </c>
      <c r="AA178" s="10">
        <v>18.18</v>
      </c>
      <c r="AB178" s="10">
        <v>39660</v>
      </c>
      <c r="AC178" s="10">
        <v>3391</v>
      </c>
      <c r="AD178" s="10">
        <v>0</v>
      </c>
      <c r="AE178" s="11">
        <v>43051</v>
      </c>
      <c r="AF178" s="12" t="s">
        <v>101</v>
      </c>
      <c r="AG178" s="14" t="s">
        <v>231</v>
      </c>
      <c r="AH178" s="14" t="s">
        <v>65</v>
      </c>
      <c r="AI178" s="14" t="s">
        <v>36</v>
      </c>
      <c r="AJ178" s="14">
        <v>90000</v>
      </c>
      <c r="AK178" s="14">
        <v>90000</v>
      </c>
      <c r="AL178" s="13">
        <v>48</v>
      </c>
      <c r="AM178" s="13">
        <v>45</v>
      </c>
      <c r="AN178" s="14" t="s">
        <v>225</v>
      </c>
      <c r="AO178" s="14" t="s">
        <v>226</v>
      </c>
      <c r="AP178" s="14" t="s">
        <v>37</v>
      </c>
      <c r="AQ178" s="20">
        <v>202601</v>
      </c>
      <c r="AR178" s="21" t="s">
        <v>153</v>
      </c>
      <c r="AS178" s="14" t="s">
        <v>336</v>
      </c>
      <c r="AT178" s="14" t="s">
        <v>336</v>
      </c>
      <c r="AU178" s="19" t="s">
        <v>877</v>
      </c>
      <c r="AV178" s="12" t="s">
        <v>878</v>
      </c>
      <c r="AW178"/>
    </row>
    <row r="179" spans="1:49" x14ac:dyDescent="0.3">
      <c r="A179" s="5" t="s">
        <v>151</v>
      </c>
      <c r="B179" s="5" t="s">
        <v>54</v>
      </c>
      <c r="C179" s="5" t="s">
        <v>993</v>
      </c>
      <c r="D179" s="5" t="s">
        <v>32</v>
      </c>
      <c r="E179" s="6" t="s">
        <v>33</v>
      </c>
      <c r="F179" s="5">
        <v>162</v>
      </c>
      <c r="G179" s="5" t="s">
        <v>871</v>
      </c>
      <c r="H179" s="5" t="s">
        <v>1396</v>
      </c>
      <c r="I179" s="5" t="s">
        <v>1397</v>
      </c>
      <c r="J179" s="5" t="s">
        <v>34</v>
      </c>
      <c r="K179" s="5" t="s">
        <v>99</v>
      </c>
      <c r="L179" s="5" t="s">
        <v>229</v>
      </c>
      <c r="M179" s="5" t="s">
        <v>39</v>
      </c>
      <c r="N179" s="5"/>
      <c r="O179" s="6" t="e">
        <v>#N/A</v>
      </c>
      <c r="P179" s="5" t="s">
        <v>97</v>
      </c>
      <c r="Q179" s="5" t="s">
        <v>64</v>
      </c>
      <c r="R179" s="5" t="s">
        <v>214</v>
      </c>
      <c r="S179" s="5" t="s">
        <v>1398</v>
      </c>
      <c r="T179" s="5" t="s">
        <v>1399</v>
      </c>
      <c r="U179" s="5" t="s">
        <v>1312</v>
      </c>
      <c r="V179" s="8">
        <v>30</v>
      </c>
      <c r="W179" s="9">
        <v>93369</v>
      </c>
      <c r="X179" s="5"/>
      <c r="Y179" s="10">
        <v>100</v>
      </c>
      <c r="Z179" s="10">
        <v>18.18</v>
      </c>
      <c r="AA179" s="10">
        <v>18.18</v>
      </c>
      <c r="AB179" s="10">
        <v>39660</v>
      </c>
      <c r="AC179" s="10">
        <v>3391</v>
      </c>
      <c r="AD179" s="10">
        <v>0</v>
      </c>
      <c r="AE179" s="11">
        <v>43051</v>
      </c>
      <c r="AF179" s="12" t="s">
        <v>101</v>
      </c>
      <c r="AG179" s="14" t="s">
        <v>231</v>
      </c>
      <c r="AH179" s="14" t="s">
        <v>65</v>
      </c>
      <c r="AI179" s="14" t="s">
        <v>254</v>
      </c>
      <c r="AJ179" s="14">
        <v>100000</v>
      </c>
      <c r="AK179" s="14">
        <v>95000</v>
      </c>
      <c r="AL179" s="13">
        <v>36</v>
      </c>
      <c r="AM179" s="13">
        <v>33</v>
      </c>
      <c r="AN179" s="14" t="s">
        <v>225</v>
      </c>
      <c r="AO179" s="14" t="s">
        <v>226</v>
      </c>
      <c r="AP179" s="14" t="s">
        <v>37</v>
      </c>
      <c r="AQ179" s="20">
        <v>202601</v>
      </c>
      <c r="AR179" s="21" t="s">
        <v>153</v>
      </c>
      <c r="AS179" s="14" t="s">
        <v>336</v>
      </c>
      <c r="AT179" s="14" t="s">
        <v>336</v>
      </c>
      <c r="AU179" s="19" t="s">
        <v>877</v>
      </c>
      <c r="AV179" s="12" t="s">
        <v>878</v>
      </c>
      <c r="AW179"/>
    </row>
    <row r="180" spans="1:49" x14ac:dyDescent="0.3">
      <c r="A180" s="5" t="s">
        <v>151</v>
      </c>
      <c r="B180" s="5" t="s">
        <v>54</v>
      </c>
      <c r="C180" s="5" t="s">
        <v>993</v>
      </c>
      <c r="D180" s="5" t="s">
        <v>32</v>
      </c>
      <c r="E180" s="6" t="s">
        <v>33</v>
      </c>
      <c r="F180" s="5">
        <v>163</v>
      </c>
      <c r="G180" s="5" t="s">
        <v>871</v>
      </c>
      <c r="H180" s="5" t="s">
        <v>1400</v>
      </c>
      <c r="I180" s="5" t="s">
        <v>1401</v>
      </c>
      <c r="J180" s="5" t="s">
        <v>34</v>
      </c>
      <c r="K180" s="5" t="s">
        <v>99</v>
      </c>
      <c r="L180" s="5" t="s">
        <v>229</v>
      </c>
      <c r="M180" s="5" t="s">
        <v>39</v>
      </c>
      <c r="N180" s="5"/>
      <c r="O180" s="6" t="e">
        <v>#N/A</v>
      </c>
      <c r="P180" s="5" t="s">
        <v>97</v>
      </c>
      <c r="Q180" s="5" t="s">
        <v>64</v>
      </c>
      <c r="R180" s="5" t="s">
        <v>145</v>
      </c>
      <c r="S180" s="5" t="s">
        <v>862</v>
      </c>
      <c r="T180" s="5" t="s">
        <v>863</v>
      </c>
      <c r="U180" s="5" t="s">
        <v>1402</v>
      </c>
      <c r="V180" s="8">
        <v>48</v>
      </c>
      <c r="W180" s="9">
        <v>96796</v>
      </c>
      <c r="X180" s="5"/>
      <c r="Y180" s="10">
        <v>100</v>
      </c>
      <c r="Z180" s="10">
        <v>18.18</v>
      </c>
      <c r="AA180" s="10">
        <v>18.18</v>
      </c>
      <c r="AB180" s="10">
        <v>39660</v>
      </c>
      <c r="AC180" s="10">
        <v>3391</v>
      </c>
      <c r="AD180" s="10">
        <v>0</v>
      </c>
      <c r="AE180" s="11">
        <v>43051</v>
      </c>
      <c r="AF180" s="12" t="s">
        <v>101</v>
      </c>
      <c r="AG180" s="14" t="s">
        <v>188</v>
      </c>
      <c r="AH180" s="14" t="s">
        <v>65</v>
      </c>
      <c r="AI180" s="14" t="s">
        <v>36</v>
      </c>
      <c r="AJ180" s="14">
        <v>100000</v>
      </c>
      <c r="AK180" s="14">
        <v>100000</v>
      </c>
      <c r="AL180" s="13">
        <v>54</v>
      </c>
      <c r="AM180" s="13">
        <v>51</v>
      </c>
      <c r="AN180" s="14" t="s">
        <v>225</v>
      </c>
      <c r="AO180" s="14" t="s">
        <v>226</v>
      </c>
      <c r="AP180" s="14" t="s">
        <v>37</v>
      </c>
      <c r="AQ180" s="20">
        <v>202601</v>
      </c>
      <c r="AR180" s="21" t="s">
        <v>153</v>
      </c>
      <c r="AS180" s="14" t="s">
        <v>336</v>
      </c>
      <c r="AT180" s="14" t="s">
        <v>336</v>
      </c>
      <c r="AU180" s="19" t="s">
        <v>877</v>
      </c>
      <c r="AV180" s="12" t="s">
        <v>878</v>
      </c>
      <c r="AW180"/>
    </row>
    <row r="181" spans="1:49" x14ac:dyDescent="0.3">
      <c r="A181" s="5" t="s">
        <v>151</v>
      </c>
      <c r="B181" s="5" t="s">
        <v>54</v>
      </c>
      <c r="C181" s="5" t="s">
        <v>993</v>
      </c>
      <c r="D181" s="5" t="s">
        <v>32</v>
      </c>
      <c r="E181" s="6" t="s">
        <v>33</v>
      </c>
      <c r="F181" s="5">
        <v>164</v>
      </c>
      <c r="G181" s="5" t="s">
        <v>871</v>
      </c>
      <c r="H181" s="5" t="s">
        <v>1403</v>
      </c>
      <c r="I181" s="5" t="s">
        <v>1404</v>
      </c>
      <c r="J181" s="5" t="s">
        <v>34</v>
      </c>
      <c r="K181" s="5" t="s">
        <v>99</v>
      </c>
      <c r="L181" s="5" t="s">
        <v>229</v>
      </c>
      <c r="M181" s="5" t="s">
        <v>39</v>
      </c>
      <c r="N181" s="5"/>
      <c r="O181" s="6" t="e">
        <v>#N/A</v>
      </c>
      <c r="P181" s="5" t="s">
        <v>97</v>
      </c>
      <c r="Q181" s="5" t="s">
        <v>64</v>
      </c>
      <c r="R181" s="5" t="s">
        <v>146</v>
      </c>
      <c r="S181" s="5" t="s">
        <v>1405</v>
      </c>
      <c r="T181" s="5" t="s">
        <v>798</v>
      </c>
      <c r="U181" s="5" t="s">
        <v>419</v>
      </c>
      <c r="V181" s="8">
        <v>46</v>
      </c>
      <c r="W181" s="9">
        <v>68791</v>
      </c>
      <c r="X181" s="5"/>
      <c r="Y181" s="10">
        <v>100</v>
      </c>
      <c r="Z181" s="10">
        <v>18.18</v>
      </c>
      <c r="AA181" s="10">
        <v>18.18</v>
      </c>
      <c r="AB181" s="10">
        <v>39660</v>
      </c>
      <c r="AC181" s="10">
        <v>3391</v>
      </c>
      <c r="AD181" s="10">
        <v>0</v>
      </c>
      <c r="AE181" s="11">
        <v>43051</v>
      </c>
      <c r="AF181" s="12" t="s">
        <v>101</v>
      </c>
      <c r="AG181" s="14" t="s">
        <v>128</v>
      </c>
      <c r="AH181" s="14" t="s">
        <v>65</v>
      </c>
      <c r="AI181" s="14" t="s">
        <v>36</v>
      </c>
      <c r="AJ181" s="14">
        <v>70000</v>
      </c>
      <c r="AK181" s="14">
        <v>70000</v>
      </c>
      <c r="AL181" s="13">
        <v>48</v>
      </c>
      <c r="AM181" s="13">
        <v>48</v>
      </c>
      <c r="AN181" s="14" t="s">
        <v>225</v>
      </c>
      <c r="AO181" s="14" t="s">
        <v>226</v>
      </c>
      <c r="AP181" s="14" t="s">
        <v>37</v>
      </c>
      <c r="AQ181" s="20">
        <v>202601</v>
      </c>
      <c r="AR181" s="21" t="s">
        <v>153</v>
      </c>
      <c r="AS181" s="14" t="s">
        <v>336</v>
      </c>
      <c r="AT181" s="14" t="s">
        <v>336</v>
      </c>
      <c r="AU181" s="19" t="s">
        <v>877</v>
      </c>
      <c r="AV181" s="12" t="s">
        <v>878</v>
      </c>
      <c r="AW181"/>
    </row>
    <row r="182" spans="1:49" x14ac:dyDescent="0.3">
      <c r="A182" s="5" t="s">
        <v>151</v>
      </c>
      <c r="B182" s="5" t="s">
        <v>54</v>
      </c>
      <c r="C182" s="5" t="s">
        <v>993</v>
      </c>
      <c r="D182" s="5" t="s">
        <v>32</v>
      </c>
      <c r="E182" s="6" t="s">
        <v>33</v>
      </c>
      <c r="F182" s="5">
        <v>165</v>
      </c>
      <c r="G182" s="5" t="s">
        <v>871</v>
      </c>
      <c r="H182" s="5" t="s">
        <v>1406</v>
      </c>
      <c r="I182" s="5" t="s">
        <v>1407</v>
      </c>
      <c r="J182" s="5" t="s">
        <v>34</v>
      </c>
      <c r="K182" s="5" t="s">
        <v>99</v>
      </c>
      <c r="L182" s="5" t="s">
        <v>229</v>
      </c>
      <c r="M182" s="5" t="s">
        <v>39</v>
      </c>
      <c r="N182" s="5"/>
      <c r="O182" s="6" t="e">
        <v>#N/A</v>
      </c>
      <c r="P182" s="5" t="s">
        <v>97</v>
      </c>
      <c r="Q182" s="5" t="s">
        <v>64</v>
      </c>
      <c r="R182" s="5" t="s">
        <v>146</v>
      </c>
      <c r="S182" s="5" t="s">
        <v>1408</v>
      </c>
      <c r="T182" s="5" t="s">
        <v>1409</v>
      </c>
      <c r="U182" s="5" t="s">
        <v>1410</v>
      </c>
      <c r="V182" s="8">
        <v>39</v>
      </c>
      <c r="W182" s="9">
        <v>83175</v>
      </c>
      <c r="X182" s="5"/>
      <c r="Y182" s="10">
        <v>100</v>
      </c>
      <c r="Z182" s="10">
        <v>18.18</v>
      </c>
      <c r="AA182" s="10">
        <v>18.18</v>
      </c>
      <c r="AB182" s="10">
        <v>39660</v>
      </c>
      <c r="AC182" s="10">
        <v>3391</v>
      </c>
      <c r="AD182" s="10">
        <v>0</v>
      </c>
      <c r="AE182" s="11">
        <v>43051</v>
      </c>
      <c r="AF182" s="12" t="s">
        <v>101</v>
      </c>
      <c r="AG182" s="14" t="s">
        <v>128</v>
      </c>
      <c r="AH182" s="14" t="s">
        <v>65</v>
      </c>
      <c r="AI182" s="14" t="s">
        <v>36</v>
      </c>
      <c r="AJ182" s="14">
        <v>90000</v>
      </c>
      <c r="AK182" s="14">
        <v>85000</v>
      </c>
      <c r="AL182" s="13">
        <v>42</v>
      </c>
      <c r="AM182" s="13">
        <v>42</v>
      </c>
      <c r="AN182" s="14" t="s">
        <v>225</v>
      </c>
      <c r="AO182" s="14" t="s">
        <v>226</v>
      </c>
      <c r="AP182" s="14" t="s">
        <v>37</v>
      </c>
      <c r="AQ182" s="20">
        <v>202601</v>
      </c>
      <c r="AR182" s="21" t="s">
        <v>153</v>
      </c>
      <c r="AS182" s="14" t="s">
        <v>336</v>
      </c>
      <c r="AT182" s="14" t="s">
        <v>336</v>
      </c>
      <c r="AU182" s="19" t="s">
        <v>877</v>
      </c>
      <c r="AV182" s="12" t="s">
        <v>878</v>
      </c>
      <c r="AW182"/>
    </row>
    <row r="183" spans="1:49" x14ac:dyDescent="0.3">
      <c r="A183" s="5" t="s">
        <v>151</v>
      </c>
      <c r="B183" s="5" t="s">
        <v>54</v>
      </c>
      <c r="C183" s="5" t="s">
        <v>993</v>
      </c>
      <c r="D183" s="5" t="s">
        <v>32</v>
      </c>
      <c r="E183" s="6" t="s">
        <v>33</v>
      </c>
      <c r="F183" s="5">
        <v>166</v>
      </c>
      <c r="G183" s="5" t="s">
        <v>871</v>
      </c>
      <c r="H183" s="5" t="s">
        <v>1411</v>
      </c>
      <c r="I183" s="5" t="s">
        <v>1412</v>
      </c>
      <c r="J183" s="5" t="s">
        <v>34</v>
      </c>
      <c r="K183" s="5" t="s">
        <v>99</v>
      </c>
      <c r="L183" s="5" t="s">
        <v>229</v>
      </c>
      <c r="M183" s="5" t="s">
        <v>39</v>
      </c>
      <c r="N183" s="5"/>
      <c r="O183" s="6" t="e">
        <v>#N/A</v>
      </c>
      <c r="P183" s="5" t="s">
        <v>97</v>
      </c>
      <c r="Q183" s="5" t="s">
        <v>64</v>
      </c>
      <c r="R183" s="5" t="s">
        <v>146</v>
      </c>
      <c r="S183" s="5" t="s">
        <v>1413</v>
      </c>
      <c r="T183" s="5" t="s">
        <v>1414</v>
      </c>
      <c r="U183" s="5" t="s">
        <v>1258</v>
      </c>
      <c r="V183" s="8">
        <v>36</v>
      </c>
      <c r="W183" s="9">
        <v>87296</v>
      </c>
      <c r="X183" s="5"/>
      <c r="Y183" s="10">
        <v>100</v>
      </c>
      <c r="Z183" s="10">
        <v>18.18</v>
      </c>
      <c r="AA183" s="10">
        <v>18.18</v>
      </c>
      <c r="AB183" s="10">
        <v>39660</v>
      </c>
      <c r="AC183" s="10">
        <v>3391</v>
      </c>
      <c r="AD183" s="10">
        <v>0</v>
      </c>
      <c r="AE183" s="11">
        <v>43051</v>
      </c>
      <c r="AF183" s="12" t="s">
        <v>101</v>
      </c>
      <c r="AG183" s="14" t="s">
        <v>180</v>
      </c>
      <c r="AH183" s="14" t="s">
        <v>65</v>
      </c>
      <c r="AI183" s="14" t="s">
        <v>36</v>
      </c>
      <c r="AJ183" s="14">
        <v>90000</v>
      </c>
      <c r="AK183" s="14">
        <v>90000</v>
      </c>
      <c r="AL183" s="13">
        <v>42</v>
      </c>
      <c r="AM183" s="13">
        <v>39</v>
      </c>
      <c r="AN183" s="14" t="s">
        <v>225</v>
      </c>
      <c r="AO183" s="14" t="s">
        <v>226</v>
      </c>
      <c r="AP183" s="14" t="s">
        <v>37</v>
      </c>
      <c r="AQ183" s="20">
        <v>202601</v>
      </c>
      <c r="AR183" s="21" t="s">
        <v>153</v>
      </c>
      <c r="AS183" s="14" t="s">
        <v>336</v>
      </c>
      <c r="AT183" s="14" t="s">
        <v>336</v>
      </c>
      <c r="AU183" s="19" t="s">
        <v>877</v>
      </c>
      <c r="AV183" s="12" t="s">
        <v>878</v>
      </c>
      <c r="AW183"/>
    </row>
    <row r="184" spans="1:49" x14ac:dyDescent="0.3">
      <c r="A184" s="5" t="s">
        <v>151</v>
      </c>
      <c r="B184" s="5" t="s">
        <v>54</v>
      </c>
      <c r="C184" s="5" t="s">
        <v>993</v>
      </c>
      <c r="D184" s="5" t="s">
        <v>32</v>
      </c>
      <c r="E184" s="6" t="s">
        <v>33</v>
      </c>
      <c r="F184" s="5">
        <v>167</v>
      </c>
      <c r="G184" s="5" t="s">
        <v>871</v>
      </c>
      <c r="H184" s="5" t="s">
        <v>1415</v>
      </c>
      <c r="I184" s="5" t="s">
        <v>1416</v>
      </c>
      <c r="J184" s="5" t="s">
        <v>34</v>
      </c>
      <c r="K184" s="5" t="s">
        <v>99</v>
      </c>
      <c r="L184" s="5" t="s">
        <v>229</v>
      </c>
      <c r="M184" s="5" t="s">
        <v>39</v>
      </c>
      <c r="N184" s="5"/>
      <c r="O184" s="6" t="e">
        <v>#N/A</v>
      </c>
      <c r="P184" s="5" t="s">
        <v>97</v>
      </c>
      <c r="Q184" s="5" t="s">
        <v>64</v>
      </c>
      <c r="R184" s="5" t="s">
        <v>146</v>
      </c>
      <c r="S184" s="5" t="s">
        <v>1417</v>
      </c>
      <c r="T184" s="5" t="s">
        <v>344</v>
      </c>
      <c r="U184" s="5" t="s">
        <v>1418</v>
      </c>
      <c r="V184" s="8">
        <v>38</v>
      </c>
      <c r="W184" s="9">
        <v>77709</v>
      </c>
      <c r="X184" s="5"/>
      <c r="Y184" s="10">
        <v>100</v>
      </c>
      <c r="Z184" s="10">
        <v>18.18</v>
      </c>
      <c r="AA184" s="10">
        <v>18.18</v>
      </c>
      <c r="AB184" s="10">
        <v>39660</v>
      </c>
      <c r="AC184" s="10">
        <v>3391</v>
      </c>
      <c r="AD184" s="10">
        <v>0</v>
      </c>
      <c r="AE184" s="11">
        <v>43051</v>
      </c>
      <c r="AF184" s="12" t="s">
        <v>101</v>
      </c>
      <c r="AG184" s="14" t="s">
        <v>209</v>
      </c>
      <c r="AH184" s="14" t="s">
        <v>65</v>
      </c>
      <c r="AI184" s="14" t="s">
        <v>36</v>
      </c>
      <c r="AJ184" s="14">
        <v>80000</v>
      </c>
      <c r="AK184" s="14">
        <v>80000</v>
      </c>
      <c r="AL184" s="13">
        <v>42</v>
      </c>
      <c r="AM184" s="13">
        <v>39</v>
      </c>
      <c r="AN184" s="14" t="s">
        <v>225</v>
      </c>
      <c r="AO184" s="14" t="s">
        <v>226</v>
      </c>
      <c r="AP184" s="14" t="s">
        <v>37</v>
      </c>
      <c r="AQ184" s="20">
        <v>202601</v>
      </c>
      <c r="AR184" s="21" t="s">
        <v>153</v>
      </c>
      <c r="AS184" s="14" t="s">
        <v>336</v>
      </c>
      <c r="AT184" s="14" t="s">
        <v>336</v>
      </c>
      <c r="AU184" s="19" t="s">
        <v>877</v>
      </c>
      <c r="AV184" s="12" t="s">
        <v>878</v>
      </c>
      <c r="AW184"/>
    </row>
    <row r="185" spans="1:49" x14ac:dyDescent="0.3">
      <c r="A185" s="5" t="s">
        <v>151</v>
      </c>
      <c r="B185" s="5" t="s">
        <v>54</v>
      </c>
      <c r="C185" s="5" t="s">
        <v>993</v>
      </c>
      <c r="D185" s="5" t="s">
        <v>32</v>
      </c>
      <c r="E185" s="6" t="s">
        <v>33</v>
      </c>
      <c r="F185" s="5">
        <v>168</v>
      </c>
      <c r="G185" s="5" t="s">
        <v>871</v>
      </c>
      <c r="H185" s="5" t="s">
        <v>1419</v>
      </c>
      <c r="I185" s="5" t="s">
        <v>1420</v>
      </c>
      <c r="J185" s="5" t="s">
        <v>34</v>
      </c>
      <c r="K185" s="5" t="s">
        <v>99</v>
      </c>
      <c r="L185" s="5" t="s">
        <v>229</v>
      </c>
      <c r="M185" s="5" t="s">
        <v>39</v>
      </c>
      <c r="N185" s="5"/>
      <c r="O185" s="6" t="e">
        <v>#N/A</v>
      </c>
      <c r="P185" s="5" t="s">
        <v>97</v>
      </c>
      <c r="Q185" s="5" t="s">
        <v>64</v>
      </c>
      <c r="R185" s="5" t="s">
        <v>146</v>
      </c>
      <c r="S185" s="5" t="s">
        <v>1421</v>
      </c>
      <c r="T185" s="5" t="s">
        <v>1422</v>
      </c>
      <c r="U185" s="5" t="s">
        <v>1423</v>
      </c>
      <c r="V185" s="8">
        <v>43</v>
      </c>
      <c r="W185" s="9">
        <v>94188</v>
      </c>
      <c r="X185" s="5"/>
      <c r="Y185" s="10">
        <v>100</v>
      </c>
      <c r="Z185" s="10">
        <v>18.18</v>
      </c>
      <c r="AA185" s="10">
        <v>18.18</v>
      </c>
      <c r="AB185" s="10">
        <v>39660</v>
      </c>
      <c r="AC185" s="10">
        <v>3391</v>
      </c>
      <c r="AD185" s="10">
        <v>0</v>
      </c>
      <c r="AE185" s="11">
        <v>43051</v>
      </c>
      <c r="AF185" s="12" t="s">
        <v>101</v>
      </c>
      <c r="AG185" s="14" t="s">
        <v>129</v>
      </c>
      <c r="AH185" s="14" t="s">
        <v>65</v>
      </c>
      <c r="AI185" s="14" t="s">
        <v>36</v>
      </c>
      <c r="AJ185" s="14">
        <v>100000</v>
      </c>
      <c r="AK185" s="14">
        <v>95000</v>
      </c>
      <c r="AL185" s="13">
        <v>48</v>
      </c>
      <c r="AM185" s="13">
        <v>45</v>
      </c>
      <c r="AN185" s="14" t="s">
        <v>225</v>
      </c>
      <c r="AO185" s="14" t="s">
        <v>226</v>
      </c>
      <c r="AP185" s="14" t="s">
        <v>37</v>
      </c>
      <c r="AQ185" s="20">
        <v>202601</v>
      </c>
      <c r="AR185" s="21" t="s">
        <v>153</v>
      </c>
      <c r="AS185" s="14" t="s">
        <v>336</v>
      </c>
      <c r="AT185" s="14" t="s">
        <v>336</v>
      </c>
      <c r="AU185" s="19" t="s">
        <v>877</v>
      </c>
      <c r="AV185" s="12" t="s">
        <v>878</v>
      </c>
      <c r="AW185"/>
    </row>
    <row r="186" spans="1:49" x14ac:dyDescent="0.3">
      <c r="A186" s="5" t="s">
        <v>151</v>
      </c>
      <c r="B186" s="5" t="s">
        <v>54</v>
      </c>
      <c r="C186" s="5" t="s">
        <v>993</v>
      </c>
      <c r="D186" s="5" t="s">
        <v>32</v>
      </c>
      <c r="E186" s="6" t="s">
        <v>33</v>
      </c>
      <c r="F186" s="5">
        <v>169</v>
      </c>
      <c r="G186" s="5" t="s">
        <v>871</v>
      </c>
      <c r="H186" s="5" t="s">
        <v>1424</v>
      </c>
      <c r="I186" s="5" t="s">
        <v>1425</v>
      </c>
      <c r="J186" s="5" t="s">
        <v>34</v>
      </c>
      <c r="K186" s="5" t="s">
        <v>99</v>
      </c>
      <c r="L186" s="5" t="s">
        <v>229</v>
      </c>
      <c r="M186" s="5" t="s">
        <v>39</v>
      </c>
      <c r="N186" s="5"/>
      <c r="O186" s="6" t="e">
        <v>#N/A</v>
      </c>
      <c r="P186" s="5" t="s">
        <v>97</v>
      </c>
      <c r="Q186" s="5" t="s">
        <v>64</v>
      </c>
      <c r="R186" s="5" t="s">
        <v>145</v>
      </c>
      <c r="S186" s="5" t="s">
        <v>1421</v>
      </c>
      <c r="T186" s="5" t="s">
        <v>1426</v>
      </c>
      <c r="U186" s="5" t="s">
        <v>1427</v>
      </c>
      <c r="V186" s="8">
        <v>36</v>
      </c>
      <c r="W186" s="9">
        <v>95459</v>
      </c>
      <c r="X186" s="5"/>
      <c r="Y186" s="10">
        <v>100</v>
      </c>
      <c r="Z186" s="10">
        <v>18.18</v>
      </c>
      <c r="AA186" s="10">
        <v>18.18</v>
      </c>
      <c r="AB186" s="10">
        <v>39660</v>
      </c>
      <c r="AC186" s="10">
        <v>3391</v>
      </c>
      <c r="AD186" s="10">
        <v>0</v>
      </c>
      <c r="AE186" s="11">
        <v>43051</v>
      </c>
      <c r="AF186" s="12" t="s">
        <v>101</v>
      </c>
      <c r="AG186" s="14" t="s">
        <v>129</v>
      </c>
      <c r="AH186" s="14" t="s">
        <v>65</v>
      </c>
      <c r="AI186" s="14" t="s">
        <v>36</v>
      </c>
      <c r="AJ186" s="14">
        <v>100000</v>
      </c>
      <c r="AK186" s="14">
        <v>100000</v>
      </c>
      <c r="AL186" s="13">
        <v>42</v>
      </c>
      <c r="AM186" s="13">
        <v>39</v>
      </c>
      <c r="AN186" s="14" t="s">
        <v>225</v>
      </c>
      <c r="AO186" s="14" t="s">
        <v>226</v>
      </c>
      <c r="AP186" s="14" t="s">
        <v>37</v>
      </c>
      <c r="AQ186" s="20">
        <v>202601</v>
      </c>
      <c r="AR186" s="21" t="s">
        <v>153</v>
      </c>
      <c r="AS186" s="14" t="s">
        <v>336</v>
      </c>
      <c r="AT186" s="14" t="s">
        <v>336</v>
      </c>
      <c r="AU186" s="19" t="s">
        <v>877</v>
      </c>
      <c r="AV186" s="12" t="s">
        <v>878</v>
      </c>
      <c r="AW186"/>
    </row>
    <row r="187" spans="1:49" x14ac:dyDescent="0.3">
      <c r="A187" s="5" t="s">
        <v>151</v>
      </c>
      <c r="B187" s="5" t="s">
        <v>54</v>
      </c>
      <c r="C187" s="5" t="s">
        <v>993</v>
      </c>
      <c r="D187" s="5" t="s">
        <v>32</v>
      </c>
      <c r="E187" s="6" t="s">
        <v>33</v>
      </c>
      <c r="F187" s="5">
        <v>170</v>
      </c>
      <c r="G187" s="5" t="s">
        <v>871</v>
      </c>
      <c r="H187" s="5" t="s">
        <v>1428</v>
      </c>
      <c r="I187" s="5" t="s">
        <v>1429</v>
      </c>
      <c r="J187" s="5" t="s">
        <v>34</v>
      </c>
      <c r="K187" s="5" t="s">
        <v>99</v>
      </c>
      <c r="L187" s="5" t="s">
        <v>229</v>
      </c>
      <c r="M187" s="5" t="s">
        <v>39</v>
      </c>
      <c r="N187" s="5"/>
      <c r="O187" s="6" t="e">
        <v>#N/A</v>
      </c>
      <c r="P187" s="5" t="s">
        <v>97</v>
      </c>
      <c r="Q187" s="5" t="s">
        <v>64</v>
      </c>
      <c r="R187" s="5" t="s">
        <v>146</v>
      </c>
      <c r="S187" s="5" t="s">
        <v>1430</v>
      </c>
      <c r="T187" s="5" t="s">
        <v>1431</v>
      </c>
      <c r="U187" s="5" t="s">
        <v>1432</v>
      </c>
      <c r="V187" s="8">
        <v>18</v>
      </c>
      <c r="W187" s="9">
        <v>91929</v>
      </c>
      <c r="X187" s="5"/>
      <c r="Y187" s="10">
        <v>100</v>
      </c>
      <c r="Z187" s="10">
        <v>18.18</v>
      </c>
      <c r="AA187" s="10">
        <v>18.18</v>
      </c>
      <c r="AB187" s="10">
        <v>39660</v>
      </c>
      <c r="AC187" s="10">
        <v>3391</v>
      </c>
      <c r="AD187" s="10">
        <v>0</v>
      </c>
      <c r="AE187" s="11">
        <v>43051</v>
      </c>
      <c r="AF187" s="12" t="s">
        <v>101</v>
      </c>
      <c r="AG187" s="14" t="s">
        <v>215</v>
      </c>
      <c r="AH187" s="14" t="s">
        <v>65</v>
      </c>
      <c r="AI187" s="14" t="s">
        <v>36</v>
      </c>
      <c r="AJ187" s="14">
        <v>100000</v>
      </c>
      <c r="AK187" s="14">
        <v>95000</v>
      </c>
      <c r="AL187" s="13">
        <v>24</v>
      </c>
      <c r="AM187" s="13">
        <v>21</v>
      </c>
      <c r="AN187" s="14" t="s">
        <v>225</v>
      </c>
      <c r="AO187" s="14" t="s">
        <v>226</v>
      </c>
      <c r="AP187" s="14" t="s">
        <v>37</v>
      </c>
      <c r="AQ187" s="20">
        <v>202601</v>
      </c>
      <c r="AR187" s="21" t="s">
        <v>153</v>
      </c>
      <c r="AS187" s="14" t="s">
        <v>336</v>
      </c>
      <c r="AT187" s="14" t="s">
        <v>336</v>
      </c>
      <c r="AU187" s="19" t="s">
        <v>877</v>
      </c>
      <c r="AV187" s="12" t="s">
        <v>878</v>
      </c>
      <c r="AW187"/>
    </row>
    <row r="188" spans="1:49" x14ac:dyDescent="0.3">
      <c r="A188" s="5" t="s">
        <v>151</v>
      </c>
      <c r="B188" s="5" t="s">
        <v>54</v>
      </c>
      <c r="C188" s="5" t="s">
        <v>993</v>
      </c>
      <c r="D188" s="5" t="s">
        <v>32</v>
      </c>
      <c r="E188" s="6" t="s">
        <v>33</v>
      </c>
      <c r="F188" s="5">
        <v>171</v>
      </c>
      <c r="G188" s="5" t="s">
        <v>871</v>
      </c>
      <c r="H188" s="5" t="s">
        <v>1433</v>
      </c>
      <c r="I188" s="5" t="s">
        <v>1434</v>
      </c>
      <c r="J188" s="5" t="s">
        <v>34</v>
      </c>
      <c r="K188" s="5" t="s">
        <v>99</v>
      </c>
      <c r="L188" s="5" t="s">
        <v>229</v>
      </c>
      <c r="M188" s="5" t="s">
        <v>39</v>
      </c>
      <c r="N188" s="5"/>
      <c r="O188" s="6" t="e">
        <v>#N/A</v>
      </c>
      <c r="P188" s="5" t="s">
        <v>97</v>
      </c>
      <c r="Q188" s="5" t="s">
        <v>64</v>
      </c>
      <c r="R188" s="5" t="s">
        <v>146</v>
      </c>
      <c r="S188" s="5" t="s">
        <v>1435</v>
      </c>
      <c r="T188" s="5" t="s">
        <v>1436</v>
      </c>
      <c r="U188" s="5" t="s">
        <v>1437</v>
      </c>
      <c r="V188" s="8">
        <v>31</v>
      </c>
      <c r="W188" s="9">
        <v>97354</v>
      </c>
      <c r="X188" s="5"/>
      <c r="Y188" s="10">
        <v>100</v>
      </c>
      <c r="Z188" s="10">
        <v>18.18</v>
      </c>
      <c r="AA188" s="10">
        <v>18.18</v>
      </c>
      <c r="AB188" s="10">
        <v>39660</v>
      </c>
      <c r="AC188" s="10">
        <v>3391</v>
      </c>
      <c r="AD188" s="10">
        <v>0</v>
      </c>
      <c r="AE188" s="11">
        <v>43051</v>
      </c>
      <c r="AF188" s="12" t="s">
        <v>101</v>
      </c>
      <c r="AG188" s="14" t="s">
        <v>139</v>
      </c>
      <c r="AH188" s="14" t="s">
        <v>65</v>
      </c>
      <c r="AI188" s="14" t="s">
        <v>36</v>
      </c>
      <c r="AJ188" s="14">
        <v>100000</v>
      </c>
      <c r="AK188" s="14">
        <v>100000</v>
      </c>
      <c r="AL188" s="13">
        <v>36</v>
      </c>
      <c r="AM188" s="13">
        <v>33</v>
      </c>
      <c r="AN188" s="14" t="s">
        <v>225</v>
      </c>
      <c r="AO188" s="14" t="s">
        <v>226</v>
      </c>
      <c r="AP188" s="14" t="s">
        <v>37</v>
      </c>
      <c r="AQ188" s="20">
        <v>202601</v>
      </c>
      <c r="AR188" s="21" t="s">
        <v>153</v>
      </c>
      <c r="AS188" s="14" t="s">
        <v>336</v>
      </c>
      <c r="AT188" s="14" t="s">
        <v>336</v>
      </c>
      <c r="AU188" s="19" t="s">
        <v>877</v>
      </c>
      <c r="AV188" s="12" t="s">
        <v>878</v>
      </c>
      <c r="AW188"/>
    </row>
    <row r="189" spans="1:49" x14ac:dyDescent="0.3">
      <c r="A189" s="5" t="s">
        <v>151</v>
      </c>
      <c r="B189" s="5" t="s">
        <v>54</v>
      </c>
      <c r="C189" s="5" t="s">
        <v>993</v>
      </c>
      <c r="D189" s="5" t="s">
        <v>32</v>
      </c>
      <c r="E189" s="6" t="s">
        <v>33</v>
      </c>
      <c r="F189" s="5">
        <v>172</v>
      </c>
      <c r="G189" s="5" t="s">
        <v>871</v>
      </c>
      <c r="H189" s="5" t="s">
        <v>1438</v>
      </c>
      <c r="I189" s="5" t="s">
        <v>1439</v>
      </c>
      <c r="J189" s="5" t="s">
        <v>34</v>
      </c>
      <c r="K189" s="5" t="s">
        <v>99</v>
      </c>
      <c r="L189" s="5" t="s">
        <v>229</v>
      </c>
      <c r="M189" s="5" t="s">
        <v>39</v>
      </c>
      <c r="N189" s="5"/>
      <c r="O189" s="6" t="e">
        <v>#N/A</v>
      </c>
      <c r="P189" s="5" t="s">
        <v>97</v>
      </c>
      <c r="Q189" s="5" t="s">
        <v>64</v>
      </c>
      <c r="R189" s="5" t="s">
        <v>79</v>
      </c>
      <c r="S189" s="5" t="s">
        <v>1435</v>
      </c>
      <c r="T189" s="5" t="s">
        <v>1426</v>
      </c>
      <c r="U189" s="5" t="s">
        <v>1440</v>
      </c>
      <c r="V189" s="8">
        <v>30</v>
      </c>
      <c r="W189" s="9">
        <v>70671</v>
      </c>
      <c r="X189" s="5"/>
      <c r="Y189" s="10">
        <v>100</v>
      </c>
      <c r="Z189" s="10">
        <v>18.18</v>
      </c>
      <c r="AA189" s="10">
        <v>18.18</v>
      </c>
      <c r="AB189" s="10">
        <v>39660</v>
      </c>
      <c r="AC189" s="10">
        <v>3391</v>
      </c>
      <c r="AD189" s="10">
        <v>0</v>
      </c>
      <c r="AE189" s="11">
        <v>43051</v>
      </c>
      <c r="AF189" s="12" t="s">
        <v>101</v>
      </c>
      <c r="AG189" s="14" t="s">
        <v>139</v>
      </c>
      <c r="AH189" s="14" t="s">
        <v>65</v>
      </c>
      <c r="AI189" s="14" t="s">
        <v>45</v>
      </c>
      <c r="AJ189" s="14">
        <v>80000</v>
      </c>
      <c r="AK189" s="14">
        <v>75000</v>
      </c>
      <c r="AL189" s="13">
        <v>36</v>
      </c>
      <c r="AM189" s="13">
        <v>33</v>
      </c>
      <c r="AN189" s="14" t="s">
        <v>225</v>
      </c>
      <c r="AO189" s="14" t="s">
        <v>226</v>
      </c>
      <c r="AP189" s="14" t="s">
        <v>37</v>
      </c>
      <c r="AQ189" s="20">
        <v>202601</v>
      </c>
      <c r="AR189" s="21" t="s">
        <v>153</v>
      </c>
      <c r="AS189" s="14" t="s">
        <v>336</v>
      </c>
      <c r="AT189" s="14" t="s">
        <v>336</v>
      </c>
      <c r="AU189" s="19" t="s">
        <v>877</v>
      </c>
      <c r="AV189" s="12" t="s">
        <v>878</v>
      </c>
      <c r="AW189"/>
    </row>
    <row r="190" spans="1:49" x14ac:dyDescent="0.3">
      <c r="A190" s="5" t="s">
        <v>151</v>
      </c>
      <c r="B190" s="5" t="s">
        <v>54</v>
      </c>
      <c r="C190" s="5" t="s">
        <v>993</v>
      </c>
      <c r="D190" s="5" t="s">
        <v>32</v>
      </c>
      <c r="E190" s="6" t="s">
        <v>33</v>
      </c>
      <c r="F190" s="5">
        <v>173</v>
      </c>
      <c r="G190" s="5" t="s">
        <v>871</v>
      </c>
      <c r="H190" s="5" t="s">
        <v>1441</v>
      </c>
      <c r="I190" s="5" t="s">
        <v>1442</v>
      </c>
      <c r="J190" s="5" t="s">
        <v>34</v>
      </c>
      <c r="K190" s="5" t="s">
        <v>99</v>
      </c>
      <c r="L190" s="5" t="s">
        <v>229</v>
      </c>
      <c r="M190" s="5" t="s">
        <v>39</v>
      </c>
      <c r="N190" s="5"/>
      <c r="O190" s="6" t="e">
        <v>#N/A</v>
      </c>
      <c r="P190" s="5" t="s">
        <v>97</v>
      </c>
      <c r="Q190" s="5" t="s">
        <v>64</v>
      </c>
      <c r="R190" s="5" t="s">
        <v>146</v>
      </c>
      <c r="S190" s="5" t="s">
        <v>1443</v>
      </c>
      <c r="T190" s="5" t="s">
        <v>346</v>
      </c>
      <c r="U190" s="5" t="s">
        <v>1289</v>
      </c>
      <c r="V190" s="8">
        <v>31</v>
      </c>
      <c r="W190" s="9">
        <v>94131</v>
      </c>
      <c r="X190" s="5"/>
      <c r="Y190" s="10">
        <v>100</v>
      </c>
      <c r="Z190" s="10">
        <v>18.18</v>
      </c>
      <c r="AA190" s="10">
        <v>18.18</v>
      </c>
      <c r="AB190" s="10">
        <v>39660</v>
      </c>
      <c r="AC190" s="10">
        <v>3391</v>
      </c>
      <c r="AD190" s="10">
        <v>0</v>
      </c>
      <c r="AE190" s="11">
        <v>43051</v>
      </c>
      <c r="AF190" s="12" t="s">
        <v>101</v>
      </c>
      <c r="AG190" s="14" t="s">
        <v>139</v>
      </c>
      <c r="AH190" s="14" t="s">
        <v>65</v>
      </c>
      <c r="AI190" s="14" t="s">
        <v>36</v>
      </c>
      <c r="AJ190" s="14">
        <v>100000</v>
      </c>
      <c r="AK190" s="14">
        <v>95000</v>
      </c>
      <c r="AL190" s="13">
        <v>36</v>
      </c>
      <c r="AM190" s="13">
        <v>33</v>
      </c>
      <c r="AN190" s="14" t="s">
        <v>225</v>
      </c>
      <c r="AO190" s="14" t="s">
        <v>226</v>
      </c>
      <c r="AP190" s="14" t="s">
        <v>37</v>
      </c>
      <c r="AQ190" s="20">
        <v>202601</v>
      </c>
      <c r="AR190" s="21" t="s">
        <v>153</v>
      </c>
      <c r="AS190" s="14" t="s">
        <v>336</v>
      </c>
      <c r="AT190" s="14" t="s">
        <v>336</v>
      </c>
      <c r="AU190" s="19" t="s">
        <v>877</v>
      </c>
      <c r="AV190" s="12" t="s">
        <v>878</v>
      </c>
      <c r="AW190"/>
    </row>
    <row r="191" spans="1:49" x14ac:dyDescent="0.3">
      <c r="A191" s="5" t="s">
        <v>151</v>
      </c>
      <c r="B191" s="5" t="s">
        <v>54</v>
      </c>
      <c r="C191" s="5" t="s">
        <v>993</v>
      </c>
      <c r="D191" s="5" t="s">
        <v>32</v>
      </c>
      <c r="E191" s="6" t="s">
        <v>33</v>
      </c>
      <c r="F191" s="5">
        <v>174</v>
      </c>
      <c r="G191" s="5" t="s">
        <v>871</v>
      </c>
      <c r="H191" s="5" t="s">
        <v>1444</v>
      </c>
      <c r="I191" s="5" t="s">
        <v>1445</v>
      </c>
      <c r="J191" s="5" t="s">
        <v>34</v>
      </c>
      <c r="K191" s="5" t="s">
        <v>99</v>
      </c>
      <c r="L191" s="5" t="s">
        <v>229</v>
      </c>
      <c r="M191" s="5" t="s">
        <v>39</v>
      </c>
      <c r="N191" s="5"/>
      <c r="O191" s="6" t="e">
        <v>#N/A</v>
      </c>
      <c r="P191" s="5" t="s">
        <v>97</v>
      </c>
      <c r="Q191" s="5" t="s">
        <v>64</v>
      </c>
      <c r="R191" s="5" t="s">
        <v>146</v>
      </c>
      <c r="S191" s="5" t="s">
        <v>855</v>
      </c>
      <c r="T191" s="5" t="s">
        <v>1446</v>
      </c>
      <c r="U191" s="5" t="s">
        <v>1437</v>
      </c>
      <c r="V191" s="8">
        <v>31</v>
      </c>
      <c r="W191" s="9">
        <v>74230</v>
      </c>
      <c r="X191" s="5"/>
      <c r="Y191" s="10">
        <v>100</v>
      </c>
      <c r="Z191" s="10">
        <v>18.18</v>
      </c>
      <c r="AA191" s="10">
        <v>18.18</v>
      </c>
      <c r="AB191" s="10">
        <v>39660</v>
      </c>
      <c r="AC191" s="10">
        <v>3391</v>
      </c>
      <c r="AD191" s="10">
        <v>0</v>
      </c>
      <c r="AE191" s="11">
        <v>43051</v>
      </c>
      <c r="AF191" s="12" t="s">
        <v>101</v>
      </c>
      <c r="AG191" s="14" t="s">
        <v>139</v>
      </c>
      <c r="AH191" s="14" t="s">
        <v>65</v>
      </c>
      <c r="AI191" s="14" t="s">
        <v>36</v>
      </c>
      <c r="AJ191" s="14">
        <v>80000</v>
      </c>
      <c r="AK191" s="14">
        <v>75000</v>
      </c>
      <c r="AL191" s="13">
        <v>36</v>
      </c>
      <c r="AM191" s="13">
        <v>33</v>
      </c>
      <c r="AN191" s="14" t="s">
        <v>225</v>
      </c>
      <c r="AO191" s="14" t="s">
        <v>226</v>
      </c>
      <c r="AP191" s="14" t="s">
        <v>37</v>
      </c>
      <c r="AQ191" s="20">
        <v>202601</v>
      </c>
      <c r="AR191" s="21" t="s">
        <v>153</v>
      </c>
      <c r="AS191" s="14" t="s">
        <v>336</v>
      </c>
      <c r="AT191" s="14" t="s">
        <v>336</v>
      </c>
      <c r="AU191" s="19" t="s">
        <v>877</v>
      </c>
      <c r="AV191" s="12" t="s">
        <v>878</v>
      </c>
      <c r="AW191"/>
    </row>
    <row r="192" spans="1:49" x14ac:dyDescent="0.3">
      <c r="A192" s="5" t="s">
        <v>151</v>
      </c>
      <c r="B192" s="5" t="s">
        <v>54</v>
      </c>
      <c r="C192" s="5" t="s">
        <v>993</v>
      </c>
      <c r="D192" s="5" t="s">
        <v>32</v>
      </c>
      <c r="E192" s="6" t="s">
        <v>33</v>
      </c>
      <c r="F192" s="5">
        <v>175</v>
      </c>
      <c r="G192" s="5" t="s">
        <v>871</v>
      </c>
      <c r="H192" s="5" t="s">
        <v>1447</v>
      </c>
      <c r="I192" s="5" t="s">
        <v>1448</v>
      </c>
      <c r="J192" s="5" t="s">
        <v>34</v>
      </c>
      <c r="K192" s="5" t="s">
        <v>99</v>
      </c>
      <c r="L192" s="5" t="s">
        <v>229</v>
      </c>
      <c r="M192" s="5" t="s">
        <v>39</v>
      </c>
      <c r="N192" s="5"/>
      <c r="O192" s="6" t="e">
        <v>#N/A</v>
      </c>
      <c r="P192" s="5" t="s">
        <v>97</v>
      </c>
      <c r="Q192" s="5" t="s">
        <v>64</v>
      </c>
      <c r="R192" s="5" t="s">
        <v>146</v>
      </c>
      <c r="S192" s="5" t="s">
        <v>1449</v>
      </c>
      <c r="T192" s="5" t="s">
        <v>422</v>
      </c>
      <c r="U192" s="5" t="s">
        <v>1450</v>
      </c>
      <c r="V192" s="8">
        <v>36</v>
      </c>
      <c r="W192" s="9">
        <v>50186</v>
      </c>
      <c r="X192" s="5"/>
      <c r="Y192" s="10">
        <v>100</v>
      </c>
      <c r="Z192" s="10">
        <v>18.18</v>
      </c>
      <c r="AA192" s="10">
        <v>18.18</v>
      </c>
      <c r="AB192" s="10">
        <v>39660</v>
      </c>
      <c r="AC192" s="10">
        <v>3391</v>
      </c>
      <c r="AD192" s="10">
        <v>0</v>
      </c>
      <c r="AE192" s="11">
        <v>43051</v>
      </c>
      <c r="AF192" s="12" t="s">
        <v>101</v>
      </c>
      <c r="AG192" s="14" t="s">
        <v>139</v>
      </c>
      <c r="AH192" s="14" t="s">
        <v>65</v>
      </c>
      <c r="AI192" s="14" t="s">
        <v>36</v>
      </c>
      <c r="AJ192" s="14">
        <v>60000</v>
      </c>
      <c r="AK192" s="14">
        <v>55000</v>
      </c>
      <c r="AL192" s="13">
        <v>42</v>
      </c>
      <c r="AM192" s="13">
        <v>39</v>
      </c>
      <c r="AN192" s="14" t="s">
        <v>225</v>
      </c>
      <c r="AO192" s="14" t="s">
        <v>226</v>
      </c>
      <c r="AP192" s="14" t="s">
        <v>37</v>
      </c>
      <c r="AQ192" s="20">
        <v>202601</v>
      </c>
      <c r="AR192" s="21" t="s">
        <v>153</v>
      </c>
      <c r="AS192" s="14" t="s">
        <v>336</v>
      </c>
      <c r="AT192" s="14" t="s">
        <v>336</v>
      </c>
      <c r="AU192" s="19" t="s">
        <v>877</v>
      </c>
      <c r="AV192" s="12" t="s">
        <v>878</v>
      </c>
      <c r="AW192"/>
    </row>
    <row r="193" spans="1:49" x14ac:dyDescent="0.3">
      <c r="A193" s="5" t="s">
        <v>151</v>
      </c>
      <c r="B193" s="5" t="s">
        <v>54</v>
      </c>
      <c r="C193" s="5" t="s">
        <v>993</v>
      </c>
      <c r="D193" s="5" t="s">
        <v>32</v>
      </c>
      <c r="E193" s="6" t="s">
        <v>33</v>
      </c>
      <c r="F193" s="5">
        <v>176</v>
      </c>
      <c r="G193" s="5" t="s">
        <v>871</v>
      </c>
      <c r="H193" s="5" t="s">
        <v>1451</v>
      </c>
      <c r="I193" s="5" t="s">
        <v>1452</v>
      </c>
      <c r="J193" s="5" t="s">
        <v>34</v>
      </c>
      <c r="K193" s="5" t="s">
        <v>99</v>
      </c>
      <c r="L193" s="5" t="s">
        <v>229</v>
      </c>
      <c r="M193" s="5" t="s">
        <v>39</v>
      </c>
      <c r="N193" s="5"/>
      <c r="O193" s="6" t="e">
        <v>#N/A</v>
      </c>
      <c r="P193" s="5" t="s">
        <v>93</v>
      </c>
      <c r="Q193" s="5" t="s">
        <v>64</v>
      </c>
      <c r="R193" s="5" t="s">
        <v>146</v>
      </c>
      <c r="S193" s="5" t="s">
        <v>1449</v>
      </c>
      <c r="T193" s="5" t="s">
        <v>1453</v>
      </c>
      <c r="U193" s="5" t="s">
        <v>1440</v>
      </c>
      <c r="V193" s="8">
        <v>28</v>
      </c>
      <c r="W193" s="9">
        <v>41142</v>
      </c>
      <c r="X193" s="5"/>
      <c r="Y193" s="10">
        <v>100</v>
      </c>
      <c r="Z193" s="10">
        <v>18.18</v>
      </c>
      <c r="AA193" s="10">
        <v>18.18</v>
      </c>
      <c r="AB193" s="10">
        <v>39660</v>
      </c>
      <c r="AC193" s="10">
        <v>2087</v>
      </c>
      <c r="AD193" s="10">
        <v>0</v>
      </c>
      <c r="AE193" s="11">
        <v>41747</v>
      </c>
      <c r="AF193" s="12" t="s">
        <v>101</v>
      </c>
      <c r="AG193" s="14" t="s">
        <v>139</v>
      </c>
      <c r="AH193" s="14" t="s">
        <v>65</v>
      </c>
      <c r="AI193" s="14" t="s">
        <v>36</v>
      </c>
      <c r="AJ193" s="14">
        <v>50000</v>
      </c>
      <c r="AK193" s="14">
        <v>45000</v>
      </c>
      <c r="AL193" s="13">
        <v>30</v>
      </c>
      <c r="AM193" s="13">
        <v>30</v>
      </c>
      <c r="AN193" s="14" t="s">
        <v>225</v>
      </c>
      <c r="AO193" s="14" t="s">
        <v>226</v>
      </c>
      <c r="AP193" s="14" t="s">
        <v>37</v>
      </c>
      <c r="AQ193" s="20">
        <v>202601</v>
      </c>
      <c r="AR193" s="21" t="s">
        <v>153</v>
      </c>
      <c r="AS193" s="14" t="s">
        <v>336</v>
      </c>
      <c r="AT193" s="14" t="s">
        <v>336</v>
      </c>
      <c r="AU193" s="19" t="s">
        <v>877</v>
      </c>
      <c r="AV193" s="12" t="s">
        <v>878</v>
      </c>
      <c r="AW193"/>
    </row>
    <row r="194" spans="1:49" x14ac:dyDescent="0.3">
      <c r="A194" s="5" t="s">
        <v>151</v>
      </c>
      <c r="B194" s="5" t="s">
        <v>54</v>
      </c>
      <c r="C194" s="5" t="s">
        <v>993</v>
      </c>
      <c r="D194" s="5" t="s">
        <v>32</v>
      </c>
      <c r="E194" s="6" t="s">
        <v>33</v>
      </c>
      <c r="F194" s="5">
        <v>177</v>
      </c>
      <c r="G194" s="5" t="s">
        <v>871</v>
      </c>
      <c r="H194" s="5" t="s">
        <v>1454</v>
      </c>
      <c r="I194" s="5" t="s">
        <v>1455</v>
      </c>
      <c r="J194" s="5" t="s">
        <v>34</v>
      </c>
      <c r="K194" s="5" t="s">
        <v>99</v>
      </c>
      <c r="L194" s="5" t="s">
        <v>229</v>
      </c>
      <c r="M194" s="5" t="s">
        <v>39</v>
      </c>
      <c r="N194" s="5"/>
      <c r="O194" s="6" t="e">
        <v>#N/A</v>
      </c>
      <c r="P194" s="5" t="s">
        <v>97</v>
      </c>
      <c r="Q194" s="5" t="s">
        <v>64</v>
      </c>
      <c r="R194" s="5" t="s">
        <v>145</v>
      </c>
      <c r="S194" s="5" t="s">
        <v>1449</v>
      </c>
      <c r="T194" s="5" t="s">
        <v>1456</v>
      </c>
      <c r="U194" s="5" t="s">
        <v>1450</v>
      </c>
      <c r="V194" s="8">
        <v>26</v>
      </c>
      <c r="W194" s="9">
        <v>62040</v>
      </c>
      <c r="X194" s="5"/>
      <c r="Y194" s="10">
        <v>100</v>
      </c>
      <c r="Z194" s="10">
        <v>18.18</v>
      </c>
      <c r="AA194" s="10">
        <v>18.18</v>
      </c>
      <c r="AB194" s="10">
        <v>39660</v>
      </c>
      <c r="AC194" s="10">
        <v>3391</v>
      </c>
      <c r="AD194" s="10">
        <v>0</v>
      </c>
      <c r="AE194" s="11">
        <v>43051</v>
      </c>
      <c r="AF194" s="12" t="s">
        <v>101</v>
      </c>
      <c r="AG194" s="14" t="s">
        <v>139</v>
      </c>
      <c r="AH194" s="14" t="s">
        <v>65</v>
      </c>
      <c r="AI194" s="14" t="s">
        <v>36</v>
      </c>
      <c r="AJ194" s="14">
        <v>70000</v>
      </c>
      <c r="AK194" s="14">
        <v>65000</v>
      </c>
      <c r="AL194" s="13">
        <v>30</v>
      </c>
      <c r="AM194" s="13">
        <v>27</v>
      </c>
      <c r="AN194" s="14" t="s">
        <v>225</v>
      </c>
      <c r="AO194" s="14" t="s">
        <v>226</v>
      </c>
      <c r="AP194" s="14" t="s">
        <v>37</v>
      </c>
      <c r="AQ194" s="20">
        <v>202601</v>
      </c>
      <c r="AR194" s="21" t="s">
        <v>153</v>
      </c>
      <c r="AS194" s="14" t="s">
        <v>336</v>
      </c>
      <c r="AT194" s="14" t="s">
        <v>336</v>
      </c>
      <c r="AU194" s="19" t="s">
        <v>877</v>
      </c>
      <c r="AV194" s="12" t="s">
        <v>878</v>
      </c>
      <c r="AW194"/>
    </row>
    <row r="195" spans="1:49" x14ac:dyDescent="0.3">
      <c r="A195" s="5" t="s">
        <v>151</v>
      </c>
      <c r="B195" s="5" t="s">
        <v>54</v>
      </c>
      <c r="C195" s="5" t="s">
        <v>993</v>
      </c>
      <c r="D195" s="5" t="s">
        <v>32</v>
      </c>
      <c r="E195" s="6" t="s">
        <v>33</v>
      </c>
      <c r="F195" s="5">
        <v>178</v>
      </c>
      <c r="G195" s="5" t="s">
        <v>871</v>
      </c>
      <c r="H195" s="5" t="s">
        <v>1457</v>
      </c>
      <c r="I195" s="5" t="s">
        <v>1458</v>
      </c>
      <c r="J195" s="5" t="s">
        <v>34</v>
      </c>
      <c r="K195" s="5" t="s">
        <v>99</v>
      </c>
      <c r="L195" s="5" t="s">
        <v>229</v>
      </c>
      <c r="M195" s="5" t="s">
        <v>39</v>
      </c>
      <c r="N195" s="5"/>
      <c r="O195" s="6" t="e">
        <v>#N/A</v>
      </c>
      <c r="P195" s="5" t="s">
        <v>224</v>
      </c>
      <c r="Q195" s="5" t="s">
        <v>64</v>
      </c>
      <c r="R195" s="5" t="s">
        <v>145</v>
      </c>
      <c r="S195" s="5" t="s">
        <v>420</v>
      </c>
      <c r="T195" s="5" t="s">
        <v>1380</v>
      </c>
      <c r="U195" s="5" t="s">
        <v>1459</v>
      </c>
      <c r="V195" s="8">
        <v>29</v>
      </c>
      <c r="W195" s="9">
        <v>70176</v>
      </c>
      <c r="X195" s="5"/>
      <c r="Y195" s="10">
        <v>100</v>
      </c>
      <c r="Z195" s="10">
        <v>18.18</v>
      </c>
      <c r="AA195" s="10">
        <v>18.18</v>
      </c>
      <c r="AB195" s="10">
        <v>39660</v>
      </c>
      <c r="AC195" s="10">
        <v>1043</v>
      </c>
      <c r="AD195" s="10">
        <v>0</v>
      </c>
      <c r="AE195" s="11">
        <v>40703</v>
      </c>
      <c r="AF195" s="12" t="s">
        <v>101</v>
      </c>
      <c r="AG195" s="14" t="s">
        <v>140</v>
      </c>
      <c r="AH195" s="14" t="s">
        <v>65</v>
      </c>
      <c r="AI195" s="14" t="s">
        <v>36</v>
      </c>
      <c r="AJ195" s="14">
        <v>80000</v>
      </c>
      <c r="AK195" s="14">
        <v>75000</v>
      </c>
      <c r="AL195" s="13">
        <v>30</v>
      </c>
      <c r="AM195" s="13">
        <v>30</v>
      </c>
      <c r="AN195" s="14" t="s">
        <v>225</v>
      </c>
      <c r="AO195" s="14" t="s">
        <v>226</v>
      </c>
      <c r="AP195" s="14" t="s">
        <v>37</v>
      </c>
      <c r="AQ195" s="20">
        <v>202601</v>
      </c>
      <c r="AR195" s="21" t="s">
        <v>153</v>
      </c>
      <c r="AS195" s="14" t="s">
        <v>336</v>
      </c>
      <c r="AT195" s="14" t="s">
        <v>336</v>
      </c>
      <c r="AU195" s="19" t="s">
        <v>877</v>
      </c>
      <c r="AV195" s="12" t="s">
        <v>878</v>
      </c>
      <c r="AW195"/>
    </row>
    <row r="196" spans="1:49" x14ac:dyDescent="0.3">
      <c r="A196" s="5" t="s">
        <v>151</v>
      </c>
      <c r="B196" s="5" t="s">
        <v>54</v>
      </c>
      <c r="C196" s="5" t="s">
        <v>993</v>
      </c>
      <c r="D196" s="5" t="s">
        <v>32</v>
      </c>
      <c r="E196" s="6" t="s">
        <v>33</v>
      </c>
      <c r="F196" s="5">
        <v>179</v>
      </c>
      <c r="G196" s="5" t="s">
        <v>871</v>
      </c>
      <c r="H196" s="5" t="s">
        <v>1460</v>
      </c>
      <c r="I196" s="5" t="s">
        <v>1461</v>
      </c>
      <c r="J196" s="5" t="s">
        <v>34</v>
      </c>
      <c r="K196" s="5" t="s">
        <v>99</v>
      </c>
      <c r="L196" s="5" t="s">
        <v>229</v>
      </c>
      <c r="M196" s="5" t="s">
        <v>39</v>
      </c>
      <c r="N196" s="5"/>
      <c r="O196" s="6" t="e">
        <v>#N/A</v>
      </c>
      <c r="P196" s="5" t="s">
        <v>97</v>
      </c>
      <c r="Q196" s="5" t="s">
        <v>64</v>
      </c>
      <c r="R196" s="5" t="s">
        <v>146</v>
      </c>
      <c r="S196" s="5" t="s">
        <v>1462</v>
      </c>
      <c r="T196" s="5" t="s">
        <v>1372</v>
      </c>
      <c r="U196" s="5" t="s">
        <v>1463</v>
      </c>
      <c r="V196" s="8">
        <v>29</v>
      </c>
      <c r="W196" s="9">
        <v>53721</v>
      </c>
      <c r="X196" s="5"/>
      <c r="Y196" s="10">
        <v>100</v>
      </c>
      <c r="Z196" s="10">
        <v>18.18</v>
      </c>
      <c r="AA196" s="10">
        <v>18.18</v>
      </c>
      <c r="AB196" s="10">
        <v>39660</v>
      </c>
      <c r="AC196" s="10">
        <v>3391</v>
      </c>
      <c r="AD196" s="10">
        <v>0</v>
      </c>
      <c r="AE196" s="11">
        <v>43051</v>
      </c>
      <c r="AF196" s="12" t="s">
        <v>101</v>
      </c>
      <c r="AG196" s="14" t="s">
        <v>141</v>
      </c>
      <c r="AH196" s="14" t="s">
        <v>65</v>
      </c>
      <c r="AI196" s="14" t="s">
        <v>36</v>
      </c>
      <c r="AJ196" s="14">
        <v>60000</v>
      </c>
      <c r="AK196" s="14">
        <v>55000</v>
      </c>
      <c r="AL196" s="13">
        <v>30</v>
      </c>
      <c r="AM196" s="13">
        <v>30</v>
      </c>
      <c r="AN196" s="14" t="s">
        <v>225</v>
      </c>
      <c r="AO196" s="14" t="s">
        <v>226</v>
      </c>
      <c r="AP196" s="14" t="s">
        <v>37</v>
      </c>
      <c r="AQ196" s="20">
        <v>202601</v>
      </c>
      <c r="AR196" s="21" t="s">
        <v>153</v>
      </c>
      <c r="AS196" s="14" t="s">
        <v>336</v>
      </c>
      <c r="AT196" s="14" t="s">
        <v>336</v>
      </c>
      <c r="AU196" s="19" t="s">
        <v>877</v>
      </c>
      <c r="AV196" s="12" t="s">
        <v>878</v>
      </c>
      <c r="AW196"/>
    </row>
    <row r="197" spans="1:49" x14ac:dyDescent="0.3">
      <c r="A197" s="5" t="s">
        <v>151</v>
      </c>
      <c r="B197" s="5" t="s">
        <v>54</v>
      </c>
      <c r="C197" s="5" t="s">
        <v>993</v>
      </c>
      <c r="D197" s="5" t="s">
        <v>32</v>
      </c>
      <c r="E197" s="6" t="s">
        <v>33</v>
      </c>
      <c r="F197" s="5">
        <v>180</v>
      </c>
      <c r="G197" s="5" t="s">
        <v>871</v>
      </c>
      <c r="H197" s="5" t="s">
        <v>1464</v>
      </c>
      <c r="I197" s="5" t="s">
        <v>1465</v>
      </c>
      <c r="J197" s="5" t="s">
        <v>34</v>
      </c>
      <c r="K197" s="5" t="s">
        <v>99</v>
      </c>
      <c r="L197" s="5" t="s">
        <v>229</v>
      </c>
      <c r="M197" s="5" t="s">
        <v>39</v>
      </c>
      <c r="N197" s="5"/>
      <c r="O197" s="6" t="e">
        <v>#N/A</v>
      </c>
      <c r="P197" s="5" t="s">
        <v>1466</v>
      </c>
      <c r="Q197" s="5" t="s">
        <v>64</v>
      </c>
      <c r="R197" s="5" t="s">
        <v>146</v>
      </c>
      <c r="S197" s="5" t="s">
        <v>867</v>
      </c>
      <c r="T197" s="5" t="s">
        <v>1467</v>
      </c>
      <c r="U197" s="5" t="s">
        <v>1468</v>
      </c>
      <c r="V197" s="8">
        <v>28</v>
      </c>
      <c r="W197" s="9">
        <v>60072</v>
      </c>
      <c r="X197" s="5"/>
      <c r="Y197" s="10">
        <v>100</v>
      </c>
      <c r="Z197" s="10">
        <v>18.18</v>
      </c>
      <c r="AA197" s="10">
        <v>18.18</v>
      </c>
      <c r="AB197" s="10">
        <v>39660</v>
      </c>
      <c r="AC197" s="10">
        <v>0</v>
      </c>
      <c r="AD197" s="10">
        <v>0</v>
      </c>
      <c r="AE197" s="11">
        <v>39660</v>
      </c>
      <c r="AF197" s="12" t="s">
        <v>101</v>
      </c>
      <c r="AG197" s="14" t="s">
        <v>141</v>
      </c>
      <c r="AH197" s="14" t="s">
        <v>65</v>
      </c>
      <c r="AI197" s="14" t="s">
        <v>36</v>
      </c>
      <c r="AJ197" s="14">
        <v>70000</v>
      </c>
      <c r="AK197" s="14">
        <v>65000</v>
      </c>
      <c r="AL197" s="13">
        <v>30</v>
      </c>
      <c r="AM197" s="13">
        <v>30</v>
      </c>
      <c r="AN197" s="14" t="s">
        <v>225</v>
      </c>
      <c r="AO197" s="14" t="s">
        <v>226</v>
      </c>
      <c r="AP197" s="14" t="s">
        <v>37</v>
      </c>
      <c r="AQ197" s="20">
        <v>202601</v>
      </c>
      <c r="AR197" s="21" t="s">
        <v>153</v>
      </c>
      <c r="AS197" s="14" t="s">
        <v>336</v>
      </c>
      <c r="AT197" s="14" t="s">
        <v>336</v>
      </c>
      <c r="AU197" s="19" t="s">
        <v>877</v>
      </c>
      <c r="AV197" s="12" t="s">
        <v>878</v>
      </c>
      <c r="AW197"/>
    </row>
    <row r="198" spans="1:49" x14ac:dyDescent="0.3">
      <c r="A198" s="5" t="s">
        <v>151</v>
      </c>
      <c r="B198" s="5" t="s">
        <v>54</v>
      </c>
      <c r="C198" s="5" t="s">
        <v>993</v>
      </c>
      <c r="D198" s="5" t="s">
        <v>32</v>
      </c>
      <c r="E198" s="6" t="s">
        <v>33</v>
      </c>
      <c r="F198" s="5">
        <v>181</v>
      </c>
      <c r="G198" s="5" t="s">
        <v>871</v>
      </c>
      <c r="H198" s="5" t="s">
        <v>1469</v>
      </c>
      <c r="I198" s="5" t="s">
        <v>1470</v>
      </c>
      <c r="J198" s="5" t="s">
        <v>34</v>
      </c>
      <c r="K198" s="5" t="s">
        <v>99</v>
      </c>
      <c r="L198" s="5" t="s">
        <v>229</v>
      </c>
      <c r="M198" s="5" t="s">
        <v>39</v>
      </c>
      <c r="N198" s="5"/>
      <c r="O198" s="6" t="e">
        <v>#N/A</v>
      </c>
      <c r="P198" s="5" t="s">
        <v>97</v>
      </c>
      <c r="Q198" s="5" t="s">
        <v>64</v>
      </c>
      <c r="R198" s="5" t="s">
        <v>145</v>
      </c>
      <c r="S198" s="5" t="s">
        <v>1471</v>
      </c>
      <c r="T198" s="5" t="s">
        <v>1472</v>
      </c>
      <c r="U198" s="5" t="s">
        <v>1473</v>
      </c>
      <c r="V198" s="8">
        <v>32</v>
      </c>
      <c r="W198" s="9">
        <v>55720</v>
      </c>
      <c r="X198" s="5"/>
      <c r="Y198" s="10">
        <v>100</v>
      </c>
      <c r="Z198" s="10">
        <v>18.18</v>
      </c>
      <c r="AA198" s="10">
        <v>18.18</v>
      </c>
      <c r="AB198" s="10">
        <v>39660</v>
      </c>
      <c r="AC198" s="10">
        <v>3391</v>
      </c>
      <c r="AD198" s="10">
        <v>0</v>
      </c>
      <c r="AE198" s="11">
        <v>43051</v>
      </c>
      <c r="AF198" s="12" t="s">
        <v>101</v>
      </c>
      <c r="AG198" s="14" t="s">
        <v>141</v>
      </c>
      <c r="AH198" s="14" t="s">
        <v>65</v>
      </c>
      <c r="AI198" s="14" t="s">
        <v>36</v>
      </c>
      <c r="AJ198" s="14">
        <v>60000</v>
      </c>
      <c r="AK198" s="14">
        <v>60000</v>
      </c>
      <c r="AL198" s="13">
        <v>36</v>
      </c>
      <c r="AM198" s="13">
        <v>33</v>
      </c>
      <c r="AN198" s="14" t="s">
        <v>225</v>
      </c>
      <c r="AO198" s="14" t="s">
        <v>226</v>
      </c>
      <c r="AP198" s="14" t="s">
        <v>37</v>
      </c>
      <c r="AQ198" s="20">
        <v>202601</v>
      </c>
      <c r="AR198" s="21" t="s">
        <v>153</v>
      </c>
      <c r="AS198" s="14" t="s">
        <v>336</v>
      </c>
      <c r="AT198" s="14" t="s">
        <v>336</v>
      </c>
      <c r="AU198" s="19" t="s">
        <v>877</v>
      </c>
      <c r="AV198" s="12" t="s">
        <v>878</v>
      </c>
      <c r="AW198"/>
    </row>
    <row r="199" spans="1:49" x14ac:dyDescent="0.3">
      <c r="A199" s="5" t="s">
        <v>151</v>
      </c>
      <c r="B199" s="5" t="s">
        <v>54</v>
      </c>
      <c r="C199" s="5" t="s">
        <v>993</v>
      </c>
      <c r="D199" s="5" t="s">
        <v>32</v>
      </c>
      <c r="E199" s="6" t="s">
        <v>33</v>
      </c>
      <c r="F199" s="5">
        <v>182</v>
      </c>
      <c r="G199" s="5" t="s">
        <v>871</v>
      </c>
      <c r="H199" s="5" t="s">
        <v>1474</v>
      </c>
      <c r="I199" s="5" t="s">
        <v>1475</v>
      </c>
      <c r="J199" s="5" t="s">
        <v>34</v>
      </c>
      <c r="K199" s="5" t="s">
        <v>99</v>
      </c>
      <c r="L199" s="5" t="s">
        <v>229</v>
      </c>
      <c r="M199" s="5" t="s">
        <v>39</v>
      </c>
      <c r="N199" s="5"/>
      <c r="O199" s="6" t="e">
        <v>#N/A</v>
      </c>
      <c r="P199" s="5" t="s">
        <v>97</v>
      </c>
      <c r="Q199" s="5" t="s">
        <v>64</v>
      </c>
      <c r="R199" s="5" t="s">
        <v>145</v>
      </c>
      <c r="S199" s="5" t="s">
        <v>1476</v>
      </c>
      <c r="T199" s="5" t="s">
        <v>1477</v>
      </c>
      <c r="U199" s="5" t="s">
        <v>1478</v>
      </c>
      <c r="V199" s="8">
        <v>29</v>
      </c>
      <c r="W199" s="9">
        <v>43995</v>
      </c>
      <c r="X199" s="5"/>
      <c r="Y199" s="10">
        <v>100</v>
      </c>
      <c r="Z199" s="10">
        <v>18.18</v>
      </c>
      <c r="AA199" s="10">
        <v>18.18</v>
      </c>
      <c r="AB199" s="10">
        <v>39660</v>
      </c>
      <c r="AC199" s="10">
        <v>3391</v>
      </c>
      <c r="AD199" s="10">
        <v>0</v>
      </c>
      <c r="AE199" s="11">
        <v>43051</v>
      </c>
      <c r="AF199" s="12" t="s">
        <v>101</v>
      </c>
      <c r="AG199" s="14" t="s">
        <v>630</v>
      </c>
      <c r="AH199" s="14" t="s">
        <v>65</v>
      </c>
      <c r="AI199" s="14" t="s">
        <v>36</v>
      </c>
      <c r="AJ199" s="14">
        <v>50000</v>
      </c>
      <c r="AK199" s="14">
        <v>45000</v>
      </c>
      <c r="AL199" s="13">
        <v>30</v>
      </c>
      <c r="AM199" s="13">
        <v>30</v>
      </c>
      <c r="AN199" s="14" t="s">
        <v>225</v>
      </c>
      <c r="AO199" s="14" t="s">
        <v>226</v>
      </c>
      <c r="AP199" s="14" t="s">
        <v>37</v>
      </c>
      <c r="AQ199" s="20">
        <v>202601</v>
      </c>
      <c r="AR199" s="21" t="s">
        <v>153</v>
      </c>
      <c r="AS199" s="14" t="s">
        <v>336</v>
      </c>
      <c r="AT199" s="14" t="s">
        <v>336</v>
      </c>
      <c r="AU199" s="19" t="s">
        <v>877</v>
      </c>
      <c r="AV199" s="12" t="s">
        <v>878</v>
      </c>
      <c r="AW199"/>
    </row>
  </sheetData>
  <autoFilter ref="A1:AW84"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Sheet2</vt:lpstr>
      <vt:lpstr>Sheet1</vt: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2022-04-04T06:52:25Z</dcterms:created>
  <dcterms:modified xsi:type="dcterms:W3CDTF">2026-04-08T08:32:12Z</dcterms:modified>
</cp:coreProperties>
</file>