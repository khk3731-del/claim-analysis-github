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186428b01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953e77d763945c6"/>
    <x:sheet xmlns:r="http://schemas.openxmlformats.org/officeDocument/2006/relationships" name="Raw_Data" sheetId="2" r:id="R8cd0d96804934cea"/>
    <x:sheet xmlns:r="http://schemas.openxmlformats.org/officeDocument/2006/relationships" name="Lists" sheetId="3" r:id="R8b859efec4ad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b/>
      <x:sz val="18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200" fontId="6" fillId="4" borderId="1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200" fontId="0" fillId="0" borderId="1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7" fillId="3" borderId="1" xfId="0" applyNumberFormat="1" applyFont="1" applyFill="1" applyBorder="1"/>
    <x:xf numFmtId="200" fontId="7" fillId="4" borderId="1" xfId="0" applyNumberFormat="1" applyFont="1" applyFill="1" applyBorder="1"/>
    <x:xf numFmtId="0" fontId="7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ec42e95614cdf" /><Relationship Type="http://schemas.openxmlformats.org/officeDocument/2006/relationships/theme" Target="/xl/theme/theme1.xml" Id="Rbaa50133391746d2" /><Relationship Type="http://schemas.openxmlformats.org/officeDocument/2006/relationships/sharedStrings" Target="/xl/sharedStrings.xml" Id="R11954b2a62174002" /><Relationship Type="http://schemas.openxmlformats.org/officeDocument/2006/relationships/worksheet" Target="/xl/worksheets/sheet1.xml" Id="R5953e77d763945c6" /><Relationship Type="http://schemas.openxmlformats.org/officeDocument/2006/relationships/worksheet" Target="/xl/worksheets/sheet2.xml" Id="R8cd0d96804934cea" /><Relationship Type="http://schemas.openxmlformats.org/officeDocument/2006/relationships/worksheet" Target="/xl/worksheets/sheet3.xml" Id="R8b859efec4ad4a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495506e2e645de" /><Relationship Type="http://schemas.openxmlformats.org/officeDocument/2006/relationships/chart" Target="/xl/drawings/charts/chart2.xml" Id="R23a69bd4ff7b4678" /><Relationship Type="http://schemas.openxmlformats.org/officeDocument/2006/relationships/chart" Target="/xl/drawings/charts/chart3.xml" Id="Rbc10dca05e0a4ff5" /><Relationship Type="http://schemas.openxmlformats.org/officeDocument/2006/relationships/chart" Target="/xl/drawings/charts/chart4.xml" Id="R3db1545fcae94b47" /><Relationship Type="http://schemas.openxmlformats.org/officeDocument/2006/relationships/chart" Target="/xl/drawings/charts/chart5.xml" Id="R670273b50e0443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월별 클레임 발생 추이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건수</c:v>
          </c:tx>
          <c:marker>
            <c:symbol val="none"/>
          </c:marker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'Dashboard'!$B$12:$B$23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현상별 클레임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건수</c:v>
          </c:tx>
          <c:cat>
            <c:strRef>
              <c:f>'Dashboard'!$D$12:$D$18</c:f>
              <c:strCache>
                <c:ptCount val="0"/>
              </c:strCache>
            </c:strRef>
          </c:cat>
          <c:val>
            <c:numRef>
              <c:f>'Dashboard'!$E$12:$E$18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사용기간별 클레임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건수</c:v>
          </c:tx>
          <c:cat>
            <c:strRef>
              <c:f>'Dashboard'!$G$12:$G$20</c:f>
              <c:strCache>
                <c:ptCount val="0"/>
              </c:strCache>
            </c:strRef>
          </c:cat>
          <c:val>
            <c:numRef>
              <c:f>'Dashboard'!$H$12:$H$20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주행거리별 클레임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건수</c:v>
          </c:tx>
          <c:cat>
            <c:strRef>
              <c:f>'Dashboard'!$J$12:$J$20</c:f>
              <c:strCache>
                <c:ptCount val="0"/>
              </c:strCache>
            </c:strRef>
          </c:cat>
          <c:val>
            <c:numRef>
              <c:f>'Dashboard'!$K$12:$K$20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국가별 클레임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건수</c:v>
          </c:tx>
          <c:cat>
            <c:strRef>
              <c:f>'Dashboard'!$M$12:$M$16</c:f>
              <c:strCache>
                <c:ptCount val="0"/>
              </c:strCache>
            </c:strRef>
          </c:cat>
          <c:val>
            <c:numRef>
              <c:f>'Dashboard'!$N$12:$N$16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495506e2e645de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a69bd4ff7b4678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10dca05e0a4ff5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b1545fcae94b47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10</xdr:col>
      <xdr:colOff>0</xdr:colOff>
      <xdr:row>48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0273b50e04434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aimsInput" displayName="ClaimsInput" ref="A1:H13" headerRowCount="1" totalsRowCount="0" totalsRowShown="0">
  <x:autoFilter ref="A1:H13"/>
  <x:tableColumns count="8">
    <x:tableColumn id="1" name="월"/>
    <x:tableColumn id="2" name="차종"/>
    <x:tableColumn id="3" name="부품명"/>
    <x:tableColumn id="4" name="클레임건수"/>
    <x:tableColumn id="5" name="현상"/>
    <x:tableColumn id="6" name="사용기간구간"/>
    <x:tableColumn id="7" name="주행거리구간"/>
    <x:tableColumn id="8" name="국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7302585a814f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dbfc4d35124e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4" max="4" width="18" hidden="0" customWidth="1"/>
    <x:col min="5" max="5" width="12" hidden="0" customWidth="1"/>
    <x:col min="7" max="7" width="16" hidden="0" customWidth="1"/>
    <x:col min="8" max="8" width="12" hidden="0" customWidth="1"/>
    <x:col min="10" max="10" width="14" hidden="0" customWidth="1"/>
    <x:col min="11" max="11" width="12" hidden="0" customWidth="1"/>
    <x:col min="13" max="13" width="14" hidden="0" customWidth="1"/>
    <x:col min="14" max="14" width="12" hidden="0" customWidth="1"/>
  </x:cols>
  <x:sheetData>
    <x:row r="1">
      <x:c r="A1" s="12" t="str">
        <x:v>클레임 데이터 자동 분석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</x:row>
    <x:row r="2">
      <x:c r="A2" s="13" t="str">
        <x:v>Raw_Data 시트의 A:H 열에 데이터를 붙여넣으면 아래 표와 그래프가 자동 갱신됩니다. 분석 기준값은 Lists 시트에서 수정할 수 있습니다.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6" t="str">
        <x:v>핵심 지표</x:v>
      </x:c>
      <x:c r="B4" s="26" t="str">
        <x:v>값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27" t="str">
        <x:v>총 클레임 건수</x:v>
      </x:c>
      <x:c r="B5" s="28" t="n">
        <x:f>SUM(Raw_Data!$D$2:$D$1000)</x:f>
        <x:v>35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27" t="str">
        <x:v>분석 월 수</x:v>
      </x:c>
      <x:c r="B6" s="29" t="n">
        <x:f>COUNTA(Lists!$A$2:$A$13)</x:f>
        <x:v>12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27" t="str">
        <x:v>최다 발생 현상</x:v>
      </x:c>
      <x:c r="B7" s="29" t="str">
        <x:f>INDEX(Lists!$B$2:$B$8,MATCH(MAX(E12:E18),E12:E18,0))</x:f>
        <x:v>경고등 점등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3" t="str">
        <x:v>월별 발생 추이</x:v>
      </x:c>
      <x:c r="B10" s="3"/>
      <x:c r="C10" s="1"/>
      <x:c r="D10" s="3" t="str">
        <x:v>현상별 분석</x:v>
      </x:c>
      <x:c r="E10" s="3"/>
      <x:c r="F10" s="1"/>
      <x:c r="G10" s="3" t="str">
        <x:v>사용기간 분석</x:v>
      </x:c>
      <x:c r="H10" s="3"/>
      <x:c r="I10" s="1"/>
      <x:c r="J10" s="3" t="str">
        <x:v>주행거리 분석</x:v>
      </x:c>
      <x:c r="K10" s="3"/>
      <x:c r="L10" s="1"/>
      <x:c r="M10" s="3" t="str">
        <x:v>국가별 분석</x:v>
      </x:c>
      <x:c r="N10" s="3"/>
    </x:row>
    <x:row r="11">
      <x:c r="A11" s="27" t="str">
        <x:v>월</x:v>
      </x:c>
      <x:c r="B11" s="27" t="str">
        <x:v>건수</x:v>
      </x:c>
      <x:c r="C11" s="1"/>
      <x:c r="D11" s="27" t="str">
        <x:v>구분</x:v>
      </x:c>
      <x:c r="E11" s="27" t="str">
        <x:v>건수</x:v>
      </x:c>
      <x:c r="F11" s="1"/>
      <x:c r="G11" s="27" t="str">
        <x:v>구분</x:v>
      </x:c>
      <x:c r="H11" s="27" t="str">
        <x:v>건수</x:v>
      </x:c>
      <x:c r="I11" s="1"/>
      <x:c r="J11" s="27" t="str">
        <x:v>구분</x:v>
      </x:c>
      <x:c r="K11" s="27" t="str">
        <x:v>건수</x:v>
      </x:c>
      <x:c r="L11" s="1"/>
      <x:c r="M11" s="27" t="str">
        <x:v>구분</x:v>
      </x:c>
      <x:c r="N11" s="27" t="str">
        <x:v>건수</x:v>
      </x:c>
    </x:row>
    <x:row r="12">
      <x:c r="A12" s="7" t="str">
        <x:f>Lists!A2</x:f>
        <x:v>2026-01</x:v>
      </x:c>
      <x:c r="B12" s="8" t="n">
        <x:f>SUMIF(Raw_Data!$A$2:$A$1000,A12,Raw_Data!$D$2:$D$1000)</x:f>
        <x:v>5</x:v>
      </x:c>
      <x:c r="C12" s="1"/>
      <x:c r="D12" s="7" t="str">
        <x:f>Lists!B2</x:f>
        <x:v>경고등 점등</x:v>
      </x:c>
      <x:c r="E12" s="8" t="n">
        <x:f>SUMIF(Raw_Data!$E$2:$E$1000,D12,Raw_Data!$D$2:$D$1000)</x:f>
        <x:v>15</x:v>
      </x:c>
      <x:c r="F12" s="1"/>
      <x:c r="G12" s="7" t="str">
        <x:f>Lists!C2</x:f>
        <x:v>~6개월</x:v>
      </x:c>
      <x:c r="H12" s="8" t="n">
        <x:f>SUMIF(Raw_Data!$F$2:$F$1000,G12,Raw_Data!$D$2:$D$1000)</x:f>
        <x:v>1</x:v>
      </x:c>
      <x:c r="I12" s="1"/>
      <x:c r="J12" s="7" t="str">
        <x:f>Lists!D2</x:f>
        <x:v>~1만</x:v>
      </x:c>
      <x:c r="K12" s="8" t="n">
        <x:f>SUMIF(Raw_Data!$G$2:$G$1000,J12,Raw_Data!$D$2:$D$1000)</x:f>
        <x:v>1</x:v>
      </x:c>
      <x:c r="L12" s="1"/>
      <x:c r="M12" s="7" t="str">
        <x:f>Lists!E2</x:f>
        <x:v>한국</x:v>
      </x:c>
      <x:c r="N12" s="8" t="n">
        <x:f>SUMIF(Raw_Data!$H$2:$H$1000,M12,Raw_Data!$D$2:$D$1000)</x:f>
        <x:v>23</x:v>
      </x:c>
    </x:row>
    <x:row r="13">
      <x:c r="A13" s="7" t="str">
        <x:f>Lists!A3</x:f>
        <x:v>2026-02</x:v>
      </x:c>
      <x:c r="B13" s="8" t="n">
        <x:f>SUMIF(Raw_Data!$A$2:$A$1000,A13,Raw_Data!$D$2:$D$1000)</x:f>
        <x:v>5</x:v>
      </x:c>
      <x:c r="C13" s="1"/>
      <x:c r="D13" s="7" t="str">
        <x:f>Lists!B3</x:f>
        <x:v>매연과다</x:v>
      </x:c>
      <x:c r="E13" s="8" t="n">
        <x:f>SUMIF(Raw_Data!$E$2:$E$1000,D13,Raw_Data!$D$2:$D$1000)</x:f>
        <x:v>0</x:v>
      </x:c>
      <x:c r="F13" s="1"/>
      <x:c r="G13" s="7" t="str">
        <x:f>Lists!C3</x:f>
        <x:v>6~12개월</x:v>
      </x:c>
      <x:c r="H13" s="8" t="n">
        <x:f>SUMIF(Raw_Data!$F$2:$F$1000,G13,Raw_Data!$D$2:$D$1000)</x:f>
        <x:v>2</x:v>
      </x:c>
      <x:c r="I13" s="1"/>
      <x:c r="J13" s="7" t="str">
        <x:f>Lists!D3</x:f>
        <x:v>~2만</x:v>
      </x:c>
      <x:c r="K13" s="8" t="n">
        <x:f>SUMIF(Raw_Data!$G$2:$G$1000,J13,Raw_Data!$D$2:$D$1000)</x:f>
        <x:v>6</x:v>
      </x:c>
      <x:c r="L13" s="1"/>
      <x:c r="M13" s="7" t="str">
        <x:f>Lists!E3</x:f>
        <x:v>터키</x:v>
      </x:c>
      <x:c r="N13" s="8" t="n">
        <x:f>SUMIF(Raw_Data!$H$2:$H$1000,M13,Raw_Data!$D$2:$D$1000)</x:f>
        <x:v>5</x:v>
      </x:c>
    </x:row>
    <x:row r="14">
      <x:c r="A14" s="7" t="str">
        <x:f>Lists!A4</x:f>
        <x:v>2026-03</x:v>
      </x:c>
      <x:c r="B14" s="8" t="n">
        <x:f>SUMIF(Raw_Data!$A$2:$A$1000,A14,Raw_Data!$D$2:$D$1000)</x:f>
        <x:v>7</x:v>
      </x:c>
      <x:c r="C14" s="1"/>
      <x:c r="D14" s="7" t="str">
        <x:f>Lists!B4</x:f>
        <x:v>출력부족</x:v>
      </x:c>
      <x:c r="E14" s="8" t="n">
        <x:f>SUMIF(Raw_Data!$E$2:$E$1000,D14,Raw_Data!$D$2:$D$1000)</x:f>
        <x:v>4</x:v>
      </x:c>
      <x:c r="F14" s="1"/>
      <x:c r="G14" s="7" t="str">
        <x:f>Lists!C4</x:f>
        <x:v>12~18개월</x:v>
      </x:c>
      <x:c r="H14" s="8" t="n">
        <x:f>SUMIF(Raw_Data!$F$2:$F$1000,G14,Raw_Data!$D$2:$D$1000)</x:f>
        <x:v>10</x:v>
      </x:c>
      <x:c r="I14" s="1"/>
      <x:c r="J14" s="7" t="str">
        <x:f>Lists!D4</x:f>
        <x:v>~3만</x:v>
      </x:c>
      <x:c r="K14" s="8" t="n">
        <x:f>SUMIF(Raw_Data!$G$2:$G$1000,J14,Raw_Data!$D$2:$D$1000)</x:f>
        <x:v>9</x:v>
      </x:c>
      <x:c r="L14" s="1"/>
      <x:c r="M14" s="7" t="str">
        <x:f>Lists!E4</x:f>
        <x:v>대만</x:v>
      </x:c>
      <x:c r="N14" s="8" t="n">
        <x:f>SUMIF(Raw_Data!$H$2:$H$1000,M14,Raw_Data!$D$2:$D$1000)</x:f>
        <x:v>2</x:v>
      </x:c>
    </x:row>
    <x:row r="15">
      <x:c r="A15" s="7" t="str">
        <x:f>Lists!A5</x:f>
        <x:v>2026-04</x:v>
      </x:c>
      <x:c r="B15" s="8" t="n">
        <x:f>SUMIF(Raw_Data!$A$2:$A$1000,A15,Raw_Data!$D$2:$D$1000)</x:f>
        <x:v>6</x:v>
      </x:c>
      <x:c r="C15" s="1"/>
      <x:c r="D15" s="7" t="str">
        <x:f>Lists!B5</x:f>
        <x:v>DPF 불량</x:v>
      </x:c>
      <x:c r="E15" s="8" t="n">
        <x:f>SUMIF(Raw_Data!$E$2:$E$1000,D15,Raw_Data!$D$2:$D$1000)</x:f>
        <x:v>0</x:v>
      </x:c>
      <x:c r="F15" s="1"/>
      <x:c r="G15" s="7" t="str">
        <x:f>Lists!C5</x:f>
        <x:v>18~24개월</x:v>
      </x:c>
      <x:c r="H15" s="8" t="n">
        <x:f>SUMIF(Raw_Data!$F$2:$F$1000,G15,Raw_Data!$D$2:$D$1000)</x:f>
        <x:v>5</x:v>
      </x:c>
      <x:c r="I15" s="1"/>
      <x:c r="J15" s="7" t="str">
        <x:f>Lists!D5</x:f>
        <x:v>~4만</x:v>
      </x:c>
      <x:c r="K15" s="8" t="n">
        <x:f>SUMIF(Raw_Data!$G$2:$G$1000,J15,Raw_Data!$D$2:$D$1000)</x:f>
        <x:v>4</x:v>
      </x:c>
      <x:c r="L15" s="1"/>
      <x:c r="M15" s="7" t="str">
        <x:f>Lists!E5</x:f>
        <x:v>브라질</x:v>
      </x:c>
      <x:c r="N15" s="8" t="n">
        <x:f>SUMIF(Raw_Data!$H$2:$H$1000,M15,Raw_Data!$D$2:$D$1000)</x:f>
        <x:v>4</x:v>
      </x:c>
    </x:row>
    <x:row r="16">
      <x:c r="A16" s="7" t="str">
        <x:f>Lists!A6</x:f>
        <x:v>2026-05</x:v>
      </x:c>
      <x:c r="B16" s="8" t="n">
        <x:f>SUMIF(Raw_Data!$A$2:$A$1000,A16,Raw_Data!$D$2:$D$1000)</x:f>
        <x:v>8</x:v>
      </x:c>
      <x:c r="C16" s="1"/>
      <x:c r="D16" s="7" t="str">
        <x:f>Lists!B6</x:f>
        <x:v>오일유입</x:v>
      </x:c>
      <x:c r="E16" s="8" t="n">
        <x:f>SUMIF(Raw_Data!$E$2:$E$1000,D16,Raw_Data!$D$2:$D$1000)</x:f>
        <x:v>0</x:v>
      </x:c>
      <x:c r="F16" s="1"/>
      <x:c r="G16" s="7" t="str">
        <x:f>Lists!C6</x:f>
        <x:v>24~30개월</x:v>
      </x:c>
      <x:c r="H16" s="8" t="n">
        <x:f>SUMIF(Raw_Data!$F$2:$F$1000,G16,Raw_Data!$D$2:$D$1000)</x:f>
        <x:v>10</x:v>
      </x:c>
      <x:c r="I16" s="1"/>
      <x:c r="J16" s="7" t="str">
        <x:f>Lists!D6</x:f>
        <x:v>~5만</x:v>
      </x:c>
      <x:c r="K16" s="8" t="n">
        <x:f>SUMIF(Raw_Data!$G$2:$G$1000,J16,Raw_Data!$D$2:$D$1000)</x:f>
        <x:v>8</x:v>
      </x:c>
      <x:c r="L16" s="1"/>
      <x:c r="M16" s="7" t="str">
        <x:f>Lists!E6</x:f>
        <x:v>팔레스타인</x:v>
      </x:c>
      <x:c r="N16" s="8" t="n">
        <x:f>SUMIF(Raw_Data!$H$2:$H$1000,M16,Raw_Data!$D$2:$D$1000)</x:f>
        <x:v>1</x:v>
      </x:c>
    </x:row>
    <x:row r="17">
      <x:c r="A17" s="7" t="str">
        <x:f>Lists!A7</x:f>
        <x:v>2026-06</x:v>
      </x:c>
      <x:c r="B17" s="8" t="n">
        <x:f>SUMIF(Raw_Data!$A$2:$A$1000,A17,Raw_Data!$D$2:$D$1000)</x:f>
        <x:v>4</x:v>
      </x:c>
      <x:c r="C17" s="1"/>
      <x:c r="D17" s="7" t="str">
        <x:f>Lists!B7</x:f>
        <x:v>소음</x:v>
      </x:c>
      <x:c r="E17" s="8" t="n">
        <x:f>SUMIF(Raw_Data!$E$2:$E$1000,D17,Raw_Data!$D$2:$D$1000)</x:f>
        <x:v>10</x:v>
      </x:c>
      <x:c r="F17" s="1"/>
      <x:c r="G17" s="7" t="str">
        <x:f>Lists!C7</x:f>
        <x:v>30~36개월</x:v>
      </x:c>
      <x:c r="H17" s="8" t="n">
        <x:f>SUMIF(Raw_Data!$F$2:$F$1000,G17,Raw_Data!$D$2:$D$1000)</x:f>
        <x:v>4</x:v>
      </x:c>
      <x:c r="I17" s="1"/>
      <x:c r="J17" s="7" t="str">
        <x:f>Lists!D7</x:f>
        <x:v>~6만</x:v>
      </x:c>
      <x:c r="K17" s="8" t="n">
        <x:f>SUMIF(Raw_Data!$G$2:$G$1000,J17,Raw_Data!$D$2:$D$1000)</x:f>
        <x:v>4</x:v>
      </x:c>
      <x:c r="L17" s="1"/>
      <x:c r="M17" s="1"/>
      <x:c r="N17" s="1"/>
    </x:row>
    <x:row r="18">
      <x:c r="A18" s="7" t="str">
        <x:f>Lists!A8</x:f>
        <x:v>2026-07</x:v>
      </x:c>
      <x:c r="B18" s="8" t="n">
        <x:f>SUMIF(Raw_Data!$A$2:$A$1000,A18,Raw_Data!$D$2:$D$1000)</x:f>
        <x:v>0</x:v>
      </x:c>
      <x:c r="C18" s="1"/>
      <x:c r="D18" s="7" t="str">
        <x:f>Lists!B8</x:f>
        <x:v>부식</x:v>
      </x:c>
      <x:c r="E18" s="8" t="n">
        <x:f>SUMIF(Raw_Data!$E$2:$E$1000,D18,Raw_Data!$D$2:$D$1000)</x:f>
        <x:v>1</x:v>
      </x:c>
      <x:c r="F18" s="1"/>
      <x:c r="G18" s="7" t="str">
        <x:f>Lists!C8</x:f>
        <x:v>36~42개월</x:v>
      </x:c>
      <x:c r="H18" s="8" t="n">
        <x:f>SUMIF(Raw_Data!$F$2:$F$1000,G18,Raw_Data!$D$2:$D$1000)</x:f>
        <x:v>2</x:v>
      </x:c>
      <x:c r="I18" s="1"/>
      <x:c r="J18" s="7" t="str">
        <x:f>Lists!D8</x:f>
        <x:v>~7만</x:v>
      </x:c>
      <x:c r="K18" s="8" t="n">
        <x:f>SUMIF(Raw_Data!$G$2:$G$1000,J18,Raw_Data!$D$2:$D$1000)</x:f>
        <x:v>2</x:v>
      </x:c>
      <x:c r="L18" s="1"/>
      <x:c r="M18" s="1"/>
      <x:c r="N18" s="1"/>
    </x:row>
    <x:row r="19">
      <x:c r="A19" s="7" t="str">
        <x:f>Lists!A9</x:f>
        <x:v>2026-08</x:v>
      </x:c>
      <x:c r="B19" s="8" t="n">
        <x:f>SUMIF(Raw_Data!$A$2:$A$1000,A19,Raw_Data!$D$2:$D$1000)</x:f>
        <x:v>0</x:v>
      </x:c>
      <x:c r="C19" s="1"/>
      <x:c r="D19" s="1"/>
      <x:c r="E19" s="1"/>
      <x:c r="F19" s="1"/>
      <x:c r="G19" s="7" t="str">
        <x:f>Lists!C9</x:f>
        <x:v>42~48개월</x:v>
      </x:c>
      <x:c r="H19" s="8" t="n">
        <x:f>SUMIF(Raw_Data!$F$2:$F$1000,G19,Raw_Data!$D$2:$D$1000)</x:f>
        <x:v>1</x:v>
      </x:c>
      <x:c r="I19" s="1"/>
      <x:c r="J19" s="7" t="str">
        <x:f>Lists!D9</x:f>
        <x:v>~8만</x:v>
      </x:c>
      <x:c r="K19" s="8" t="n">
        <x:f>SUMIF(Raw_Data!$G$2:$G$1000,J19,Raw_Data!$D$2:$D$1000)</x:f>
        <x:v>1</x:v>
      </x:c>
      <x:c r="L19" s="1"/>
      <x:c r="M19" s="1"/>
      <x:c r="N19" s="1"/>
    </x:row>
    <x:row r="20">
      <x:c r="A20" s="7" t="str">
        <x:f>Lists!A10</x:f>
        <x:v>2026-09</x:v>
      </x:c>
      <x:c r="B20" s="8" t="n">
        <x:f>SUMIF(Raw_Data!$A$2:$A$1000,A20,Raw_Data!$D$2:$D$1000)</x:f>
        <x:v>0</x:v>
      </x:c>
      <x:c r="C20" s="1"/>
      <x:c r="D20" s="1"/>
      <x:c r="E20" s="1"/>
      <x:c r="F20" s="1"/>
      <x:c r="G20" s="7" t="str">
        <x:f>Lists!C10</x:f>
        <x:v>48~54개월</x:v>
      </x:c>
      <x:c r="H20" s="8" t="n">
        <x:f>SUMIF(Raw_Data!$F$2:$F$1000,G20,Raw_Data!$D$2:$D$1000)</x:f>
        <x:v>0</x:v>
      </x:c>
      <x:c r="I20" s="1"/>
      <x:c r="J20" s="7" t="str">
        <x:f>Lists!D10</x:f>
        <x:v>~9만</x:v>
      </x:c>
      <x:c r="K20" s="8" t="n">
        <x:f>SUMIF(Raw_Data!$G$2:$G$1000,J20,Raw_Data!$D$2:$D$1000)</x:f>
        <x:v>0</x:v>
      </x:c>
      <x:c r="L20" s="1"/>
      <x:c r="M20" s="1"/>
      <x:c r="N20" s="1"/>
    </x:row>
    <x:row r="21">
      <x:c r="A21" s="7" t="str">
        <x:f>Lists!A11</x:f>
        <x:v>2026-10</x:v>
      </x:c>
      <x:c r="B21" s="8" t="n">
        <x:f>SUMIF(Raw_Data!$A$2:$A$1000,A21,Raw_Data!$D$2:$D$1000)</x:f>
        <x:v>0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7" t="str">
        <x:f>Lists!A12</x:f>
        <x:v>2026-11</x:v>
      </x:c>
      <x:c r="B22" s="8" t="n">
        <x:f>SUMIF(Raw_Data!$A$2:$A$1000,A22,Raw_Data!$D$2:$D$1000)</x:f>
        <x:v>0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7" t="str">
        <x:f>Lists!A13</x:f>
        <x:v>2026-12</x:v>
      </x:c>
      <x:c r="B23" s="8" t="n">
        <x:f>SUMIF(Raw_Data!$A$2:$A$1000,A23,Raw_Data!$D$2:$D$1000)</x:f>
        <x:v>0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</x:sheetData>
  <x:mergeCells>
    <x:mergeCell ref="A1:N1"/>
    <x:mergeCell ref="A2:N2"/>
    <x:mergeCell ref="A10:B10"/>
    <x:mergeCell ref="D10:E10"/>
    <x:mergeCell ref="G10:H10"/>
    <x:mergeCell ref="J10:K10"/>
    <x:mergeCell ref="M10:N10"/>
  </x:mergeCells>
  <x:pageMargins left="0.7" right="0.7" top="0.75" bottom="0.75" header="0.3" footer="0.3"/>
  <x:drawing xmlns:r="http://schemas.openxmlformats.org/officeDocument/2006/relationships" r:id="Rf57302585a814ffd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4" hidden="0" customWidth="1"/>
    <x:col min="4" max="4" width="12" hidden="0" customWidth="1"/>
    <x:col min="5" max="5" width="18" hidden="0" customWidth="1"/>
    <x:col min="6" max="6" width="15" hidden="0" customWidth="1"/>
    <x:col min="7" max="7" width="15" hidden="0" customWidth="1"/>
    <x:col min="8" max="8" width="14" hidden="0" customWidth="1"/>
  </x:cols>
  <x:sheetData>
    <x:row r="1">
      <x:c r="A1" s="6" t="str">
        <x:v>월</x:v>
      </x:c>
      <x:c r="B1" s="6" t="str">
        <x:v>차종</x:v>
      </x:c>
      <x:c r="C1" s="6" t="str">
        <x:v>부품명</x:v>
      </x:c>
      <x:c r="D1" s="6" t="str">
        <x:v>클레임건수</x:v>
      </x:c>
      <x:c r="E1" s="6" t="str">
        <x:v>현상</x:v>
      </x:c>
      <x:c r="F1" s="6" t="str">
        <x:v>사용기간구간</x:v>
      </x:c>
      <x:c r="G1" s="6" t="str">
        <x:v>주행거리구간</x:v>
      </x:c>
      <x:c r="H1" s="6" t="str">
        <x:v>국가</x:v>
      </x:c>
    </x:row>
    <x:row r="2">
      <x:c r="A2" s="7" t="str">
        <x:v>2026-01</x:v>
      </x:c>
      <x:c r="B2" s="7" t="str">
        <x:v>MQ4 20 HEV</x:v>
      </x:c>
      <x:c r="C2" s="7" t="str">
        <x:v>GASKET</x:v>
      </x:c>
      <x:c r="D2" s="8" t="n">
        <x:v>1</x:v>
      </x:c>
      <x:c r="E2" s="7" t="str">
        <x:v>누수</x:v>
      </x:c>
      <x:c r="F2" s="7" t="str">
        <x:v>~6개월</x:v>
      </x:c>
      <x:c r="G2" s="7" t="str">
        <x:v>~1만</x:v>
      </x:c>
      <x:c r="H2" s="7" t="str">
        <x:v>한국</x:v>
      </x:c>
    </x:row>
    <x:row r="3">
      <x:c r="A3" s="7" t="str">
        <x:v>2026-01</x:v>
      </x:c>
      <x:c r="B3" s="7" t="str">
        <x:v>KA4</x:v>
      </x:c>
      <x:c r="C3" s="7" t="str">
        <x:v>SDPF</x:v>
      </x:c>
      <x:c r="D3" s="8" t="n">
        <x:v>4</x:v>
      </x:c>
      <x:c r="E3" s="7" t="str">
        <x:v>경고등 점등</x:v>
      </x:c>
      <x:c r="F3" s="7" t="str">
        <x:v>12~18개월</x:v>
      </x:c>
      <x:c r="G3" s="7" t="str">
        <x:v>~2만</x:v>
      </x:c>
      <x:c r="H3" s="7" t="str">
        <x:v>한국</x:v>
      </x:c>
    </x:row>
    <x:row r="4">
      <x:c r="A4" s="7" t="str">
        <x:v>2026-02</x:v>
      </x:c>
      <x:c r="B4" s="7" t="str">
        <x:v>MQ4 20</x:v>
      </x:c>
      <x:c r="C4" s="7" t="str">
        <x:v>MUFFLER ASSY-CTR</x:v>
      </x:c>
      <x:c r="D4" s="8" t="n">
        <x:v>3</x:v>
      </x:c>
      <x:c r="E4" s="7" t="str">
        <x:v>소음</x:v>
      </x:c>
      <x:c r="F4" s="7" t="str">
        <x:v>18~24개월</x:v>
      </x:c>
      <x:c r="G4" s="7" t="str">
        <x:v>~3만</x:v>
      </x:c>
      <x:c r="H4" s="7" t="str">
        <x:v>터키</x:v>
      </x:c>
    </x:row>
    <x:row r="5">
      <x:c r="A5" s="7" t="str">
        <x:v>2026-02</x:v>
      </x:c>
      <x:c r="B5" s="7" t="str">
        <x:v>JA 17</x:v>
      </x:c>
      <x:c r="C5" s="7" t="str">
        <x:v>MUFFLER ASSY-RR</x:v>
      </x:c>
      <x:c r="D5" s="8" t="n">
        <x:v>2</x:v>
      </x:c>
      <x:c r="E5" s="7" t="str">
        <x:v>출력부족</x:v>
      </x:c>
      <x:c r="F5" s="7" t="str">
        <x:v>24~30개월</x:v>
      </x:c>
      <x:c r="G5" s="7" t="str">
        <x:v>~4만</x:v>
      </x:c>
      <x:c r="H5" s="7" t="str">
        <x:v>한국</x:v>
      </x:c>
    </x:row>
    <x:row r="6">
      <x:c r="A6" s="7" t="str">
        <x:v>2026-03</x:v>
      </x:c>
      <x:c r="B6" s="7" t="str">
        <x:v>MQ4 20 HEV</x:v>
      </x:c>
      <x:c r="C6" s="7" t="str">
        <x:v>GASKET</x:v>
      </x:c>
      <x:c r="D6" s="8" t="n">
        <x:v>2</x:v>
      </x:c>
      <x:c r="E6" s="7" t="str">
        <x:v>누수</x:v>
      </x:c>
      <x:c r="F6" s="7" t="str">
        <x:v>6~12개월</x:v>
      </x:c>
      <x:c r="G6" s="7" t="str">
        <x:v>~2만</x:v>
      </x:c>
      <x:c r="H6" s="7" t="str">
        <x:v>대만</x:v>
      </x:c>
    </x:row>
    <x:row r="7">
      <x:c r="A7" s="7" t="str">
        <x:v>2026-03</x:v>
      </x:c>
      <x:c r="B7" s="7" t="str">
        <x:v>KA4</x:v>
      </x:c>
      <x:c r="C7" s="7" t="str">
        <x:v>SDPF</x:v>
      </x:c>
      <x:c r="D7" s="8" t="n">
        <x:v>5</x:v>
      </x:c>
      <x:c r="E7" s="7" t="str">
        <x:v>경고등 점등</x:v>
      </x:c>
      <x:c r="F7" s="7" t="str">
        <x:v>24~30개월</x:v>
      </x:c>
      <x:c r="G7" s="7" t="str">
        <x:v>~5만</x:v>
      </x:c>
      <x:c r="H7" s="7" t="str">
        <x:v>한국</x:v>
      </x:c>
    </x:row>
    <x:row r="8">
      <x:c r="A8" s="7" t="str">
        <x:v>2026-04</x:v>
      </x:c>
      <x:c r="B8" s="7" t="str">
        <x:v>MQ4 20</x:v>
      </x:c>
      <x:c r="C8" s="7" t="str">
        <x:v>MUFFLER ASSY-CTR</x:v>
      </x:c>
      <x:c r="D8" s="8" t="n">
        <x:v>4</x:v>
      </x:c>
      <x:c r="E8" s="7" t="str">
        <x:v>소음</x:v>
      </x:c>
      <x:c r="F8" s="7" t="str">
        <x:v>30~36개월</x:v>
      </x:c>
      <x:c r="G8" s="7" t="str">
        <x:v>~6만</x:v>
      </x:c>
      <x:c r="H8" s="7" t="str">
        <x:v>브라질</x:v>
      </x:c>
    </x:row>
    <x:row r="9">
      <x:c r="A9" s="7" t="str">
        <x:v>2026-04</x:v>
      </x:c>
      <x:c r="B9" s="7" t="str">
        <x:v>JA 17</x:v>
      </x:c>
      <x:c r="C9" s="7" t="str">
        <x:v>MUFFLER ASSY-FR</x:v>
      </x:c>
      <x:c r="D9" s="8" t="n">
        <x:v>2</x:v>
      </x:c>
      <x:c r="E9" s="7" t="str">
        <x:v>출력부족</x:v>
      </x:c>
      <x:c r="F9" s="7" t="str">
        <x:v>36~42개월</x:v>
      </x:c>
      <x:c r="G9" s="7" t="str">
        <x:v>~7만</x:v>
      </x:c>
      <x:c r="H9" s="7" t="str">
        <x:v>한국</x:v>
      </x:c>
    </x:row>
    <x:row r="10">
      <x:c r="A10" s="7" t="str">
        <x:v>2026-05</x:v>
      </x:c>
      <x:c r="B10" s="7" t="str">
        <x:v>KA4</x:v>
      </x:c>
      <x:c r="C10" s="7" t="str">
        <x:v>SDPF</x:v>
      </x:c>
      <x:c r="D10" s="8" t="n">
        <x:v>6</x:v>
      </x:c>
      <x:c r="E10" s="7" t="str">
        <x:v>경고등 점등</x:v>
      </x:c>
      <x:c r="F10" s="7" t="str">
        <x:v>12~18개월</x:v>
      </x:c>
      <x:c r="G10" s="7" t="str">
        <x:v>~3만</x:v>
      </x:c>
      <x:c r="H10" s="7" t="str">
        <x:v>한국</x:v>
      </x:c>
    </x:row>
    <x:row r="11">
      <x:c r="A11" s="7" t="str">
        <x:v>2026-05</x:v>
      </x:c>
      <x:c r="B11" s="7" t="str">
        <x:v>MQ4 20 HEV</x:v>
      </x:c>
      <x:c r="C11" s="7" t="str">
        <x:v>GASKET</x:v>
      </x:c>
      <x:c r="D11" s="8" t="n">
        <x:v>2</x:v>
      </x:c>
      <x:c r="E11" s="7" t="str">
        <x:v>누수</x:v>
      </x:c>
      <x:c r="F11" s="7" t="str">
        <x:v>18~24개월</x:v>
      </x:c>
      <x:c r="G11" s="7" t="str">
        <x:v>~4만</x:v>
      </x:c>
      <x:c r="H11" s="7" t="str">
        <x:v>터키</x:v>
      </x:c>
    </x:row>
    <x:row r="12">
      <x:c r="A12" s="7" t="str">
        <x:v>2026-06</x:v>
      </x:c>
      <x:c r="B12" s="7" t="str">
        <x:v>MQ4 20</x:v>
      </x:c>
      <x:c r="C12" s="7" t="str">
        <x:v>MUFFLER ASSY-CTR</x:v>
      </x:c>
      <x:c r="D12" s="8" t="n">
        <x:v>3</x:v>
      </x:c>
      <x:c r="E12" s="7" t="str">
        <x:v>소음</x:v>
      </x:c>
      <x:c r="F12" s="7" t="str">
        <x:v>24~30개월</x:v>
      </x:c>
      <x:c r="G12" s="7" t="str">
        <x:v>~5만</x:v>
      </x:c>
      <x:c r="H12" s="7" t="str">
        <x:v>한국</x:v>
      </x:c>
    </x:row>
    <x:row r="13">
      <x:c r="A13" s="7" t="str">
        <x:v>2026-06</x:v>
      </x:c>
      <x:c r="B13" s="7" t="str">
        <x:v>JA 17</x:v>
      </x:c>
      <x:c r="C13" s="7" t="str">
        <x:v>MUFFLER ASSY-RR</x:v>
      </x:c>
      <x:c r="D13" s="8" t="n">
        <x:v>1</x:v>
      </x:c>
      <x:c r="E13" s="7" t="str">
        <x:v>부식</x:v>
      </x:c>
      <x:c r="F13" s="7" t="str">
        <x:v>42~48개월</x:v>
      </x:c>
      <x:c r="G13" s="7" t="str">
        <x:v>~8만</x:v>
      </x:c>
      <x:c r="H13" s="7" t="str">
        <x:v>팔레스타인</x:v>
      </x:c>
    </x:row>
  </x:sheetData>
  <x:pageMargins left="0.7" right="0.7" top="0.75" bottom="0.75" header="0.3" footer="0.3"/>
  <x:tableParts count="1">
    <x:tablePart xmlns:r="http://schemas.openxmlformats.org/officeDocument/2006/relationships" r:id="R67dbfc4d35124e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0" t="str">
        <x:v>월</x:v>
      </x:c>
      <x:c r="B1" s="10" t="str">
        <x:v>현상</x:v>
      </x:c>
      <x:c r="C1" s="10" t="str">
        <x:v>사용기간구간</x:v>
      </x:c>
      <x:c r="D1" s="10" t="str">
        <x:v>주행거리구간</x:v>
      </x:c>
      <x:c r="E1" s="10" t="str">
        <x:v>국가</x:v>
      </x:c>
      <x:c r="F1" s="10" t="str">
        <x:v>차종</x:v>
      </x:c>
    </x:row>
    <x:row r="2">
      <x:c r="A2" t="str">
        <x:v>2026-01</x:v>
      </x:c>
      <x:c r="B2" t="str">
        <x:v>경고등 점등</x:v>
      </x:c>
      <x:c r="C2" t="str">
        <x:v>~6개월</x:v>
      </x:c>
      <x:c r="D2" t="str">
        <x:v>~1만</x:v>
      </x:c>
      <x:c r="E2" t="str">
        <x:v>한국</x:v>
      </x:c>
      <x:c r="F2" t="str">
        <x:v>MQ4 20 HEV</x:v>
      </x:c>
    </x:row>
    <x:row r="3">
      <x:c r="A3" t="str">
        <x:v>2026-02</x:v>
      </x:c>
      <x:c r="B3" t="str">
        <x:v>매연과다</x:v>
      </x:c>
      <x:c r="C3" t="str">
        <x:v>6~12개월</x:v>
      </x:c>
      <x:c r="D3" t="str">
        <x:v>~2만</x:v>
      </x:c>
      <x:c r="E3" t="str">
        <x:v>터키</x:v>
      </x:c>
      <x:c r="F3" t="str">
        <x:v>KA4</x:v>
      </x:c>
    </x:row>
    <x:row r="4">
      <x:c r="A4" t="str">
        <x:v>2026-03</x:v>
      </x:c>
      <x:c r="B4" t="str">
        <x:v>출력부족</x:v>
      </x:c>
      <x:c r="C4" t="str">
        <x:v>12~18개월</x:v>
      </x:c>
      <x:c r="D4" t="str">
        <x:v>~3만</x:v>
      </x:c>
      <x:c r="E4" t="str">
        <x:v>대만</x:v>
      </x:c>
      <x:c r="F4" t="str">
        <x:v>MQ4 20</x:v>
      </x:c>
    </x:row>
    <x:row r="5">
      <x:c r="A5" t="str">
        <x:v>2026-04</x:v>
      </x:c>
      <x:c r="B5" t="str">
        <x:v>DPF 불량</x:v>
      </x:c>
      <x:c r="C5" t="str">
        <x:v>18~24개월</x:v>
      </x:c>
      <x:c r="D5" t="str">
        <x:v>~4만</x:v>
      </x:c>
      <x:c r="E5" t="str">
        <x:v>브라질</x:v>
      </x:c>
      <x:c r="F5" t="str">
        <x:v>JA 17</x:v>
      </x:c>
    </x:row>
    <x:row r="6">
      <x:c r="A6" t="str">
        <x:v>2026-05</x:v>
      </x:c>
      <x:c r="B6" t="str">
        <x:v>오일유입</x:v>
      </x:c>
      <x:c r="C6" t="str">
        <x:v>24~30개월</x:v>
      </x:c>
      <x:c r="D6" t="str">
        <x:v>~5만</x:v>
      </x:c>
      <x:c r="E6" t="str">
        <x:v>팔레스타인</x:v>
      </x:c>
      <x:c r="F6" t="str">
        <x:v>기타</x:v>
      </x:c>
    </x:row>
    <x:row r="7">
      <x:c r="A7" t="str">
        <x:v>2026-06</x:v>
      </x:c>
      <x:c r="B7" t="str">
        <x:v>소음</x:v>
      </x:c>
      <x:c r="C7" t="str">
        <x:v>30~36개월</x:v>
      </x:c>
      <x:c r="D7" t="str">
        <x:v>~6만</x:v>
      </x:c>
    </x:row>
    <x:row r="8">
      <x:c r="A8" t="str">
        <x:v>2026-07</x:v>
      </x:c>
      <x:c r="B8" t="str">
        <x:v>부식</x:v>
      </x:c>
      <x:c r="C8" t="str">
        <x:v>36~42개월</x:v>
      </x:c>
      <x:c r="D8" t="str">
        <x:v>~7만</x:v>
      </x:c>
    </x:row>
    <x:row r="9">
      <x:c r="A9" t="str">
        <x:v>2026-08</x:v>
      </x:c>
      <x:c r="C9" t="str">
        <x:v>42~48개월</x:v>
      </x:c>
      <x:c r="D9" t="str">
        <x:v>~8만</x:v>
      </x:c>
    </x:row>
    <x:row r="10">
      <x:c r="A10" t="str">
        <x:v>2026-09</x:v>
      </x:c>
      <x:c r="C10" t="str">
        <x:v>48~54개월</x:v>
      </x:c>
      <x:c r="D10" t="str">
        <x:v>~9만</x:v>
      </x:c>
    </x:row>
    <x:row r="11">
      <x:c r="A11" t="str">
        <x:v>2026-10</x:v>
      </x:c>
    </x:row>
    <x:row r="12">
      <x:c r="A12" t="str">
        <x:v>2026-11</x:v>
      </x:c>
    </x:row>
    <x:row r="13">
      <x:c r="A13" t="str">
        <x:v>2026-12</x:v>
      </x:c>
    </x:row>
  </x:sheetData>
  <x:pageMargins left="0.7" right="0.7" top="0.75" bottom="0.75" header="0.3" footer="0.3"/>
</x:worksheet>
</file>