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esktop\월별 클레임 아이템 증감비교\2026년\"/>
    </mc:Choice>
  </mc:AlternateContent>
  <xr:revisionPtr revIDLastSave="0" documentId="13_ncr:1_{F2E62018-2BA8-4B7A-B498-299BA13C02CB}" xr6:coauthVersionLast="47" xr6:coauthVersionMax="47" xr10:uidLastSave="{00000000-0000-0000-0000-000000000000}"/>
  <bookViews>
    <workbookView xWindow="-120" yWindow="-120" windowWidth="77040" windowHeight="21120" activeTab="2" xr2:uid="{00000000-000D-0000-FFFF-FFFF00000000}"/>
  </bookViews>
  <sheets>
    <sheet name="Sheet2" sheetId="43" r:id="rId1"/>
    <sheet name="Sheet1" sheetId="44" r:id="rId2"/>
    <sheet name="현대기아HMB(REV1)" sheetId="39" r:id="rId3"/>
  </sheets>
  <definedNames>
    <definedName name="_xlnm._FilterDatabase" localSheetId="0" hidden="1">Sheet2!$A$23:$E$54</definedName>
    <definedName name="_xlnm._FilterDatabase" localSheetId="2" hidden="1">'현대기아HMB(REV1)'!$A$1:$AW$111</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8" i="43" l="1"/>
  <c r="E45" i="43"/>
  <c r="E29" i="43"/>
  <c r="E35" i="43"/>
  <c r="E31" i="43"/>
  <c r="E38" i="43"/>
  <c r="E36" i="43"/>
  <c r="E51" i="43"/>
  <c r="E37" i="43"/>
  <c r="E41" i="43"/>
  <c r="E33" i="43"/>
  <c r="E27" i="43"/>
  <c r="E42" i="43"/>
  <c r="E40" i="43"/>
  <c r="E32" i="43"/>
  <c r="E25" i="43"/>
  <c r="E24" i="43"/>
  <c r="E39" i="43"/>
  <c r="E49" i="43"/>
  <c r="E30" i="43"/>
  <c r="E26" i="43"/>
  <c r="E34" i="43"/>
  <c r="E44" i="43"/>
  <c r="E47" i="43"/>
  <c r="E43" i="43"/>
  <c r="E52" i="43"/>
  <c r="E50" i="43"/>
  <c r="E54" i="43"/>
  <c r="E53" i="43"/>
  <c r="E46" i="43"/>
  <c r="E48" i="43"/>
  <c r="E15" i="43"/>
  <c r="E7" i="43"/>
  <c r="E8" i="43"/>
  <c r="E11" i="43"/>
  <c r="E17" i="43"/>
  <c r="E10" i="43"/>
  <c r="E5" i="43"/>
  <c r="E9" i="43"/>
  <c r="E3" i="43"/>
  <c r="E4" i="43"/>
  <c r="E14" i="43"/>
  <c r="E16" i="43"/>
  <c r="E13" i="43"/>
  <c r="E2" i="43"/>
  <c r="E12" i="43"/>
  <c r="E6" i="43"/>
</calcChain>
</file>

<file path=xl/sharedStrings.xml><?xml version="1.0" encoding="utf-8"?>
<sst xmlns="http://schemas.openxmlformats.org/spreadsheetml/2006/main" count="7518" uniqueCount="1574">
  <si>
    <t>법인</t>
  </si>
  <si>
    <t>발생구분</t>
  </si>
  <si>
    <t>통보서</t>
  </si>
  <si>
    <t>H/K</t>
  </si>
  <si>
    <t>업체</t>
  </si>
  <si>
    <t>SEQ</t>
  </si>
  <si>
    <t>RO년월</t>
  </si>
  <si>
    <t>R/O번호</t>
  </si>
  <si>
    <t>VIN</t>
  </si>
  <si>
    <t>C/TYPE</t>
  </si>
  <si>
    <t>차종</t>
  </si>
  <si>
    <t>원인부품</t>
  </si>
  <si>
    <t>원인품명</t>
  </si>
  <si>
    <t>캠페인Issue</t>
  </si>
  <si>
    <t>캠페인 명</t>
  </si>
  <si>
    <t>주작업코드</t>
  </si>
  <si>
    <t>원인</t>
  </si>
  <si>
    <t>현상</t>
  </si>
  <si>
    <t>생산일자</t>
  </si>
  <si>
    <t>수리일자</t>
  </si>
  <si>
    <t>판매일자</t>
  </si>
  <si>
    <t>사용개월</t>
  </si>
  <si>
    <t>주행거리</t>
  </si>
  <si>
    <t>PWA</t>
  </si>
  <si>
    <t>납입률</t>
  </si>
  <si>
    <t>분담률</t>
  </si>
  <si>
    <t>적용률</t>
  </si>
  <si>
    <t>부품비</t>
  </si>
  <si>
    <t>공임비</t>
  </si>
  <si>
    <t>외주비</t>
  </si>
  <si>
    <t>기아</t>
  </si>
  <si>
    <t>D</t>
  </si>
  <si>
    <t>K</t>
  </si>
  <si>
    <t>R151</t>
  </si>
  <si>
    <t>W</t>
  </si>
  <si>
    <t xml:space="preserve">            </t>
  </si>
  <si>
    <t>경고등 점등</t>
  </si>
  <si>
    <t>WCC</t>
  </si>
  <si>
    <t>J5</t>
  </si>
  <si>
    <t>CONVERTER ASSY-W/UP CATALYTIC</t>
  </si>
  <si>
    <t>I3T</t>
  </si>
  <si>
    <t>CK 17</t>
  </si>
  <si>
    <t>HD</t>
  </si>
  <si>
    <t>MUFFLER COMPLETE-CTR</t>
  </si>
  <si>
    <t>봉고3 1톤/1.4톤</t>
  </si>
  <si>
    <t>작동불량</t>
  </si>
  <si>
    <t>MUFFLER ASSY-CTR</t>
  </si>
  <si>
    <t>28650R00</t>
  </si>
  <si>
    <t>MUFFLER ASSY-FR</t>
  </si>
  <si>
    <t>소음</t>
  </si>
  <si>
    <t>HS</t>
  </si>
  <si>
    <t>28610R00</t>
  </si>
  <si>
    <t>KA4 (YP 카니발 후속) 20</t>
  </si>
  <si>
    <t>MUFFLER ASSY-RR</t>
  </si>
  <si>
    <t>E</t>
  </si>
  <si>
    <t>D9</t>
  </si>
  <si>
    <t xml:space="preserve">          </t>
  </si>
  <si>
    <t>스포티지(후속) 16</t>
  </si>
  <si>
    <t>B28</t>
  </si>
  <si>
    <t>U.S.A</t>
  </si>
  <si>
    <t>G6</t>
  </si>
  <si>
    <t>ZZ2</t>
  </si>
  <si>
    <t>JA 17</t>
  </si>
  <si>
    <t>파손</t>
  </si>
  <si>
    <t>ZZ3</t>
  </si>
  <si>
    <t>단품불량</t>
  </si>
  <si>
    <t>C21</t>
  </si>
  <si>
    <t>UK</t>
  </si>
  <si>
    <t>28530R1A</t>
  </si>
  <si>
    <t>285302C910</t>
  </si>
  <si>
    <t>Q55</t>
  </si>
  <si>
    <t>ZZ4</t>
  </si>
  <si>
    <t>재질불량</t>
  </si>
  <si>
    <t>28700R00</t>
  </si>
  <si>
    <t>Q51</t>
  </si>
  <si>
    <t>B06</t>
  </si>
  <si>
    <t>CANADA</t>
  </si>
  <si>
    <t>A02</t>
  </si>
  <si>
    <t>AUSTRALIA</t>
  </si>
  <si>
    <t>I11</t>
  </si>
  <si>
    <t>현대</t>
  </si>
  <si>
    <t>H</t>
  </si>
  <si>
    <t>G9</t>
  </si>
  <si>
    <t>28530RQ0</t>
  </si>
  <si>
    <t>CONVERTER ASSY-W/UP CAT,RH</t>
  </si>
  <si>
    <t>엔진 출력부족</t>
  </si>
  <si>
    <t>한국</t>
  </si>
  <si>
    <t>배기가스 문제</t>
  </si>
  <si>
    <t>MUFFLER COMPLETE-CHMBR &amp; CONV</t>
  </si>
  <si>
    <t>SDPF</t>
  </si>
  <si>
    <t>285303LVB0</t>
  </si>
  <si>
    <t>MANIFOLD CATALYTIC ASSY-EXH</t>
  </si>
  <si>
    <t>28511R1K</t>
  </si>
  <si>
    <t>A3</t>
  </si>
  <si>
    <t>ALL</t>
  </si>
  <si>
    <t>레이 11</t>
  </si>
  <si>
    <t>28530R1K</t>
  </si>
  <si>
    <t>2853004GJ1</t>
  </si>
  <si>
    <t>H8</t>
  </si>
  <si>
    <t>2851003GA1</t>
  </si>
  <si>
    <t>YB 17</t>
  </si>
  <si>
    <t>C17</t>
  </si>
  <si>
    <t>SPAIN</t>
  </si>
  <si>
    <t>2853004GG2</t>
  </si>
  <si>
    <t>C11</t>
  </si>
  <si>
    <t>ITALY</t>
  </si>
  <si>
    <t>변제합계</t>
    <phoneticPr fontId="5" type="noConversion"/>
  </si>
  <si>
    <t>차종명</t>
    <phoneticPr fontId="5" type="noConversion"/>
  </si>
  <si>
    <t>조립월</t>
    <phoneticPr fontId="5" type="noConversion"/>
  </si>
  <si>
    <t>원인코드</t>
    <phoneticPr fontId="5" type="noConversion"/>
  </si>
  <si>
    <t>현상코드</t>
    <phoneticPr fontId="5" type="noConversion"/>
  </si>
  <si>
    <t>주행거리(만단위)</t>
    <phoneticPr fontId="5" type="noConversion"/>
  </si>
  <si>
    <t>주행거리(오천단위)</t>
    <phoneticPr fontId="5" type="noConversion"/>
  </si>
  <si>
    <t>사용기간(6단위)</t>
    <phoneticPr fontId="5" type="noConversion"/>
  </si>
  <si>
    <t>사용기간(3단위)</t>
    <phoneticPr fontId="5" type="noConversion"/>
  </si>
  <si>
    <t>국가명 코드</t>
    <phoneticPr fontId="5" type="noConversion"/>
  </si>
  <si>
    <t>국가명</t>
    <phoneticPr fontId="5" type="noConversion"/>
  </si>
  <si>
    <t>품명구분</t>
    <phoneticPr fontId="5" type="noConversion"/>
  </si>
  <si>
    <t>통보서월</t>
    <phoneticPr fontId="5" type="noConversion"/>
  </si>
  <si>
    <t>품명대구분</t>
    <phoneticPr fontId="5" type="noConversion"/>
  </si>
  <si>
    <t>컨버터 사양</t>
    <phoneticPr fontId="5" type="noConversion"/>
  </si>
  <si>
    <t>차종명2</t>
    <phoneticPr fontId="5" type="noConversion"/>
  </si>
  <si>
    <t>누기</t>
  </si>
  <si>
    <t>≥60</t>
  </si>
  <si>
    <t>ZZ5</t>
  </si>
  <si>
    <t>상품성 불만</t>
  </si>
  <si>
    <t>286004E560</t>
  </si>
  <si>
    <t>2021-12</t>
  </si>
  <si>
    <t>2022-04</t>
  </si>
  <si>
    <t>28530R00</t>
  </si>
  <si>
    <t>2022-05</t>
  </si>
  <si>
    <t>GZ</t>
  </si>
  <si>
    <t>I73</t>
  </si>
  <si>
    <t>MQ4 20</t>
  </si>
  <si>
    <t>0T</t>
  </si>
  <si>
    <t>SG2 (니로 후속) 21</t>
  </si>
  <si>
    <t>C06</t>
  </si>
  <si>
    <t>FRANCE</t>
  </si>
  <si>
    <t>2022-09</t>
  </si>
  <si>
    <t>2022-10</t>
  </si>
  <si>
    <t>2022-11</t>
  </si>
  <si>
    <t>≥100000</t>
  </si>
  <si>
    <t>28530R4A</t>
  </si>
  <si>
    <t>냉각수 문제</t>
  </si>
  <si>
    <t>W17</t>
  </si>
  <si>
    <t>W11</t>
  </si>
  <si>
    <t>IB</t>
  </si>
  <si>
    <t>CN7 고성능차 21</t>
  </si>
  <si>
    <t>L31</t>
  </si>
  <si>
    <t>2021-03</t>
  </si>
  <si>
    <t>WIA</t>
    <phoneticPr fontId="6" type="noConversion"/>
  </si>
  <si>
    <t>2023-05</t>
  </si>
  <si>
    <t>컨버터</t>
    <phoneticPr fontId="6" type="noConversion"/>
  </si>
  <si>
    <t>28601AT100</t>
  </si>
  <si>
    <t>MUFFLER COMPLETE-CTR &amp; SENSOR</t>
  </si>
  <si>
    <t>28620R00</t>
  </si>
  <si>
    <t>28607R0500</t>
  </si>
  <si>
    <t>28601AT600</t>
  </si>
  <si>
    <t>28607R00</t>
  </si>
  <si>
    <t>SLOANAZZ</t>
  </si>
  <si>
    <t>28607P2580</t>
  </si>
  <si>
    <t>2023-11</t>
  </si>
  <si>
    <t>2023-10</t>
  </si>
  <si>
    <t>쎄타</t>
    <phoneticPr fontId="6" type="noConversion"/>
  </si>
  <si>
    <t>머플러</t>
    <phoneticPr fontId="6" type="noConversion"/>
  </si>
  <si>
    <t>람다</t>
    <phoneticPr fontId="2" type="noConversion"/>
  </si>
  <si>
    <t>KA4 DPF</t>
    <phoneticPr fontId="6" type="noConversion"/>
  </si>
  <si>
    <t>287504E960</t>
  </si>
  <si>
    <t>MUFFLER ASSY-TAIL</t>
  </si>
  <si>
    <t>40700R00</t>
  </si>
  <si>
    <t>28607R0550</t>
  </si>
  <si>
    <t>D26</t>
  </si>
  <si>
    <t>TURKEY</t>
  </si>
  <si>
    <t>2024-01</t>
  </si>
  <si>
    <t>285302GLB0</t>
  </si>
  <si>
    <t>2022-02</t>
  </si>
  <si>
    <t>2024-03</t>
  </si>
  <si>
    <t>28950R00</t>
  </si>
  <si>
    <t>2023-02</t>
  </si>
  <si>
    <t>2023-08</t>
  </si>
  <si>
    <t>카파(KIA)</t>
    <phoneticPr fontId="2" type="noConversion"/>
  </si>
  <si>
    <t>외관 불량</t>
  </si>
  <si>
    <t>2021-10</t>
  </si>
  <si>
    <t>28950A00</t>
  </si>
  <si>
    <t>2023-03</t>
  </si>
  <si>
    <t>2022-12</t>
  </si>
  <si>
    <t>MQ4 DPF</t>
    <phoneticPr fontId="6" type="noConversion"/>
  </si>
  <si>
    <t>28530RZZ</t>
  </si>
  <si>
    <t>ZZ7</t>
  </si>
  <si>
    <t>조립불량,연결불량</t>
  </si>
  <si>
    <t>L33</t>
  </si>
  <si>
    <t>HC</t>
  </si>
  <si>
    <t>MQ4 20 HEV</t>
  </si>
  <si>
    <t>2024-06</t>
  </si>
  <si>
    <t>W13</t>
  </si>
  <si>
    <t>2021-04</t>
  </si>
  <si>
    <t>2024-02</t>
  </si>
  <si>
    <t>MUFFLER ASSY-MAIN</t>
  </si>
  <si>
    <t>2022-08</t>
  </si>
  <si>
    <t>I3</t>
  </si>
  <si>
    <t>코나(상품성개선) 고성능차 21</t>
  </si>
  <si>
    <t>2853007031</t>
  </si>
  <si>
    <t>C16</t>
  </si>
  <si>
    <t>PORTUGAL</t>
  </si>
  <si>
    <t>28950R1K</t>
  </si>
  <si>
    <t>D19</t>
  </si>
  <si>
    <t>TUNISIA</t>
  </si>
  <si>
    <t>2853008220</t>
  </si>
  <si>
    <t>28950R4K</t>
  </si>
  <si>
    <t>2853008250</t>
  </si>
  <si>
    <t>2020-11</t>
  </si>
  <si>
    <t>2021-09</t>
  </si>
  <si>
    <t>2021-01</t>
  </si>
  <si>
    <t>2024-08</t>
  </si>
  <si>
    <t>2024-07</t>
  </si>
  <si>
    <t>C07</t>
  </si>
  <si>
    <t>GERMANY</t>
  </si>
  <si>
    <t>떨림</t>
  </si>
  <si>
    <t>BU</t>
  </si>
  <si>
    <t>285302GXC0</t>
  </si>
  <si>
    <t>28530R3L</t>
  </si>
  <si>
    <t>2024-05</t>
  </si>
  <si>
    <t>2853008450</t>
  </si>
  <si>
    <t>2025-03</t>
  </si>
  <si>
    <t>203</t>
  </si>
  <si>
    <t>28600R00</t>
  </si>
  <si>
    <t>조립 불량</t>
  </si>
  <si>
    <t>287004E740</t>
  </si>
  <si>
    <t>E37</t>
  </si>
  <si>
    <t>SOUTH AFRICA</t>
  </si>
  <si>
    <t>2019-09</t>
  </si>
  <si>
    <t>MK0</t>
  </si>
  <si>
    <t>2853008460</t>
  </si>
  <si>
    <t>285302GSH0</t>
  </si>
  <si>
    <t>Q71</t>
  </si>
  <si>
    <t>B18</t>
  </si>
  <si>
    <t>HONDURAS</t>
  </si>
  <si>
    <t>285302GLA0</t>
  </si>
  <si>
    <t>2023-09</t>
  </si>
  <si>
    <t>2025/10/24</t>
  </si>
  <si>
    <t>2025/09/29</t>
  </si>
  <si>
    <t>Q72</t>
  </si>
  <si>
    <t>99NSTZ0T</t>
  </si>
  <si>
    <t>PU SDPF</t>
    <phoneticPr fontId="6" type="noConversion"/>
  </si>
  <si>
    <t>2022-07</t>
  </si>
  <si>
    <t>2023-12</t>
  </si>
  <si>
    <t>2024/05/31</t>
  </si>
  <si>
    <t>2021-06</t>
  </si>
  <si>
    <t>B23</t>
  </si>
  <si>
    <t>카파(WIA)</t>
    <phoneticPr fontId="6" type="noConversion"/>
  </si>
  <si>
    <t>2024-12</t>
  </si>
  <si>
    <t>냄새과다</t>
  </si>
  <si>
    <t>2024-04</t>
  </si>
  <si>
    <t>2019-10</t>
  </si>
  <si>
    <t>GX1</t>
  </si>
  <si>
    <t>H23</t>
  </si>
  <si>
    <t>99NGOZ0T</t>
  </si>
  <si>
    <t>B21</t>
  </si>
  <si>
    <t>2021-11</t>
  </si>
  <si>
    <t>2018-09</t>
  </si>
  <si>
    <t>2019-07</t>
  </si>
  <si>
    <t>1Y</t>
  </si>
  <si>
    <t>SX2(코나 후속) 하이브리드 23</t>
  </si>
  <si>
    <t>2023/02/16</t>
  </si>
  <si>
    <t>2025/04/02</t>
  </si>
  <si>
    <t>2021-07</t>
  </si>
  <si>
    <t>2025-06</t>
  </si>
  <si>
    <t>28650R0500</t>
  </si>
  <si>
    <t>Q75</t>
  </si>
  <si>
    <t>28710A3550</t>
  </si>
  <si>
    <t>2023-04</t>
  </si>
  <si>
    <t>2853008500</t>
  </si>
  <si>
    <t>DD1</t>
  </si>
  <si>
    <t>DJ</t>
  </si>
  <si>
    <t>BD 18</t>
  </si>
  <si>
    <t>28650P4670</t>
  </si>
  <si>
    <t>28650R1H</t>
  </si>
  <si>
    <t>2023/05/31</t>
  </si>
  <si>
    <t>2023/08/28</t>
  </si>
  <si>
    <t>20220919</t>
  </si>
  <si>
    <t>2020-07</t>
  </si>
  <si>
    <t>2026/01/19</t>
  </si>
  <si>
    <t>2025-01</t>
  </si>
  <si>
    <t>2026/01/26</t>
  </si>
  <si>
    <t>28607P2570</t>
  </si>
  <si>
    <t>2020-08</t>
  </si>
  <si>
    <t>DK0</t>
  </si>
  <si>
    <t>28710AT100</t>
  </si>
  <si>
    <t>28780L6000</t>
  </si>
  <si>
    <t>HANGER</t>
  </si>
  <si>
    <t>207</t>
  </si>
  <si>
    <t>I3A</t>
  </si>
  <si>
    <t>2026/01/05</t>
  </si>
  <si>
    <t>2026/01/02</t>
  </si>
  <si>
    <t>2024/12/30</t>
  </si>
  <si>
    <t>B22</t>
  </si>
  <si>
    <t>Q57</t>
  </si>
  <si>
    <t>UCC</t>
  </si>
  <si>
    <t>286004E850</t>
  </si>
  <si>
    <t>2853007035</t>
  </si>
  <si>
    <t>20211209</t>
  </si>
  <si>
    <t>20251218</t>
  </si>
  <si>
    <t>20220817</t>
  </si>
  <si>
    <t>년도</t>
    <phoneticPr fontId="5" type="noConversion"/>
  </si>
  <si>
    <t>분기</t>
    <phoneticPr fontId="5" type="noConversion"/>
  </si>
  <si>
    <t>2026/02</t>
  </si>
  <si>
    <t>285302C840</t>
  </si>
  <si>
    <t>2026/02/14</t>
  </si>
  <si>
    <t>2020/02/07</t>
  </si>
  <si>
    <t>2026년</t>
  </si>
  <si>
    <t>2026/02/09</t>
  </si>
  <si>
    <t>I14</t>
  </si>
  <si>
    <t>2026/02/24</t>
  </si>
  <si>
    <t>2023/03/11</t>
  </si>
  <si>
    <t>2026/02/23</t>
  </si>
  <si>
    <t>2026/02/13</t>
  </si>
  <si>
    <t>209</t>
  </si>
  <si>
    <t>2023/11/27</t>
  </si>
  <si>
    <t>28658R00</t>
  </si>
  <si>
    <t>V82</t>
  </si>
  <si>
    <t>ZZ1</t>
  </si>
  <si>
    <t>2025-09</t>
  </si>
  <si>
    <t>설계문제</t>
  </si>
  <si>
    <t>2022/07/08</t>
  </si>
  <si>
    <t>2023/10/30</t>
  </si>
  <si>
    <t>2026/01/12</t>
  </si>
  <si>
    <t>E81</t>
  </si>
  <si>
    <t>2018-03</t>
  </si>
  <si>
    <t>2019/01/08</t>
  </si>
  <si>
    <t>2019-01</t>
  </si>
  <si>
    <t>2020-03</t>
  </si>
  <si>
    <t>285302GSG0</t>
  </si>
  <si>
    <t>2020-02</t>
  </si>
  <si>
    <t>2020/07/31</t>
  </si>
  <si>
    <t>Q52</t>
  </si>
  <si>
    <t>2026/01/27</t>
  </si>
  <si>
    <t>28650P4600</t>
  </si>
  <si>
    <t>A38</t>
  </si>
  <si>
    <t>2023/07/18</t>
  </si>
  <si>
    <t>2024/06/20</t>
  </si>
  <si>
    <t>2025/05/21</t>
  </si>
  <si>
    <t>2025/04/30</t>
  </si>
  <si>
    <t>2026/02/02</t>
  </si>
  <si>
    <t>QUICKRZZ</t>
  </si>
  <si>
    <t>Z0Z</t>
  </si>
  <si>
    <t>R</t>
  </si>
  <si>
    <t>99990Z00</t>
  </si>
  <si>
    <t>2023/09/25</t>
  </si>
  <si>
    <t>I01</t>
  </si>
  <si>
    <t>2026/02/19</t>
  </si>
  <si>
    <t>2026/02/10</t>
  </si>
  <si>
    <t>2025/06/20</t>
  </si>
  <si>
    <t>D06</t>
  </si>
  <si>
    <t>ISRAEL</t>
  </si>
  <si>
    <t>2021-05</t>
  </si>
  <si>
    <t>2023-07</t>
  </si>
  <si>
    <t>2022-06</t>
  </si>
  <si>
    <t>2026/03</t>
  </si>
  <si>
    <t>2026/03/05</t>
  </si>
  <si>
    <t>2026/03/04</t>
  </si>
  <si>
    <t>2026/03/23</t>
  </si>
  <si>
    <t>EX0</t>
  </si>
  <si>
    <t>2026/02/26</t>
  </si>
  <si>
    <t>2022/04/27</t>
  </si>
  <si>
    <t>MX0</t>
  </si>
  <si>
    <t>2026/03/26</t>
  </si>
  <si>
    <t>2022/06/22</t>
  </si>
  <si>
    <t>2026/03/12</t>
  </si>
  <si>
    <t>2023-01</t>
  </si>
  <si>
    <t>2023/03/29</t>
  </si>
  <si>
    <t>2023/03/31</t>
  </si>
  <si>
    <t>99VGOZ0T</t>
  </si>
  <si>
    <t>2026/03/17</t>
  </si>
  <si>
    <t>2025/03/07</t>
  </si>
  <si>
    <t>2026/03/09</t>
  </si>
  <si>
    <t>2023/04/28</t>
  </si>
  <si>
    <t>28780R0000</t>
  </si>
  <si>
    <t>2025/02/28</t>
  </si>
  <si>
    <t>8S</t>
  </si>
  <si>
    <t>Q53</t>
  </si>
  <si>
    <t>2026/03/02</t>
  </si>
  <si>
    <t>28600ES100</t>
  </si>
  <si>
    <t>2024/04/16</t>
  </si>
  <si>
    <t>2026/01/13</t>
  </si>
  <si>
    <t>KNDCP3LE6T5319041</t>
  </si>
  <si>
    <t>[D]CONDITION: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t>
  </si>
  <si>
    <t>2025/07/22</t>
  </si>
  <si>
    <t>2025/10/01</t>
  </si>
  <si>
    <t>2025-07</t>
  </si>
  <si>
    <t>2025/04/16</t>
  </si>
  <si>
    <t>2026/03/25</t>
  </si>
  <si>
    <t>2025-04</t>
  </si>
  <si>
    <t>2019-08</t>
  </si>
  <si>
    <t>2026/03/13</t>
  </si>
  <si>
    <t>2023/04/13</t>
  </si>
  <si>
    <t>B1E</t>
  </si>
  <si>
    <t>2024-10</t>
  </si>
  <si>
    <t>2026/02/25</t>
  </si>
  <si>
    <t>2025-05</t>
  </si>
  <si>
    <t>B15</t>
  </si>
  <si>
    <t>28710G6BA0</t>
  </si>
  <si>
    <t>2024/09/30</t>
  </si>
  <si>
    <t>NICARAGUA</t>
  </si>
  <si>
    <t>2024/07/18</t>
  </si>
  <si>
    <t>B05</t>
  </si>
  <si>
    <t>BRAZIL</t>
  </si>
  <si>
    <t>A12</t>
  </si>
  <si>
    <t>녹, 부식</t>
  </si>
  <si>
    <t>2026-02</t>
  </si>
  <si>
    <t>AX (경 SUV)-광주형 22</t>
  </si>
  <si>
    <t>28530R7E</t>
  </si>
  <si>
    <t>2853008501</t>
  </si>
  <si>
    <t>CONVERTER ASSY W/UP CATALYTIC</t>
  </si>
  <si>
    <t>2023/03/15</t>
  </si>
  <si>
    <t>2025/11/10</t>
  </si>
  <si>
    <t>QX 19 (CB급 SUV)</t>
  </si>
  <si>
    <t>2026-01</t>
  </si>
  <si>
    <t>2024/10/29</t>
  </si>
  <si>
    <t>HMB</t>
  </si>
  <si>
    <t>GH</t>
  </si>
  <si>
    <t>2851004510</t>
  </si>
  <si>
    <t>MANIFOLD CATALYTIC ASSY-EXHAUST</t>
  </si>
  <si>
    <t>28511R5T</t>
  </si>
  <si>
    <t>2022/03/28</t>
  </si>
  <si>
    <t>BR2 19</t>
  </si>
  <si>
    <t>카파(HMB)</t>
    <phoneticPr fontId="6" type="noConversion"/>
  </si>
  <si>
    <t>20230830</t>
  </si>
  <si>
    <t>20210727</t>
  </si>
  <si>
    <t>20260202</t>
  </si>
  <si>
    <t>20211110</t>
  </si>
  <si>
    <t>20220701</t>
  </si>
  <si>
    <t>20221026</t>
  </si>
  <si>
    <t>2853007301</t>
  </si>
  <si>
    <t>차종명2</t>
  </si>
  <si>
    <t>쎄타</t>
  </si>
  <si>
    <t>카파(KIA)</t>
  </si>
  <si>
    <t>카파(WIA)</t>
  </si>
  <si>
    <t>총합계</t>
  </si>
  <si>
    <t>품명구분</t>
  </si>
  <si>
    <t>EHRS</t>
  </si>
  <si>
    <t>합계 : 변제합계</t>
  </si>
  <si>
    <t>통보서월</t>
  </si>
  <si>
    <t>차이</t>
    <phoneticPr fontId="2" type="noConversion"/>
  </si>
  <si>
    <t>2026041WW</t>
  </si>
  <si>
    <t>2026/04</t>
  </si>
  <si>
    <t>2040002026W00217000</t>
  </si>
  <si>
    <t>KNAE351ABLS075555</t>
  </si>
  <si>
    <t>[C]1.현상 : 냉간시 주행시 배기가스 다량 발생 주장 2.점검내용 및 원인 : 점검결과 산소센서 데이터및 배기장치 흑색 배연흔적 확인 dpf내 흑점 확인 3.조치내용 : DPF문제로 결론 DPF교환 진행함</t>
  </si>
  <si>
    <t>2019/09/09</t>
  </si>
  <si>
    <t>2026/03/31</t>
  </si>
  <si>
    <t>2019/10/14</t>
  </si>
  <si>
    <t>204</t>
  </si>
  <si>
    <t>2분기</t>
    <phoneticPr fontId="6" type="noConversion"/>
  </si>
  <si>
    <t>GK17202026W00071900</t>
  </si>
  <si>
    <t>KNARH81GBRA251631</t>
  </si>
  <si>
    <t>28600P4630</t>
  </si>
  <si>
    <t>[C]1.현상 : 엔진경고등 점등 2.점검내용 및 원인 : KDS진단시 P047100 배기가스 압력센서 성능 이상 검출 촉매 열화로 인한 중앙 머플러 비정상 소손발생 3.조치내용 : 중앙 머플러 교환</t>
  </si>
  <si>
    <t>2023/11/08</t>
  </si>
  <si>
    <t>2026/04/22</t>
  </si>
  <si>
    <t>2023/11/13</t>
  </si>
  <si>
    <t>GK1</t>
  </si>
  <si>
    <t>2분기</t>
  </si>
  <si>
    <t>MX90202026W00008000</t>
  </si>
  <si>
    <t>KNARH81GDSA348525</t>
  </si>
  <si>
    <t>[C]1.현상 : 엔진 부조 및 출력 저하 발생으로 입고 2.점검내용 및 원인 : 센터 머플러 막힘으로 엔진 부조 및 출력 저하 발 3.조치내용 : 센터 머플러 교환</t>
  </si>
  <si>
    <t>28655R1H</t>
  </si>
  <si>
    <t>DB1</t>
  </si>
  <si>
    <t>2024/10/26</t>
  </si>
  <si>
    <t>2026/04/01</t>
  </si>
  <si>
    <t>MX9</t>
  </si>
  <si>
    <t>FK01302026W00122600</t>
  </si>
  <si>
    <t>KNACP81EGRA096186</t>
  </si>
  <si>
    <t>[C]1.현상 : 냉각수 과다소모발생으로 입고 2.점검내용 및 원인 : 엔진 육안점검시 누수없음 센터머플러 불량으로 부동액 소모발생판단 3.조치내용 : 센터머플러교환조치함</t>
  </si>
  <si>
    <t>2023/03/24</t>
  </si>
  <si>
    <t>2026/04/08</t>
  </si>
  <si>
    <t>2023/03/27</t>
  </si>
  <si>
    <t>FK0</t>
  </si>
  <si>
    <t>CK03202026W00079900</t>
  </si>
  <si>
    <t>KNARL81BGMA040525</t>
  </si>
  <si>
    <t>[C]1.현상 : 엔진 경고등 점등 발생으로 입고됨 2.점검내용 및 원인 : 센터컨버터 머플러 불량으로 인해 엔진 경고등 점등 발생으로 컨버터 머플러 아세이 교환후 출고 조치함 3.조치내용 : 컨버터 머플러 아세이 교환후 출고</t>
  </si>
  <si>
    <t>2026/04/09</t>
  </si>
  <si>
    <t>2020/08/03</t>
  </si>
  <si>
    <t>CK0</t>
  </si>
  <si>
    <t>2030002026W00400600</t>
  </si>
  <si>
    <t>KNANC81BBMS003754</t>
  </si>
  <si>
    <t>[C]1.현상 : 주행중 백연 및 흑연 발생 및 엔진 이상 소음 고객 주장 (연료 파이프 연료 누유로 타이밍 커버에 연료 들어가 이상 소음으로 주장) 2.점검내용 및 원인 : KDS 점검시 이상 없음, 엔진 시동시 배기가스 색상 특이사항 없음, 이전 타 정비소에서 엔진오일 교환시 연료 파이프 부분 누유로 크리닝 했다고 주장하며 현재로는 누유되지 않음, 발전기 V 벨트 탈거시 해당 엔진 소음 사라지며 V 벨트 회전할때 베어링 돌아갈때 나는 소리로 확인 3.조치내용 : 매연 현상 없고 및 고객이 주장하는 엔진 타이밍 벨트 소리는 V벨트 돌아갈때 풀리류 노후로 인한 소음으로 확인시켜줌</t>
  </si>
  <si>
    <t>2020/08/21</t>
  </si>
  <si>
    <t>2020/08/24</t>
  </si>
  <si>
    <t>KK00202026W00065100</t>
  </si>
  <si>
    <t>KNANE81BBMS036843</t>
  </si>
  <si>
    <t>[C]1.현상 : 엔진경고등 점등으로 입고 2.점검내용 및 원인 : DTC: P20EE00 SCR NOx 정화 효율 낮음 과거 고장 표출 리어 프론트 NOx센서 교환 후 동일 코드 발생함. 챔버&amp;컴버트 머플러 이상으로 경고등 발생된것으로 판단됨. 3.조치내용 : 교환 후 고장코드 미발생함.</t>
  </si>
  <si>
    <t>2020/11/17</t>
  </si>
  <si>
    <t>2026/04/24</t>
  </si>
  <si>
    <t>2020/11/18</t>
  </si>
  <si>
    <t>KK0</t>
  </si>
  <si>
    <t>MK06202026W00089700</t>
  </si>
  <si>
    <t>KNANE81BBMS037411</t>
  </si>
  <si>
    <t>[C]1.현상 : 엔진 경고등 점등으로 입고 2.점검내용 및 원인 : KDS 고장 진단시(P20EE00 SCR NOX 정화효율 낮음) SCR 촉매확인시 흑점 발생 3.조치내용 : SCR 촉매 교환 117누3425</t>
  </si>
  <si>
    <t>2026/04/21</t>
  </si>
  <si>
    <t>2020/11/25</t>
  </si>
  <si>
    <t>HK05702026W00075400</t>
  </si>
  <si>
    <t>KNANE81BBNS188796</t>
  </si>
  <si>
    <t>[C]1.현상 : 엔진경고등 점등으로 입고 2.점검내용 및 원인 : 차량 진단기기 점검시 P20EE00 SCR NOX 정화 효율 낮음 고장코드 확인 머플러 챔버&amp;컨버터 불량으로 인한 경고등 점등 확인 3.조치내용 : 머플러 챔버&amp;컨버터 교체</t>
  </si>
  <si>
    <t>2026/04/20</t>
  </si>
  <si>
    <t>2022/03/30</t>
  </si>
  <si>
    <t>2022-03</t>
  </si>
  <si>
    <t>HK0</t>
  </si>
  <si>
    <t>JK42302026W00149100</t>
  </si>
  <si>
    <t>KNANB81BBPS217132</t>
  </si>
  <si>
    <t>[C]1.현상 : &gt; 엔진 경고등 점등으로 입고 2.점검내용 및 원인 : &gt; 점검 결과 리어 녹스 센서 교체 후에도 P2C7A00 암모니아 흡장량 진단 이상 고장코드 표출 &gt; SCR 어셈블리 내부 불량으로 판단됨 3.조치내용 : &gt; SCR 어셈블리 교환 후 정상 출고함</t>
  </si>
  <si>
    <t>2026/04/28</t>
  </si>
  <si>
    <t>2022/06/29</t>
  </si>
  <si>
    <t>JK4</t>
  </si>
  <si>
    <t>GX14402026W00017200</t>
  </si>
  <si>
    <t>KNANE81BBPS234338</t>
  </si>
  <si>
    <t>[C]1.현상 : 엔진경고등점등으로 입고 2.점검내용 및 원인 : DCT코드 확인시 P200300 DPF효율저하 확인됨 프론트머플러 및 센터머플러 탈거 확인시 컨버터정상이며 센터머플러 내부소손 확인됨 3.조치내용 : 부품교체후 정상 확인후 출고</t>
  </si>
  <si>
    <t>2022/08/24</t>
  </si>
  <si>
    <t>2026/04/02</t>
  </si>
  <si>
    <t>2022/09/07</t>
  </si>
  <si>
    <t>GX03202026W00044800</t>
  </si>
  <si>
    <t>KNANC81BBPS254146</t>
  </si>
  <si>
    <t>[C]1.현상 : 주행중 경고등 점등 발생 2.점검내용 및 원인 : 이전 경고등문제로 2025년 타지점에서 NOX후단센서 교환 이력 있음 스캔툴 진단점검 중앙 머플러탈거후 뒤쪽 확인시 검댕이.그을림 현상 있음(일부가루.이물질있음) 3.조치내용 : 챔버&amp;컨버터 어셈블리 교환</t>
  </si>
  <si>
    <t>2022/11/11</t>
  </si>
  <si>
    <t>2022/11/22</t>
  </si>
  <si>
    <t>GX0</t>
  </si>
  <si>
    <t>MX00402026W00021900</t>
  </si>
  <si>
    <t>KNANC81BBPS320147</t>
  </si>
  <si>
    <t>[C]1.현상 : 엔진경고등 점등되어 입고함 2.점검내용 및 원인 : P248300 SCR 전단온도센서 회로 작동범위 성능 잉상 3.조치내용 : DPF강제 재생 후 출고함</t>
  </si>
  <si>
    <t>2026/04/15</t>
  </si>
  <si>
    <t>2023/04/17</t>
  </si>
  <si>
    <t>MX00402026W00021200</t>
  </si>
  <si>
    <t>2026/04/13</t>
  </si>
  <si>
    <t>2090002026W00842800</t>
  </si>
  <si>
    <t>KNARM81FGTA417246</t>
  </si>
  <si>
    <t>28650P2960</t>
  </si>
  <si>
    <t>[C]1.현상 : 정차시 배기구에서 헬리콥터 소음 저속 주행중 배기구에서 걸리는 소음과 타는 냄새 2.점검내용 및 원인 : 시스템 점검시 고장 코드 없음 고객 동승하여 시운전 점검시 이음 현상 확인 가속중 특정 RPM에서 떨림음 발생. 배기파이프 불어내기 작업 후에도 소음 지속 발생됨 무부하 가속시 1,900RPM 부근에서 소음 발생 차량 하부에서 점검시 센터파이프 사이렌서 내부 소음으로 판단됨 3.조치내용 : 배기파이프 내부 불량에 의한 소음으로 배기파이프 교환함</t>
  </si>
  <si>
    <t>2026/04/10</t>
  </si>
  <si>
    <t>2026/03/30</t>
  </si>
  <si>
    <t>2026-03</t>
  </si>
  <si>
    <t>2540002026W00751800</t>
  </si>
  <si>
    <t>KNACG811BRT379677</t>
  </si>
  <si>
    <t>[C]1.현상 : 리어 머플러 이음발생으로 입고 점검의뢰함. 2.점검내용 및 원인 : 리어 머플러 이음발생 점검및 하체 점검함. 3.조치내용 : 리어 머플러 이음발생으로 교환처리함.</t>
  </si>
  <si>
    <t>2023/11/29</t>
  </si>
  <si>
    <t>254</t>
  </si>
  <si>
    <t>2150002026W00376600</t>
  </si>
  <si>
    <t>KNACR81EGRA179362</t>
  </si>
  <si>
    <t>[C]1.현상 : 가속시 주행중 웅웅하는 물림음 발생됨 2.점검내용 및 원인 : 주해ㅐㅇ중 가속시 아이들시 우웅우웅하는 울림 및 떨림음발생됨 주행소음점검 아이들 우우웅하는 이음점검 리어머플러내부 음으로 판단됨 3.조치내용 : 리어머플러 교환</t>
  </si>
  <si>
    <t>Q74</t>
  </si>
  <si>
    <t>2024/03/07</t>
  </si>
  <si>
    <t>2024/03/11</t>
  </si>
  <si>
    <t>215</t>
  </si>
  <si>
    <t>2070002026W00455000</t>
  </si>
  <si>
    <t>KNANE81BBSS451169</t>
  </si>
  <si>
    <t>[C]1.현상 : 주행중 가감속시나 엔진부하시 차체진동이 너무 심하다함. 2.점검내용 및 원인 : 시스템점검및 주행진동및 차체진동점검,엔진 진동및 마운트류점검,흡배기장치및 재안착,마운트류재조정,배기관 위치조정및 시운전점검등 3.조치내용 : 주행 떨림점검및 차체진동 점검결과 엔진부하시 차체진동이 주행중 너무 심한편이여서 마운트류재조정후 미개선되어 행거 개선품교환후 개선되어 설명후 출고함.</t>
  </si>
  <si>
    <t>V96</t>
  </si>
  <si>
    <t>2024/05/07</t>
  </si>
  <si>
    <t>2026041WA</t>
  </si>
  <si>
    <t>2070002026W00184600</t>
  </si>
  <si>
    <t>KNANE81BBPS380128</t>
  </si>
  <si>
    <t>[C]1.현상 : 차량 부밍및 진동발생으로 의뢰 2.점검내용 및 원인 : 냉간및 d레인지시 진동 공명발생 확인 에어크리너통 접촉성 확인. 인터쿨러및 머플러 브라켓 확인 머플러 행거 교환진행함 3.조치내용 : 머플러행거 교환</t>
  </si>
  <si>
    <t>I12</t>
  </si>
  <si>
    <t>2023/09/19</t>
  </si>
  <si>
    <t>DK02802026W00057500</t>
  </si>
  <si>
    <t>KNANE81BBSS483132</t>
  </si>
  <si>
    <t>[C]1.현상 : 정차시 차량 떨림 문제로 입고 2.점검내용 및 원인 : 시운전 점검시 차체하부에서 떨림 올라옴, 소음기 파이프에서 떨림 발생하여 전달 판단 머플러행거 재질불량으로 변형되어 주행시 마찰소음발생판단 3.조치내용 : 소음기고행거 교체후 정상출고</t>
  </si>
  <si>
    <t>2024/07/13</t>
  </si>
  <si>
    <t>2024/07/15</t>
  </si>
  <si>
    <t>2070002026W00220800</t>
  </si>
  <si>
    <t>KNANE81BBSS555781</t>
  </si>
  <si>
    <t>[C]1.현상 : 주행 중 및 정차시 부밍음 발생으로 입고 2.점검내용 및 원인 : 엔진 진동 발생에 비례하여 부밍음 발생 확인됨. 3.조치내용 : 머플러행거 교환</t>
  </si>
  <si>
    <t>V73</t>
  </si>
  <si>
    <t>D05VA7777733669 000</t>
  </si>
  <si>
    <t>KNCSJY71AS7832954</t>
  </si>
  <si>
    <t>0K60A40100J</t>
  </si>
  <si>
    <t>M/SILENCER ASSY</t>
  </si>
  <si>
    <t>[C]CHECK THE LOUD NOISE WHILE ACCELERATE. [R]REPLACED DEFECTIVE PARTS [T]AFTER CHECKING FOUND MUFFLER ASSY-MAIN DEFECTIVE</t>
  </si>
  <si>
    <t>2024/12/12</t>
  </si>
  <si>
    <t>D05</t>
  </si>
  <si>
    <t>IRAQ</t>
  </si>
  <si>
    <t>B28VAMA026268817000</t>
  </si>
  <si>
    <t>KNDPRCA65J7372788</t>
  </si>
  <si>
    <t>285102G520</t>
  </si>
  <si>
    <t>MODULE ASSY-WCC</t>
  </si>
  <si>
    <t>[D]CONDITION: Customer States THAT THE CHECK ENGINE LIGHT IS ON AND THERE IS AN AWFUL SMELL COMING FROM EXHAUST CHECK AND ADVISE *$199 diag unless under warranty CAUSE: Scan for code and got P209600-Post Cat Fuel Trim System too lean (Bank 1) History code. tech cleared code and took on test drive. light and code came back. tech ran pinpoint test and found that the Catalyst conver is failing and 02 sensors are bad due to consequential damage from the Cat, Both will need to be replaced. will be cover under the 8/80. CORRECTION: under warranty, tech replaced Catalyst converter and 02 sensors. cleared codes and took on multiple road tests. codes nor light came back. vehicle operating as designed now. under warranty, tech replaced Catalyst converter and 02 sensors. cleared codes and took on multiple road tests. codes nor light came back. vehicle operating as designed now.</t>
  </si>
  <si>
    <t>28511R1A</t>
  </si>
  <si>
    <t>2017/08/10</t>
  </si>
  <si>
    <t>2018/05/14</t>
  </si>
  <si>
    <t>2017-08</t>
  </si>
  <si>
    <t>B28VAMA0392659224-B</t>
  </si>
  <si>
    <t>KNDPRCA66K7538964</t>
  </si>
  <si>
    <t>[D]CONDITION: CUSTOMER STATES CEL IS BACK ON PREVIOUSLY IN FOR SAME CONCERN REFERENCE RO?S 58404 AND 59142 CUSTOMER WAS ADVISED TO RETURN VEHICLE TO HAVE TECHLINE. CASE OPENED?.PLEASE CHECK AND ADVISE CAUSE: CONFIRMED CHECK ENGINE LIGHT IS ON. FOUND CODES P219600 AND P209600. SMOKED INTAKE SYSTEM AND FOUND NO LEAKS. SMOKED EXHAUST SYSTEM AND FOUND EXCESSIVE SMOKE COMING FROM THE WASTE GAKET LEVER BUSHING. ALSO FOUND SMOKE COMING FROM WHERE THE COVERTER MEETS THE EXHAUST MANIFOLD/TURBO ASSEMBLY. WHERE THEY MEET SEEMS TO BE WARPED FROM HEAT. RECOMMEND TO REPLACE EXHAUST MANIFOLD/TURBO ASSEMBLY ANDCATALYTIC CONVERTER. CORRECTION: REMOVED AND REPLACED BOTH CATALYTIC CONVERTER AND TURBO ASSEMBLY RESET ADAPTIVE VALUES AND PERFORMED TEST DRIVE AND CODES HAVE NOT RETURNED.</t>
  </si>
  <si>
    <t>2018/06/29</t>
  </si>
  <si>
    <t>2018/10/12</t>
  </si>
  <si>
    <t>2018-06</t>
  </si>
  <si>
    <t>B28VANV0122635094-A</t>
  </si>
  <si>
    <t>KNDCP3LE7T5330484</t>
  </si>
  <si>
    <t>경고등 점등</t>
    <phoneticPr fontId="6" type="noConversion"/>
  </si>
  <si>
    <t>[D]CUSTOMER STATES CHECK ENGINE LIGHT IS ON---CHECK AND ADVISE. NEED PWA BEFORE REPAIR. FOUNDDTC P0420 STORED. FOUND CATALYST BEGINNING TO DETERIORATE. REPLACED CATALYS AND RELATED GASKETS. PER DPSM AUTHORIZATION.</t>
  </si>
  <si>
    <t>2025/09/17</t>
  </si>
  <si>
    <t>2025/11/20</t>
  </si>
  <si>
    <t>C07VA2640AKM2000086</t>
  </si>
  <si>
    <t>KNACS81FGP5025585</t>
  </si>
  <si>
    <t>[C]Motorüberwachung leuchtet Motor keine leistung [R]Katalysator bestellt und erneuert. [T]KDA Test durchgeführt Fehlermeldung Wirkungsgrad Unter Grenzwert Katalysator. Regenerierung nicht möglich 3 mal nach dem starten abgebrochen. Lambdasonden auf Schäden geprüft nichts sichtbar. [L]Reparatur nicht früher möglich da Kunde Krankenhaus Aufenthalt</t>
  </si>
  <si>
    <t>2022/06/13</t>
  </si>
  <si>
    <t>2022/09/08</t>
  </si>
  <si>
    <t>D06VBIS190KM2000438</t>
  </si>
  <si>
    <t>KNACS81FGP5072857</t>
  </si>
  <si>
    <t>[C]לקוח מתלונן כי מנורת מנוע דולקת [R]בוצעה החלפה ממיר קטליטי+אטמים [T]P042000 בבדיקת בסורק תקלות נמצא קוד תקלה נמצא כי יעלות ממיר נמוכה כי ממיר מתפורר</t>
  </si>
  <si>
    <t>2022/12/09</t>
  </si>
  <si>
    <t>2023/11/16</t>
  </si>
  <si>
    <t>B28VACA2832619713-1</t>
  </si>
  <si>
    <t>KNAE25LA5J6033668</t>
  </si>
  <si>
    <t>[D]CUSTOMER STATES CHECK ENGINE LIGHT TURNED ON AND OFF. CHECK AND ADVISE CHECKED AND VERIFIED SCANNED ALL SYSTEMS DTC P042000 CAT CONVERTER EFFICENCY BELOW THRESHOLD******** VERIFIED CONCERN, SCANNED VEHICLE AND FOUND CODE P042000 CATALYST SYSTEM EFFICIENCY BELOW THRESHOLD. DETERMINED UPPER CATALYTIC CONVERTER NEEDS REPLACEMENT. REPLACED CATALYTIC CONVERTER AND TEST DROVE VEHICLE AND NO CHECK ENGINE CODES WERE ON, SCANNED VEHICLE AND NO CODES WERE EVIDENT. NO FURTHER ACTIONNEEDED.</t>
  </si>
  <si>
    <t>2018/03/16</t>
  </si>
  <si>
    <t>2026/03/07</t>
  </si>
  <si>
    <t>2018/09/30</t>
  </si>
  <si>
    <t>B28VATN0352629374-A</t>
  </si>
  <si>
    <t>KNAE25LA7K6059609</t>
  </si>
  <si>
    <t>[D]CUSTOMER STATES THAT CAR HAS MUTIPLE WARNING LIGHTS ON DASH, PLEASE CHECK AND ADVISE. TECH INSPECTED FOUND P0420 P0299 P0172 CAT BELOW THRESOLD HOLD FOUND CLOGGED AND MELTED DOWN PWA REQUESTED FOR CAT CONVERTER REPLACED CONVERTER RECHECK ALL GOOD AT THIS TIME</t>
  </si>
  <si>
    <t>2019/09/21</t>
  </si>
  <si>
    <t>B28VAAZ0422644358-1</t>
  </si>
  <si>
    <t>KNAE15LA9M6089975</t>
  </si>
  <si>
    <t>[D]customer states check engine light is on, please check and advise. verified customers concern. scanned for dtcs and found p0420 for catalyst efficiency. removed the lower exhaust pipe and found loose catalyst material in it. replaced catalytic converter, gaskets and all is working as designed at this time.</t>
  </si>
  <si>
    <t>2020/08/13</t>
  </si>
  <si>
    <t>2026/02/27</t>
  </si>
  <si>
    <t>2020/11/11</t>
  </si>
  <si>
    <t>B28VAFL1512632991-D</t>
  </si>
  <si>
    <t>KNDPR3A64L7813748</t>
  </si>
  <si>
    <t>[D]CONDITION: *Diagnostic Fee May Apply if Repair is Not Warranty Related (DIAG) [CHECK ENGINE LIGHT ITS ON.] CAUSE: E CORRECTION: 42105 28511RQ0 Diagnostic Tool OperationCASE ASSY-CATALYST0.20H 28530R1ACatalyst Case Assy (Warm Up Catalyst)(Theta Engine), R&amp;1.30H INSPECTED AND FOUND THE DTC P209600 POST CATALYST FUEL TRIM SYSTEM TOO LEAN (BANK 1). THEN THE CATALYTIC CONVERTER WAS REPLACED, BUT THE NUTS CONNECTING IT TO THE TURBO WERE DEFECTIVE AND SEIZED. THEY GOT STUCK AND WOULDN?T LOOSEN EASILY,WHICH MADE THE JOB MORE DIFFICULT AND TIME-CONSUMING. NOW THE SYSTEM IS OPERATING AS DESIGNED. Rosa Martinez on 2026-03-24 12:28 PM with following comments CUSTOMER PROVIDED WITH RENTAL DURING DIAG FOR REPAIR, TIME TO RELASER SEIZED BOLTS TURBOCHARGER, PARTS ORDERED AND TIME FOR REPAIR. Rosa Martinez on 2026-03-24 12:35 PM with following comments CUSTOMER PROVIDED WITH RENTAL DURING DIAG FOR REPAIR, TIME TO RELASER SEIZED BOLTS TURBOCHARGER, PARTS ORDERED AND TIME FOR REPAIR. straig</t>
  </si>
  <si>
    <t>2020/08/23</t>
  </si>
  <si>
    <t>B28VAFL1512632991-N</t>
  </si>
  <si>
    <t>B28VAIL0742632462-4</t>
  </si>
  <si>
    <t>KNDPR3A60L7827274</t>
  </si>
  <si>
    <t>[A]Refer to Original claim 32462 4v01. [M] [S]CUSTOMER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t>
  </si>
  <si>
    <t>2020/03/18</t>
  </si>
  <si>
    <t>2026/02/18</t>
  </si>
  <si>
    <t>2020/05/23</t>
  </si>
  <si>
    <t>B28VANY1572681877-2</t>
  </si>
  <si>
    <t>KNDPRCA63L7635265</t>
  </si>
  <si>
    <t>[A]Chargeback due to not receiving MPR 04/22/2026R2-MPR REVERSAL REQUESTED BY: BRENT SUMMERS CHARGEBACK REVERSED - CURCIOA 05/12/26</t>
  </si>
  <si>
    <t>2019/01/11</t>
  </si>
  <si>
    <t>2026/01/24</t>
  </si>
  <si>
    <t>2019/05/25</t>
  </si>
  <si>
    <t>B28VACA3262508871-1</t>
  </si>
  <si>
    <t>KNDPRCA69L7749402</t>
  </si>
  <si>
    <t>[A]Chargeback due to not receiving MPR 05/16/2026</t>
  </si>
  <si>
    <t>2019/08/29</t>
  </si>
  <si>
    <t>2020/07/05</t>
  </si>
  <si>
    <t>B28VAMA056260127K-A</t>
  </si>
  <si>
    <t>KNDPRCA62L7765229</t>
  </si>
  <si>
    <t>[D]CUSTOMERT STATES THAT THE CEL IS ON, PLEASE CHECK AND ADVISE Foundvehicle with check engine light scanned vehicle vehicle codes are cat converter, and oxygen sensors. Recommend replacing the cat in the oxygen sensors.</t>
  </si>
  <si>
    <t>2019/10/08</t>
  </si>
  <si>
    <t>2020/02/22</t>
  </si>
  <si>
    <t>B28VAIL0882627165-B</t>
  </si>
  <si>
    <t>KNDPRCA62L7816454</t>
  </si>
  <si>
    <t>[D]CUSTOMER STATES CHECK ENGINE LIGHT IS ON, NO DIFFERENCE IN DRIVABILITY. Verified customer concern. Used a KDS scan tool to check for DTCs. DTC P0420 Catalyst System Efficiency Below Threshold (Bank 1) is present. Found Check Engine warning light present. Replaced and installedBank 1 Catalytic Converter per manufacturer specifications and verified repairs performed correctedthe customer concern. Vehicle now operating to manufacturer sspecifications.28530R1A 1.3 28530RQ0 .2</t>
  </si>
  <si>
    <t>2020/02/20</t>
  </si>
  <si>
    <t>2020/05/15</t>
  </si>
  <si>
    <t>D26VBTR151KM2000059</t>
  </si>
  <si>
    <t>KNCSJX760R7764870</t>
  </si>
  <si>
    <t>[C]ARIZA LAMBASI YANIYOR KONTROL [R]ARACIN DPF PARTİKÜL FİLTRESİ YENİSİYLE DEGİŞTİ [T]YAPILAN KONTROLLER SONUCUNDA ARACIN MOTOR ARIZA LAMBASININ YANDIGI GÖRÜLDÜ. ARACIN KDS CİHAZINA BAGLANDI . ARACIN ARIZA KODUNA GÖRE KONTROLLERİ YAPILDI. İNCELEMELER SONUCUNDA ARACIN DPF PARTİKÜL FİLTRESİNİN ARIZALI OLDUGU TESPİT EDİLDİ. ARACA DPF JENERASYONU YAPILMAMAKTADİR HATA VERMEKTEDİR. ARAC İL [D]Claime DPF''in iç, dış ve lot numarası fotoğraflarını ekleyiniz.</t>
  </si>
  <si>
    <t>ZZ6</t>
  </si>
  <si>
    <t>2024/01/09</t>
  </si>
  <si>
    <t>2024/04/30</t>
  </si>
  <si>
    <t>외부환경 영향 불량</t>
  </si>
  <si>
    <t>A02VE85165260000042</t>
  </si>
  <si>
    <t>KNAF251CMR5200752</t>
  </si>
  <si>
    <t>28600M6690</t>
  </si>
  <si>
    <t>[C]Check and report rattle from under vehicle when accelerating [R]Carried out replacement of center muffler and gaskets [T]Due to internal baffles loose</t>
  </si>
  <si>
    <t>2024/06/04</t>
  </si>
  <si>
    <t>2026/04/07</t>
  </si>
  <si>
    <t>2024/11/11</t>
  </si>
  <si>
    <t>D15VKSAE02027844000</t>
  </si>
  <si>
    <t>KNARG81G6R5322457</t>
  </si>
  <si>
    <t>28600P4610</t>
  </si>
  <si>
    <t>소음</t>
    <phoneticPr fontId="6" type="noConversion"/>
  </si>
  <si>
    <t>[C]CHECK ENGINE NOISE WHILE ACCELRATION. [R]REPLACED DEFFECTIVE PART. [T]CHECK AND FOUND CENTRE MUFLER ASSY INTERCOMPONNET WEAR OUT DUE WHILE ACCELRATER THE ENGINE IT IS MAKING NOISE.</t>
  </si>
  <si>
    <t>2024/07/09</t>
  </si>
  <si>
    <t>2026/01/04</t>
  </si>
  <si>
    <t>D15</t>
  </si>
  <si>
    <t>SAUDI ARA</t>
  </si>
  <si>
    <t>B28VACA1072635636-1</t>
  </si>
  <si>
    <t>KNDRMDJH7S5389605</t>
  </si>
  <si>
    <t>28600P4740</t>
  </si>
  <si>
    <t>출력부족</t>
    <phoneticPr fontId="6" type="noConversion"/>
  </si>
  <si>
    <t>[D]CUSTOMER STATES CAR BEGAN WITH PROBLEMS ON 1/22 CAR WAS WORKED BY KIA KEARNY MESA. CUSTOMER STATES SHE LEFT PAPER WORK FOR THE SERVICE ON TOP OF THE DASH. STATES WHILE DRIVING TO WORK CAR LOST POWER TO ACCELERATE ON FREEWAY. VEHICLE HAD ODOR COMING IN AND CAR WILL NOT SPEED UP FROM STOP LIKE IT SHOULD EITHER. STATES BOTH CATS GOT REPLACED CHECK AND ADVISE LACK OF ACCELERATION VERIFIED CUSTOMERS CONCERN DURING TEST DRIVE FOUND VEHICLE HAD A LACK OF POWER AND CHECK ENGINE LIGHT CAME ON. SCANNED FOR CODES AND FOUND CODE P042000 CATALYST SYSTEM EFFICIENCYBELOW THRESHOLD. UPON FURTHER INSPECTION FOUND DOWNSTREAM CATALYTIC CONVERTER COMING APART. OPENED TECHLINE CASE # 25896585.THEY ADVISE IN REPLACING CATALYTIC CONVERTER. REPLACED CATALYTIC CONVERTER AND WHILE REPLACING DOWNSTREAM CAT ALSO NOTICED UPSTREAM CAT COMING APART SEE LINE E FOR UPSTREAM CAT REPAIR-PWA#CA1072610077</t>
  </si>
  <si>
    <t>V91</t>
  </si>
  <si>
    <t>2025/03/11</t>
  </si>
  <si>
    <t>B28VAWA0082613709-A</t>
  </si>
  <si>
    <t>KNDCR3LE5P5033004</t>
  </si>
  <si>
    <t>[D]CONDITION: CUST STATES THEY THINK THE BATTERY IS LEAKING, THERE IS A SMELL IN THE VEHICLE MAKING THEM SICK. CHECK AND ADVISE CAUSE: HEAT EXCHANGER IS LEAKING COOLANT DUE TOO INTERNAL FAILURE CORRECTION: 48732 TECH INSPECTED COOLANT LEVEL LOW. INSPECTED VEHICLE AND FOUND HEAT EXCHANGER IS LEAKING COOLANT AND NEEDS REPLACED. REPLACED HEAT EXCHANGER AND FILLED WITH PROPER FLUIDS. TEST DROVE TO CONFIRM REPAIR. 28607R00 1.0</t>
  </si>
  <si>
    <t>2023/02/02</t>
  </si>
  <si>
    <t>B28VAWA0082613709-N</t>
  </si>
  <si>
    <t>28607RZZ</t>
  </si>
  <si>
    <t>B28VAPA0502652831-3</t>
  </si>
  <si>
    <t>KNDCT3LE0P5047796</t>
  </si>
  <si>
    <t>[D]CUSTOMER STATES THE VEHICLE IS OVERHEATING AND ALSO HAS MESSAGE ON DASH FOR THAT- VERIFIED CONCERN-FOUND COOLANT LEAKING FROM MUFFLER/HEAT EXCHANGER ASSY-REMOVED AND REPLACED MUFFLER AND ALL NECESSARY 1 TIME USE GASKETS AND BOLTS-FILLED COOLANT AND RECHECKED-OK AT THIS TIME</t>
  </si>
  <si>
    <t>B28VAAZ0472673483-A</t>
  </si>
  <si>
    <t>KNDCR3LE5P5071011</t>
  </si>
  <si>
    <t>[D]CONDITION: CUSTOMER STATES THERE IS A BURNING SMELL COMING FROM THE FRONT END. SMELLS LIKE COOLANT IS BURNING OFF. HAS NOT NOTICED ANY LEAKS. IS CONCERNED THERE MAY BE A LEAK. CHECK AND ADVISE. INSTALL SPECIAL ORDER PARTS PER PREV RO# 573327 CAUSE: CUSTOMER STATES COOLANT BURNING SMELL COMING FROM VEHICLE WHILE ICE ENGINE IS RUNNING CORRECTION: 24049 CUSTOMER STATES COOLANT BURNING SMELL COMING FROM VEHICLE WHILE ICE ENGINE IS RUNNING VERIFIED THE CUSTOMER S CONCERN OF COOLANT BURNING SMELL. PERFORMED A HEAT EXCHANGER EXAMINATION AND DIAGNOSTIC FINDING THE FOUND COOLANT LEAKING PAST VALVE IN HEAT EXCHANGER INTO EXAHUST CAUSING COOLANT TO BURN IN EXHAUST . FURTHER EXAMINATION FOUND THE HEAT EXCHANGER IS LEAKING AND IS DISTORTED. ACCESSED, REMOVED AND REPLACED THE HEAT EXCHANGER WITH ALL OTHER RELATED NEW SEALS GASKETS AND/OR NON-REUSABLE HARDWARE AND REINSTALLED ALL COMPONENTS REMOVED FOR REPAIRS IN THE REVERSE ORDER OF REMOVAL. REFILLED THE COOLING SYSTEM AND VERIFIED NO AIR POCKETS IN</t>
  </si>
  <si>
    <t>S12</t>
  </si>
  <si>
    <t>2022/12/01</t>
  </si>
  <si>
    <t>2026/03/24</t>
  </si>
  <si>
    <t>2023/02/19</t>
  </si>
  <si>
    <t>C07VA2170AKM2000247</t>
  </si>
  <si>
    <t>KNARH81BHP5237099</t>
  </si>
  <si>
    <t>[C]Motorkontrollleuchte bleibt an [R]SCR-Katalysator erneuert [T]Fehlerspeicher ausgelesen, Verkabelung und Stecker geprüft - i.O., SCR-Katalysator endoskopiert, interner Schaden im SCR-Katalysator [D]24.04. Hier können maximal 2 Tage Ersatzwagen übernommen werden.</t>
  </si>
  <si>
    <t>2023/09/29</t>
  </si>
  <si>
    <t>C26VAHG990KM2000095</t>
  </si>
  <si>
    <t>KNARH81BHS5272888</t>
  </si>
  <si>
    <t>[C]Ellenőrizze a karbamid rendszer hibaüzenet a műszerfalon, mil lámpa világít [R]katalizátor és nox csere elvégzése [T]Több DTC hiba a katalizátor és nox hibás működésre hibás működésére, katalizátor hatás fog alacsony, cseréje szükséges, 3-as nox érzékelő 46ppm-t mutat miközben a 2-es 12ppm-t, az 1-es meg 4 ppm-t. 3-as nox csere és katalizátor csere szükséges [L]potolva a friss munkalap. FS0413 [D]ok.HG0319 A munkalapról hiányzik az átadás dokumentációja, kérlek pótold. 0410SZE</t>
  </si>
  <si>
    <t>29650R0A</t>
  </si>
  <si>
    <t>2024/01/18</t>
  </si>
  <si>
    <t>2026/03/18</t>
  </si>
  <si>
    <t>2024/05/10</t>
  </si>
  <si>
    <t>C26</t>
  </si>
  <si>
    <t>HUNGARY</t>
  </si>
  <si>
    <t>B22VB00000AU-306099</t>
  </si>
  <si>
    <t>KNAB2512ATT367159</t>
  </si>
  <si>
    <t>28610G6BA0</t>
  </si>
  <si>
    <t>[C]Cliente reporta ruido en la parte inferior del auto . [R]Cambio de tuberia de escape . [T]Se procede revisar encontrando que la tuberia de escape tiene degaste prematuro , provocando ruido anomalo .</t>
  </si>
  <si>
    <t>2025/03/06</t>
  </si>
  <si>
    <t>2025/05/29</t>
  </si>
  <si>
    <t>PANAMA</t>
  </si>
  <si>
    <t>B22VB00000AU-307457</t>
  </si>
  <si>
    <t>KNAB2512ATT367000</t>
  </si>
  <si>
    <t>[C]Cliente reporta ruido al ir en marcha y acelerarlo . [R]Cambio de tubería de escape . [T]Se procede revisar encontrando que el ruido viene de flexible de la tuberia de escape , degaste prematuro . [L]PEDIDO ESPECIAL 093593 FLEXIBLE</t>
  </si>
  <si>
    <t>E45VAEVA09KM2001638</t>
  </si>
  <si>
    <t>KNAB351AAST339318</t>
  </si>
  <si>
    <t>28641C8427</t>
  </si>
  <si>
    <t>CLAMP-EXHAUST PIPE</t>
  </si>
  <si>
    <t>2024/12/13</t>
  </si>
  <si>
    <t>2025/03/21</t>
  </si>
  <si>
    <t>E45</t>
  </si>
  <si>
    <t>CANARY IS.</t>
  </si>
  <si>
    <t>CLAMP-CVS</t>
  </si>
  <si>
    <t>B28VANY073263821002</t>
  </si>
  <si>
    <t>KNDRHDLGXP5188703</t>
  </si>
  <si>
    <t>[D]customer states check engine light is on. code p006800 check and advise. verified light on and codeactive. viewed freeze frame data and found occured 3 seconds afterstart up and egr temps reading -40 for 3 sensors, seen coolant resivior low, inspected system and found coolant leaking from the exhaust recirc valve. replaced exhaust egr assembly , had to cut off exISting exhaust to save cat converter. added clamp and reinstalled all with new gaskets and then performed coolant bleeding procedure. cleared code retEstED all ok now no further concerns. alldata pays .7- customer was in a sslp loaner during duration of repairs. 12 days at $37.00/day. Muffler was not available from kia. had to get the part from another dealer after waiting for awhile on kia to get us one.</t>
  </si>
  <si>
    <t>2023/06/05</t>
  </si>
  <si>
    <t>B28VA9202 2682554-8</t>
  </si>
  <si>
    <t>KNDRHDLG7P5202119</t>
  </si>
  <si>
    <t>냉각수 누수</t>
    <phoneticPr fontId="6" type="noConversion"/>
  </si>
  <si>
    <t>[D]CONDITION: CUSTOMER STATES VEHICLE IS OVERHEATING CAUSE: OVERHEATING CORRECTION: 27283 OVERHEATING 160 VERIFIED THE CUSTOMER S CONCERN OF OVER HEATING. RAISED THE VEHICLE AND PERFORMED A VISUAL INSPECTION. FURTHER EXAMINATION FOUND THE HEATER EXHAUST PIPE IS LEAKING. ACCESSED AND CUT TO REMOVED ANDREPLACED HEATER EXHAUST PIPE. THE SYSTEM IS NOW OPERATING AS DESIGNED.</t>
  </si>
  <si>
    <t>C99</t>
  </si>
  <si>
    <t>N99</t>
  </si>
  <si>
    <t>2023/05/12</t>
  </si>
  <si>
    <t>2023/09/30</t>
  </si>
  <si>
    <t>기타</t>
  </si>
  <si>
    <t>B28VANY1562642293-A</t>
  </si>
  <si>
    <t>2026/03/28</t>
  </si>
  <si>
    <t>D26VBTR021KM2001258</t>
  </si>
  <si>
    <t>KNARH81GDP5190790</t>
  </si>
  <si>
    <t>2023/04/04</t>
  </si>
  <si>
    <t>E37VASA219KM2000075</t>
  </si>
  <si>
    <t>KNCSHX76LS7821969</t>
  </si>
  <si>
    <t>[C]Customer states sounds like exhaust is leaking haroun [R]Remove and replace the exhaust muffler were the seam has opened with a sealed unit [T]Checked and confirmed that the noise is coming from the exhaust muffler were the seam on the box has opened &amp; releasing exhaust fumes and sound//vdn260309003I [L]10000km@10803km(03/01/2026)-20000km@20646km(09/03/2026)</t>
  </si>
  <si>
    <t>2024/10/02</t>
  </si>
  <si>
    <t>2025/09/30</t>
  </si>
  <si>
    <t xml:space="preserve">A38VA00000MV038953 </t>
  </si>
  <si>
    <t>KNAB2511BRT241272</t>
  </si>
  <si>
    <t>28710G6100</t>
  </si>
  <si>
    <t>[C]BRUIT ANORMAL AU ROULAGE PROVENANT DE L'ECHAPPEMENT [R]REMPLACEMENT LIGNE ECHAPPEMENT ARRIERE [T]DEFAUT D'ETANCHEITE LIGNE ECHAPPEMENT ARRIERE</t>
  </si>
  <si>
    <t>2024/03/19</t>
  </si>
  <si>
    <t>2026/04/14</t>
  </si>
  <si>
    <t>TAHITI</t>
  </si>
  <si>
    <t>C17VCB0559KM2000078</t>
  </si>
  <si>
    <t>KNAB2518APT129237</t>
  </si>
  <si>
    <t>28710G6200</t>
  </si>
  <si>
    <t>[C]EL CLIENTE COMENTA RUIDO EN EL ESCAPE [R]SUSTITUIR SILENCIOSO FINAL POR FALLO INTERNO [T]CONFIRMAMOS QUEJA, REALIZAMOS INSPECCION VISUAL SIN OBSERVAR NINGUN DEFECTO. DESMONTAMOS SISTEMA ESCAPE Y OBSERVAMOS CUERPO EXTRAÑO INTERNO RESULTANDO SER DESPRENDIMIENTO DE LA SOLDADURA INTERNA.</t>
  </si>
  <si>
    <t>2023/06/26</t>
  </si>
  <si>
    <t xml:space="preserve">B18VA00001SP-3689  </t>
  </si>
  <si>
    <t>KNCWJX72AS7809256</t>
  </si>
  <si>
    <t>[C]Customer reported an abnormal noise coming from the underbody. [R]Fluid damage parts. [T]Technician verified that the exhaust pipe hose was broken, and during the diagnosis found that the power steering cap was leaking fluid. [L]Has been added cleaner product in sublet section.</t>
  </si>
  <si>
    <t>A32</t>
  </si>
  <si>
    <t>2026/04/16</t>
  </si>
  <si>
    <t xml:space="preserve">B18VA00001SP-3714  </t>
  </si>
  <si>
    <t>KNCWJX72AT7864191</t>
  </si>
  <si>
    <t>[C]Customer reported an abnormal noise from the underbody. [R]Replace damage part. [T]Technician verified that the exhaust tile pipe was broken.</t>
  </si>
  <si>
    <t>2025/05/14</t>
  </si>
  <si>
    <t>2025/07/21</t>
  </si>
  <si>
    <t>B18VA00001SP-370000</t>
  </si>
  <si>
    <t>KNCWJX72AT7866813</t>
  </si>
  <si>
    <t>[C]Customer reported an abnornal noise from the underbody. [R]Replace exhaust pipe. [T]Technician verified that the exhaust pipe was scraked.</t>
  </si>
  <si>
    <t>2025/06/04</t>
  </si>
  <si>
    <t xml:space="preserve">B06VA610612603767D </t>
  </si>
  <si>
    <t>KNDRJDJH0S5415258</t>
  </si>
  <si>
    <t>28761C5150</t>
  </si>
  <si>
    <t>2025/05/30</t>
  </si>
  <si>
    <t>A08VGP0001W26020005</t>
  </si>
  <si>
    <t>KNCSHX76CR7791348</t>
  </si>
  <si>
    <t>[C]客戶進廠反應儀表引擎故障燈恆亮與排放系統警告燈閃爍,，服務廠檢查後確認有此情況 [R]更換新品零件後故障排除 [T]1.使用診斷器讀取故障碼為P200300(微粒濾清器效率低於極限值-2排)，依照GSW指示進行數值分析發現DPF碳煙質量為17.47g，換上新壓差感知器進行交換測試，再進行DPF服務再生，燃燒後DPF碳煙質量8.54g，燃燒過後DPF碳煙質量能夠下降，依照GSW指示進行數據分析讀取到的資訊其中的顆粒過濾器差壓的數值為65.213PSI、排氣溫度為409.5度，拆下CDPF使用內視鏡觀察CPF前端內部，發現CPF有積碳的狀況。 2.噴油嘴拆下送測試，其中噴油嘴沒有通過測試，判定不良。 3.再次使用診斷器讀取故障碼為P200300故障碼，判讀SCR參數發現SCR計算催化器效率數據為0.761及催化</t>
  </si>
  <si>
    <t>2024/04/25</t>
  </si>
  <si>
    <t>A08VG2630007</t>
  </si>
  <si>
    <t>A08</t>
  </si>
  <si>
    <t>TAIWAN</t>
  </si>
  <si>
    <t>C35VGKZ029260000004</t>
  </si>
  <si>
    <t>KNARH81DDR5276816</t>
  </si>
  <si>
    <t>28761J6000</t>
  </si>
  <si>
    <t>2024/01/30</t>
  </si>
  <si>
    <t>2024/05/29</t>
  </si>
  <si>
    <t>C35</t>
  </si>
  <si>
    <t>KAZAKHSTAN</t>
  </si>
  <si>
    <t>I01G272026200102400</t>
  </si>
  <si>
    <t>KMHLW41KGNU005889</t>
  </si>
  <si>
    <t>[C]1.현상 : N모드 주행 중 가속시 출력 저하 증상이 발생됨 2.점검내용 및 원인 : 1. N모드 주행 중 가속 시 간헐적 출력 저하와 매연냄새 발생으로 터보차저 교환 작업 중 촉매 탈거를 했을때 회색 가루가 촉매 안쪽에서 다량 발견됨 2. 촉매 내부 점검시 외관 이상 없음 3. 촉매를 탈탈 털면 회색 가루가 계속 나옴 4. 촉매 내부 문제로 판단됨 3.조치내용 : 촉매 교환 4.요망사항 : 요망사항 없음</t>
  </si>
  <si>
    <t>88888R2F</t>
  </si>
  <si>
    <t>2022/04/20</t>
  </si>
  <si>
    <t>N1Z0082026200036300</t>
  </si>
  <si>
    <t>KMHT361HANU011952</t>
  </si>
  <si>
    <t>285302GTA0</t>
  </si>
  <si>
    <t>[C]1.현상 : 경고등 점등 점검차 입고 2.점검내용 및 원인 : 3월2일 타 정비소에서 점검 시 P04200 경고등 확인되어 입고. 3월 19일 입고 후 점검 시 과거고장코드 없음. CCS 진단정보 확인결과 P04200경고등 확인됨. 캐털리스트 케이스 탈거 점검 시 내부 파손 확인 됨. 외부충격 흔적 없고, 부품 이상으로 현상 확인. 3.조치내용 : 캐털리스트 케이스 및 산소센서 교환함 4.요망사항 : 해당사항없음.</t>
  </si>
  <si>
    <t>99999R1F</t>
  </si>
  <si>
    <t>2021/06/15</t>
  </si>
  <si>
    <t>2021/06/21</t>
  </si>
  <si>
    <t>JS N 18</t>
  </si>
  <si>
    <t>N1Z</t>
  </si>
  <si>
    <t>I010002026200525800</t>
  </si>
  <si>
    <t>KMTG641EDRU137296</t>
  </si>
  <si>
    <t>285303LXA0</t>
  </si>
  <si>
    <t>CONVERTER ASSY-W/UP CAT, LH</t>
  </si>
  <si>
    <t>[C]1.현상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t>
  </si>
  <si>
    <t>2023/11/02</t>
  </si>
  <si>
    <t>G70 17/21/23</t>
  </si>
  <si>
    <t>Z0ZZ992026201663500</t>
  </si>
  <si>
    <t>I01G752026200018700</t>
  </si>
  <si>
    <t>28530R7L</t>
  </si>
  <si>
    <t>C11AB04696260037000</t>
  </si>
  <si>
    <t>KMHHC8112RU065370</t>
  </si>
  <si>
    <t>[C]Spia motore accesa [R]da sostituire CPF e catalizzatore [T]Diagnosi con GDS dove si rileva DTC P04200 eseguito controllo impianto di scarico non si rilevano perdite apertura hot line numero 2554903 si procede allo smontaggio del CPF dove si rileva piccole particelle bianche esternamente a tratti come da video si notano delle fessure piccole. [L]08/04/26 Buongiorno, si richiede gentilmente aggiornamento prezzi per richiesta rimborso del reclamo di garanzia. Grazie e buon lavoro! Stefano Salvatore</t>
  </si>
  <si>
    <t>2024/04/23</t>
  </si>
  <si>
    <t>B06AA44011260327003</t>
  </si>
  <si>
    <t>KM8KH3AC3PU010483</t>
  </si>
  <si>
    <t>[C]Engine light on and vehicle in limp mode [R]39210R00 SENSOR ASSY-OXYGEN &amp; LAMBDA 0.5 28530R00 CATALYST CASE ASSY 1.7 [T]check for customer concern follow up scan and found DTC P1326 knock sensor range/ performance and follow up check for dtc and knock sesnor and repair harness kit been replaced and engine harness replaced and follow up engine sound normal and follow up reset the adaptive value and reset the DTC NE</t>
  </si>
  <si>
    <t>2023/04/29</t>
  </si>
  <si>
    <t xml:space="preserve">B06VA110472625615A </t>
  </si>
  <si>
    <t>KNAE55LC8P6133927</t>
  </si>
  <si>
    <t>[C]CHECK AND REPORT ON ENGINE LIGHT ON [R]PERFORMED REPLACING BANK 1 CATALYTIC CONVERTER. AFTER REPLACEMENT PERFORMED ADAPTIVE VALUE RESET. CONFIRMED REPAIR [T]Vehicle was running rough, and had low power on medium to high loads, Inspected for misfire, no misfires found, inspected spark plugs, all spark plug in good condition inspected both CATS, bank 1 cat (passenger side) found to be clogged Bank 2 cat in good condition recommend replacement of bank one</t>
  </si>
  <si>
    <t>2023/01/05</t>
  </si>
  <si>
    <t xml:space="preserve">B24AE003070051184  </t>
  </si>
  <si>
    <t>KMFHA17SPRC084545</t>
  </si>
  <si>
    <t>UH</t>
  </si>
  <si>
    <t>289904C520</t>
  </si>
  <si>
    <t>CONVERTER ASSY-DOC DPF</t>
  </si>
  <si>
    <t>[C]CLIENTE INDICA CHECK ENCENDIDO Y PERDIDA DE POTENCIA. [R]CAMBIO DE CATALIZADOR POR GARANTIA. [T]SE REVISO LA UNIDAD Y SE ENCONTRO CATALIZADOR OBSTRUIDO. [L]09/02/2026: Primer ingreso del vehículo (Diagnostico) y repuesto en importación 23/03/2026: Segundo ingreso del vehículo para reparación y finalización de la reparación.</t>
  </si>
  <si>
    <t>28990R00</t>
  </si>
  <si>
    <t>마이티 와이드 15모델  E-ENG</t>
  </si>
  <si>
    <t>B24</t>
  </si>
  <si>
    <t>PERU</t>
  </si>
  <si>
    <t>DPF</t>
  </si>
  <si>
    <t>컨버터</t>
    <phoneticPr fontId="2" type="noConversion"/>
  </si>
  <si>
    <t>QT DPF</t>
    <phoneticPr fontId="6" type="noConversion"/>
  </si>
  <si>
    <t xml:space="preserve">B24AE003070050854  </t>
  </si>
  <si>
    <t>KMFHA17SPTC099268</t>
  </si>
  <si>
    <t>[C]CLIENTE INDICA: Check de motor en el tablero y perdida de fuerza en el motor [R]CAMBIO DE CATALIZADOR POR GARANTIA [T]SE REVISO UNIDAD Y SE ESCANEO - FALLA EN TURBO COMPRESOR P2263. SE DETARMO TURBO COMPRESOR Y SE ENCONTRO QUE EL ACCIONADOR DE LA VALVULA VGT ESTABA TRABADO - SE REALIZO LIMPIEZA SEGUN MANUAL. SE REVISO CATALIZADOR, SE ENCONTRO DESTROZADO. SE REVISO SISTEMA EGR - OK. SE DETERMINA DIFICIENCIA INTERNA [L]22/01/2026: Primer ingreso del vehículo (Diagnostico). 18/03/2026: Segundo ingreso del vehículo para reparación y finalización de la reparación.</t>
  </si>
  <si>
    <t>2025/04/14</t>
  </si>
  <si>
    <t>2026/01/22</t>
  </si>
  <si>
    <t>2025/05/31</t>
  </si>
  <si>
    <t xml:space="preserve">B24AE003070050866  </t>
  </si>
  <si>
    <t>KMFHA17SPTC100858</t>
  </si>
  <si>
    <t>[C]CLIENTE INDICA: Check de motor - Perdida de potencia. [R]CAMBIO DE CATALIZADOR POR GARANTIA. [T]SE ESCANEO UNIDAD - ENCONTRANDO CODIGO P2263 EN HISTORIAL. SE DESMONTO CATALIZADOR Y OBSERVAMOS QUE QUEDO DESTRUIDO POR EL SOBRECALENTAMIENTO DEL MISMO. [L]24/02/2026: Primer ingreso del vehículo (Diagnostico) 18/03/2026: Segundo ingreso del vehículo para reparación y finalización de la reparación.</t>
  </si>
  <si>
    <t>2025/06/02</t>
  </si>
  <si>
    <t>HK04102026W00018400</t>
  </si>
  <si>
    <t>KNAB1518BNT886656</t>
  </si>
  <si>
    <t>C11VC09205KM2000066</t>
  </si>
  <si>
    <t>KNAB3518AMT785248</t>
  </si>
  <si>
    <t>C21VA1465 KM2000937</t>
  </si>
  <si>
    <t>KNAB3518YNT911464</t>
  </si>
  <si>
    <t>C21VA2320 KM2000345</t>
  </si>
  <si>
    <t>KNAB3518LNT954823</t>
  </si>
  <si>
    <t>C06VAFR870KM2000173</t>
  </si>
  <si>
    <t>KNAB3518APT046262</t>
  </si>
  <si>
    <t>C11VC01371KM2000102</t>
  </si>
  <si>
    <t>KNAB3518AST392323</t>
  </si>
  <si>
    <t>C06VAFR679KM2000002</t>
  </si>
  <si>
    <t>KNAB351AJPT212754</t>
  </si>
  <si>
    <t>D19VA00001D1172808</t>
  </si>
  <si>
    <t>KNAB351AJMT825140</t>
  </si>
  <si>
    <t>D19VA00003D368027</t>
  </si>
  <si>
    <t>KNAB351AJNT849811</t>
  </si>
  <si>
    <t>D19VA00001D11766000</t>
  </si>
  <si>
    <t>KNAB251AJNT960490</t>
  </si>
  <si>
    <t>D19VA00017D1720724</t>
  </si>
  <si>
    <t>KNAB251AJPT174034</t>
  </si>
  <si>
    <t>D19VA00001D1176595</t>
  </si>
  <si>
    <t>KNADC518AM6469754</t>
  </si>
  <si>
    <t>D19VA00001D1174393</t>
  </si>
  <si>
    <t>KNADC518AM6522857</t>
  </si>
  <si>
    <t>2020-12</t>
  </si>
  <si>
    <t>D19VA00001D1175139</t>
  </si>
  <si>
    <t>KNADE518AM6525057</t>
  </si>
  <si>
    <t>D19VA00001D1172669</t>
  </si>
  <si>
    <t>KNADC518AN6580262</t>
  </si>
  <si>
    <t>D19VA00001D1170454</t>
  </si>
  <si>
    <t>KNADC518AN6601991</t>
  </si>
  <si>
    <t>D19VA00001D1172806</t>
  </si>
  <si>
    <t>KNADC518AN6616893</t>
  </si>
  <si>
    <t>D19VA00008D870477</t>
  </si>
  <si>
    <t>KNADE518AN6618144</t>
  </si>
  <si>
    <t>D19VA00001D1176461</t>
  </si>
  <si>
    <t>KNADE518AN6618304</t>
  </si>
  <si>
    <t>D19VA00001D1168820</t>
  </si>
  <si>
    <t>KNADC518AN6622269</t>
  </si>
  <si>
    <t>D19VA00001D1172675</t>
  </si>
  <si>
    <t>KNADC518AN6648437</t>
  </si>
  <si>
    <t>D19VA00001D1176920</t>
  </si>
  <si>
    <t>KNADE518AN6669808</t>
  </si>
  <si>
    <t>D19VA00001D1176514</t>
  </si>
  <si>
    <t>KNADE518AN6717853</t>
  </si>
  <si>
    <t>D19VA00008D868704</t>
  </si>
  <si>
    <t>KNADC518AN6738679</t>
  </si>
  <si>
    <t>D19VA00001D1172802</t>
  </si>
  <si>
    <t>KNADC518AN6776621</t>
  </si>
  <si>
    <t>D19VA00003D367992</t>
  </si>
  <si>
    <t>KNADC518AP6782231</t>
  </si>
  <si>
    <t>D19VA00001D1174154</t>
  </si>
  <si>
    <t>KNADE518AP6812497</t>
  </si>
  <si>
    <t>D19VA00008D869364</t>
  </si>
  <si>
    <t>KNADC518AP6845072</t>
  </si>
  <si>
    <t>D19VA00001D1172803</t>
  </si>
  <si>
    <t>KNADC518AP6846856</t>
  </si>
  <si>
    <t>C21VA02374KM2000567</t>
  </si>
  <si>
    <t>KNAB3519LPT043133</t>
  </si>
  <si>
    <t>2170002026W00317200</t>
  </si>
  <si>
    <t>KNACH811BRT399070</t>
  </si>
  <si>
    <t>DRV2170B</t>
  </si>
  <si>
    <t>217</t>
  </si>
  <si>
    <t>RK01502026W00033900</t>
  </si>
  <si>
    <t>KNACG811BRT400211</t>
  </si>
  <si>
    <t>RK0</t>
  </si>
  <si>
    <t>D12VF00108526711000</t>
  </si>
  <si>
    <t>KNAB3512BRT223890</t>
  </si>
  <si>
    <t>D12</t>
  </si>
  <si>
    <t>MOROCCO</t>
  </si>
  <si>
    <t>A02VE86532260000003</t>
  </si>
  <si>
    <t>KNAB2512MST318620</t>
  </si>
  <si>
    <t>A02VE82132260000009</t>
  </si>
  <si>
    <t>KNAB2512MTT469235</t>
  </si>
  <si>
    <t>2025-11</t>
  </si>
  <si>
    <t>B08VACL141000209425</t>
  </si>
  <si>
    <t>KNAB2512ATT351584</t>
  </si>
  <si>
    <t>2851003GB1</t>
  </si>
  <si>
    <t>Q76</t>
  </si>
  <si>
    <t>B08</t>
  </si>
  <si>
    <t>COLOMBIA</t>
  </si>
  <si>
    <t>QT DPF</t>
  </si>
  <si>
    <t>람다</t>
  </si>
  <si>
    <t>카파(HMB)</t>
  </si>
  <si>
    <t>카파UCC</t>
  </si>
  <si>
    <t>2026051WW</t>
  </si>
  <si>
    <t>2026/05</t>
  </si>
  <si>
    <t>GX94402026W00042700</t>
  </si>
  <si>
    <t>KNACT81EGPA052686</t>
  </si>
  <si>
    <t>[C]1.현상 : 엔진과열경고등 임시점듬. 부동액 부족 시동 걸거나 끌때 물 흐르는소리 크게남 2.점검내용 및 원인 : KDS 진단점검 고장코드 없음 냉각수 보조통 냉각수량 부족 확인 엔진 및 외관장치 누수없음 머플러 후단 점검시 배기열회수장치 누수 확인 3.조치내용 : 배기열회수장치 교환</t>
  </si>
  <si>
    <t>2022/09/29</t>
  </si>
  <si>
    <t>2026/05/07</t>
  </si>
  <si>
    <t>2022/09/30</t>
  </si>
  <si>
    <t>GX9</t>
  </si>
  <si>
    <t>GX90402026W00016000</t>
  </si>
  <si>
    <t>KNACR81EGRA087408</t>
  </si>
  <si>
    <t>[C]1.현상 : 엔진과열 경고등 점등 및 냉각수 없음 2.점검내용 및 원인 : 엔진측 누수 없음, 머플러 점검시 누유 흔적 확인 3.조치내용 : 중간 머플러 교환 및 부동액 보충</t>
  </si>
  <si>
    <t>2023/02/15</t>
  </si>
  <si>
    <t>2023/02/17</t>
  </si>
  <si>
    <t>MK06502026W00105400</t>
  </si>
  <si>
    <t>KNARK81BHPA176577</t>
  </si>
  <si>
    <t>[C]1.현상 : 경고등 점등으로 입고 2.점검내용 및 원인 : 고장코드 점검시 P20EE00 SCR NOx 정화 효율 낮음 확인 DPF 탈거후 확인시 머플러에 그을음 과다 발생 확인 3.조치내용 : 중앙머플러 교환</t>
  </si>
  <si>
    <t>2022/08/25</t>
  </si>
  <si>
    <t>NK05202026W00073200</t>
  </si>
  <si>
    <t>KNARH81BHTA392586</t>
  </si>
  <si>
    <t>[C]1.현상 : 경고등 점등, 요소수 시스템 점검 메세지 표출 2.점검내용 및 원인 : 진단결과 P20F500 요소수 소모량 높음 진단시 SCR 처음 노즐 막힘 (11,12 사진) 녹스 센서 쪽 조립 불량 으로 SCR 누설 흑적 보임 (10번 사진) SCR 구동시 아래 노즐 치합이 안맞음 (동영상 첨부)으로 밖으로 누설됨 노즐 및 챔버 치합 부분에 변형으로 인하여 함께 교환함 (1,2 번 사진) 3.조치내용 : 챔버 컨버터 머플러 ,도징노즐, 녹스센서 교환 ① 대여 시작일(5/19 ) ~ 대여 종료일(5/22 ) ② 결품 청구일( 5/19) ~ 결품 조치일(5/22 ) 일반부품 ③ 작업 시작일(5/21 )~ 작업 종료일(5/22 ) ④ 특기사항 05/22(금) 오후에 작업이 완료되어 05/22(금) 고객 차량인도 및 무상대여차 반납</t>
  </si>
  <si>
    <t>29650R00</t>
  </si>
  <si>
    <t>2025/11/05</t>
  </si>
  <si>
    <t>2026/05/22</t>
  </si>
  <si>
    <t>2025/11/06</t>
  </si>
  <si>
    <t>NK0</t>
  </si>
  <si>
    <t>LX21502026W00022300</t>
  </si>
  <si>
    <t>KNANE81BBMS016932</t>
  </si>
  <si>
    <t>[C]1.현상 : 경고등 점등으로 정비의뢰함. 2.점검내용 및 원인 : KDS 진단점검 및 센서출력 점검. SCR P2CEE00 SCR NOX 정화 효율 낮음 경고등 점등됨. DPF SOOT량이 0.39g 표출됨. 3.조치내용 : CPF 강제생 후 출고함.</t>
  </si>
  <si>
    <t>2020/09/26</t>
  </si>
  <si>
    <t>2026/05/06</t>
  </si>
  <si>
    <t>2020/10/06</t>
  </si>
  <si>
    <t>2020-09</t>
  </si>
  <si>
    <t>LX2</t>
  </si>
  <si>
    <t>LX21502026W00023000</t>
  </si>
  <si>
    <t>2026/05/14</t>
  </si>
  <si>
    <t>GK02802026W00138200</t>
  </si>
  <si>
    <t>KNANE81BBMS033421</t>
  </si>
  <si>
    <t>[C]1.현상 : 주행중 요소수 경고등 점등 발생으로 입고 2.점검내용 및 원인 : 자기진단결과정상 DPF LNT 강제재생시 슈트량1937.89G 발생으로 머플러챔버 컴버터 재질불량으로 인한 내부 이상으로 슈트량 계속 발생으로 간헐적인 경고등 점등됨 3.조치내용 : 센터머플러교환</t>
  </si>
  <si>
    <t>2020/11/06</t>
  </si>
  <si>
    <t>2026/05/13</t>
  </si>
  <si>
    <t>2020/11/12</t>
  </si>
  <si>
    <t>GK0</t>
  </si>
  <si>
    <t>GX91802026W00026700</t>
  </si>
  <si>
    <t>KNANB81BBMS044692</t>
  </si>
  <si>
    <t>[C]1.현상 : 요소수 경고등 및 750km후 시동 안걸림 문구 표출로 입고 2.점검내용 및 원인 : kds 진단 점검시 P229E00 P220F00 후단 녹스 센서 이상 표출되어 시운전시 센서값 확인시 65555으로 후단 센서값 고정확인되 SCR 탈착 후 점검시 균열 발견됨 3.조치내용 : SCR 교체시 배기온도 센서의 고착으로 변형되어 배기온도 센서와 요소수 도징 클램프도 같이 교환함 재 시운전시 정상 작동 확인 후 정상출고 함</t>
  </si>
  <si>
    <t>00999A0F</t>
  </si>
  <si>
    <t>2020/12/07</t>
  </si>
  <si>
    <t>2026/05/18</t>
  </si>
  <si>
    <t>2020/12/15</t>
  </si>
  <si>
    <t>KK00202026W00067700</t>
  </si>
  <si>
    <t>KNANB81BBNS163939</t>
  </si>
  <si>
    <t>[C]1.현상 : 경고등점등 차량 입고 2.점검내용 및 원인 : P20EE00 SCR 정화효율 낮음 경고등 표출 SCR 막힘 확인 3.조치내용 : SCR 교환후 출고</t>
  </si>
  <si>
    <t>2021/12/22</t>
  </si>
  <si>
    <t>2026/04/29</t>
  </si>
  <si>
    <t>2021/12/23</t>
  </si>
  <si>
    <t>GK23602026W00049900</t>
  </si>
  <si>
    <t>KNANC81BBNS180394</t>
  </si>
  <si>
    <t>[C]1.현상 : 경고등점등 점검의뢰 2.점검내용 및 원인 : P2C7A00 SCR 경고등확인 3.조치내용 : SCR 교환후 정상출고함</t>
  </si>
  <si>
    <t>2022/02/24</t>
  </si>
  <si>
    <t>2026/05/15</t>
  </si>
  <si>
    <t>2022/02/28</t>
  </si>
  <si>
    <t>GK2</t>
  </si>
  <si>
    <t>KK37902026W00069200</t>
  </si>
  <si>
    <t>KNARM81FGRA285285</t>
  </si>
  <si>
    <t>[C]1.현상 : 공회전시 머플러에서 드드드드 소음 과다 발생으로 입고. 2.점검내용 및 원인 : 머플러 소음 과다 발생 확인. 점검시 중앙머플러 내부 소음 과다. 3.조치내용 : 중앙 머플러 교환.</t>
  </si>
  <si>
    <t>2024/03/04</t>
  </si>
  <si>
    <t>2026/05/20</t>
  </si>
  <si>
    <t>2024/03/05</t>
  </si>
  <si>
    <t>KK3</t>
  </si>
  <si>
    <t>GX12402026W00045200</t>
  </si>
  <si>
    <t>KNARJ81FGTA414102</t>
  </si>
  <si>
    <t>[C]1.현상 : 공회전및 악셀 작동시 소음발생 입고 2.점검내용 및 원인 : 동일 조건 확인시 중간머플러 소음발생 확인됨 (소음동영상 첨부) 머플러 부품불량으로 인한 공회전및 악셀 작동시 상기소음발생 확인함 3.조치내용 : 중간 머플러교환</t>
  </si>
  <si>
    <t>JK41902026W00175500</t>
  </si>
  <si>
    <t>KNANC81BBPS378595</t>
  </si>
  <si>
    <t>[C]1.현상 : 주행하다 보면 후미쪽에서 머플러같은게 풀려서 다닥다닥 거리는 소리나신다고 함. 2.점검내용 및 원인 : 정차후 출발시 타닥타닥 소음문의로, 머플러 및 하체부품 외관 전반적인 점검 진행 함. 고객상담진행시 머플러 열에 의한 소음으로 판단됨. 3.조치내용 : 머플러 열에의한 소음으로 고객설명 후 점검후정상 출고</t>
  </si>
  <si>
    <t>28650ATT</t>
  </si>
  <si>
    <t>2023/08/25</t>
  </si>
  <si>
    <t>2023/09/22</t>
  </si>
  <si>
    <t>KX90702026W00031200</t>
  </si>
  <si>
    <t>KNARL81FGTA400232</t>
  </si>
  <si>
    <t>28710C5850-DS</t>
  </si>
  <si>
    <t>[C]1.현상 : 소음기 소음 과다로 입고됨 2.점검내용 및 원인 : 점검 시 소음기 내부 이상으로 인한 현상으로 판단 3.조치내용 : 리어 머플러 교환 후 출고함</t>
  </si>
  <si>
    <t>2025/12/15</t>
  </si>
  <si>
    <t>2026/05/04</t>
  </si>
  <si>
    <t>2025-12</t>
  </si>
  <si>
    <t>KX9</t>
  </si>
  <si>
    <t>2050002026W00758700</t>
  </si>
  <si>
    <t>KNAB3518BTT518668</t>
  </si>
  <si>
    <t>28710G6110</t>
  </si>
  <si>
    <t>[C]1.현상 : 주행중 변속 레버 R, D 레인지 신호대기 정차중 리어측에서 "두두두" 하는 이음 발생 (N, P단 시는 이음 미발생) 2.점검내용 및 원인 : D단 정차 및 에어컨 가동시 엔진, 미션 부하 가중에 따라 리어 머풀러 공명 떨림 변화 차이 발생 점검, 머플러 장착 상태 점검, 하부 충격 점검, 시운전 3.조치내용 : 리어 머플러 불량으로 교환.</t>
  </si>
  <si>
    <t>2026-04</t>
  </si>
  <si>
    <t>205</t>
  </si>
  <si>
    <t>LX00602026W00016500</t>
  </si>
  <si>
    <t>KNARH81GBTA522199</t>
  </si>
  <si>
    <t>28710P4300</t>
  </si>
  <si>
    <t>[C]1.현상 : 차량 고객 인도전 머플러 발청건으로 고객의 차량 인수 거부로 인한 불만 2.점검내용 및 원인 : 리어 머플러 및 머플러 전체 발청으로 인한 신찬 품질불만 제기차량 용접과정 설명하였으나, 납득 못함으로 리어 머플러교환요구. 3.조치내용 : 신품 교환조치후 주재원 고객 면담후 차량 인도 실시함</t>
  </si>
  <si>
    <t>2026/05/16</t>
  </si>
  <si>
    <t>2026/04/27</t>
  </si>
  <si>
    <t>LX0</t>
  </si>
  <si>
    <t>2026051WA</t>
  </si>
  <si>
    <t>2110002026W00314000</t>
  </si>
  <si>
    <t>KNANC81ABTS160041</t>
  </si>
  <si>
    <t>[C]1.현상 : 1) 주행을 하거나 시동시 정차중 뒷쪽 하부에서 텅텅거리는 쇳소리 2.점검내용 및 원인 : 점검결과 주행 후 정차중 소음기에서 열팽창 &amp; 수축 소음이 동일차종 대비 딱~딱~ 과다하게 발생함 (동영상 첨부) 3.조치내용 : 고객불만이 과다하고 동일차종 대비 이음이 과다하여 소음기 교환 및 고객설득후 출고..</t>
  </si>
  <si>
    <t>Q84</t>
  </si>
  <si>
    <t>카니발 상품성개선 하이브리드 24</t>
  </si>
  <si>
    <t>211</t>
  </si>
  <si>
    <t>D05VA7777734218 000</t>
  </si>
  <si>
    <t>KNCSJZ71AT7874410</t>
  </si>
  <si>
    <t>[C]CHECK THE LOUD NOISE WHILE DRIVING [R]REPLACED DEFECTIVE PARTS [T]AFTER CHECK FOUND MUFFLER ASSY-MAIN DEFECTIVE</t>
  </si>
  <si>
    <t>2025/07/07</t>
  </si>
  <si>
    <t>2026/01/20</t>
  </si>
  <si>
    <t>B28VACA198260018001</t>
  </si>
  <si>
    <t>KNDPR3A64J7325641</t>
  </si>
  <si>
    <t>285102G010</t>
  </si>
  <si>
    <t>[D]CONDITION: CONFIRMED CUSTOMER CONCERN CHECK ENGINE ON. SCANNED FOR CODES FOUND P0420 CATALYST SYSTEM EFFICIENCY BELOW THRESHOLD. LOOKED UP VIA KDS DATA ANALYSIS LISTING UPSTREAM AND DOWNSTREAM OXYGENSENSORS. FOUND ABNORMAL DOWNSTREAM O2 SENSOR MIRRORING ACTIVITY TO UPSTREAM O2 SENSOR DUE TO ABNORMAL CATALYST PERFORMANCE. ADVISE REMOVAL AND REPLACEMENT MANIFOLD CATALYST ASSEMBLY,GASKETS AND NUTS.RECHECK AFTER REPAIRS COMPLETING MONITORS. CORRECTION: 69044 130 CONFIRMED CUSTOMER CONCERN CHECK ENGINE ON. SCANNED FOR CODES FOUND P0420 CATALYST SYSTEM EFFICIENCY BELOW THRESHOLD. LOOKED UP VIA KDS DATA ANALYSIS LISTING UPSTREAM AND DOWNSTREAM OXYGEN SENSORS. FOUND ABNORMAL DOWNSTREAM O2 SENSOR MIRRORING ACTIVITY TO UPSTREAM O2 SENSOR DUE TO ABNORMAL CATALYST PERFORMANCE. REMOVED AND REPLACED MANIFOLD CATALYST ASSEMBLY,GASKETS AND NUTS DUE TO INTERNAL CATALYST DETERIORATION INTERNAL TO CATALYST ELEMENT.NO FURTHER RECOMMENDATIONS FOUND. 28530R1ACatalyst Case Assy (Wa</t>
  </si>
  <si>
    <t>28511RZZ</t>
  </si>
  <si>
    <t>2017/05/18</t>
  </si>
  <si>
    <t>2018/04/08</t>
  </si>
  <si>
    <t>2017-05</t>
  </si>
  <si>
    <t>B28VACA198260018002</t>
  </si>
  <si>
    <t xml:space="preserve">B06VA531392671132G </t>
  </si>
  <si>
    <t>KNDPRCA6XJ7476502</t>
  </si>
  <si>
    <t>[C]DIAGNOSE CUSTOMER CONCERN: DIAG FEE OF $179.95 PLUS TAX MAY APPLY: C/S CHECK ENGINE LIGHT IS ON [R].replaced primary catalytic converter, studs, nuts and gaskets. replaced bank 1 primary and secondary O2 sensors. cleared codes. reset adaptive values. road tested - all ok. [T]Scanned vehicle for code and get 2 active codes, code 1 P209600 (primary cat) and code 2 P219600 (o2 sensor bank 1). Inspected the cat and tapped it with rubber mallet and it made rattling noise coming from inside the cat. Removed upper o2 sensor found spotting, running rich top and lean in the bott</t>
  </si>
  <si>
    <t>2018/03/07</t>
  </si>
  <si>
    <t>2026/05/01</t>
  </si>
  <si>
    <t>2019/02/14</t>
  </si>
  <si>
    <t>B28VANC0412670642-B</t>
  </si>
  <si>
    <t>KNDPRCA63K7566723</t>
  </si>
  <si>
    <t>[D]CONDITION: CAR LUNGES AND LOOSES POWER ACCEL AND CKECK ENG LIGHT ON CAUSE: LOW EFFICENCEY CONVERTERCADLITIC CONVERTER COMING APART CORRECTION: REPLACE CAD CONVERTER .</t>
  </si>
  <si>
    <t>2018/09/03</t>
  </si>
  <si>
    <t>2018/11/19</t>
  </si>
  <si>
    <t>B28VACA3242643417-C</t>
  </si>
  <si>
    <t>KNDCR3LE4R5172558</t>
  </si>
  <si>
    <t>[D]CUSTOMER CONCENED CHECK ENGIEN LIGHT IS ON AND FLAHSING AT TIMES VERIFIED CONCERN. TOOK VEHICLE ON A TEST DRIVE AND I WAS ABLE TO DUPLICATE THE LACK OF POWER OR ACCELERATION. PERFORMED TROUBLE CODE SEARCH USING KDS AND FOUND TROUBLE CODES: P0420 CATALYST SYSTEM, P0301, P0302, P0303, P0304, P0300 FOR RANDOM MISFIRES. REMOVED UPSTREAM O2 SENSOR AND PERFORMED CATALYTIC CONVERTER INSPECTION WITH BORE SCOPE CAMERA AND FOUND CATALYTIC CLOGGED, ALSO FOUND ABNORMAL HOT/BURNT SPOTS AROUND MESH FILTER. ALSO REMOVED EXHAUST FLEX PIPE TO INSPECT LOWER END OF CATALYTIC CONVERTER AND FOUND EXCESSIVE DEBRIS OR PARTICLES CONFIRMING CLOGGED CATALYTIC CONVERTER. THIS CONDITION CAN ALSO CAUSE VEHICLE S CYLINDERS TO MISFIRE. AT THIS TIME RECOMMEND REPLACING CATALYTIC CONVERTER AND CONTINUE WITH DIAGNOSIS. VDN# B28VACA324260416001I</t>
  </si>
  <si>
    <t>2024/02/03</t>
  </si>
  <si>
    <t>2024/05/13</t>
  </si>
  <si>
    <t>B28VAFL0102659648-A</t>
  </si>
  <si>
    <t>B28VATX0182689163-1</t>
  </si>
  <si>
    <t>KNDCP3LE4T5332516</t>
  </si>
  <si>
    <t>[D]CUSTOMER STATES CHECK ENGINE LIGHT IS ACTIVE ON DASH. WILL WANT INSPECTED checked vehicle for codes, vehicle had code P04200, monitored O2 sensor live data and found signal erratic from rear O2 sensor, replaced sensor and cleared codes and adaptations. Test drove vehicle and after test drive code came back, found CAT converter not filtering out correctly. replaced CAT converter. Test drove, all okay at this time. No further action needed</t>
  </si>
  <si>
    <t>2025/09/25</t>
  </si>
  <si>
    <t>B28VANV0122637679-A</t>
  </si>
  <si>
    <t>KNDCP3LE7T5344028</t>
  </si>
  <si>
    <t>[D]CUSTOMER STATES CHECK ENGINE LIGHT IS ON---CHECK AND ADVISE. NEED PWA BEFORE REPAIR. VERIFIED THE CUSTOMER S CONCERN OF CHECK ENGINE LIGHT. CHECKED KIA GLOBAL INFORMATION SYSTEM FOR RECALLS,TECHNICAL SERVICE BULLETINS, AND WARRANTY EXTENSIONS AND FOUND NO DOCUMENTS RELATED TO THE VEHICLESCONCERN. ACCESSED THE DIAGNOSTIC PORT AND PERFORMED A SCAN TO FIND ACTIVE CODE(S) P04200 WHICH IS RELATED TO CATALYST SYSTEM EFFICIENCY BELOW THRESHOLD. MONITORED RELATED SCAN TOOL DATA OF THE UPSTREAM O2 SENSOR AND DOWNSTREAM 02 SENSOR TO FIND DATA READING WERE THE SAME INDICATING A DEFECTIVE CATALYTIC CONVERTER. FURTHER EXAMINATION FOUND THE BANK 1 CATALYTIC CONVERTER IS INTERNALLY LOOSE. ACCESSED, REMOVED AND REPLACED THE BANK 1 CATALYTIC CONVERTER WITH ALL OTHER RELATED NEW SEALS GASKETS AND/OR NON-REUSABLE HARDWARE AND REINSTALLED ALL COMPONENTS REMOVED FOR REPAIRS IN THE REVERSE ORDER OF REMOVAL. CLEARED ALL DIAGNOSTIC TROUBLE CODES AND VERIFIED CODES DID NOT RETURN. RESET ADAPTION VALUE</t>
  </si>
  <si>
    <t>2025/11/26</t>
  </si>
  <si>
    <t>2026/04/17</t>
  </si>
  <si>
    <t>2026/01/14</t>
  </si>
  <si>
    <t>D29VA00000202605065</t>
  </si>
  <si>
    <t>KNACR81EGR5108724</t>
  </si>
  <si>
    <t>[C]WARNING LIGHT , CHECK ENGINE [R]REPLACE THE CONVERTER ASSY-WARM [T]P047100 Exhaust Pressure Sensor A Circuit Range/Performance</t>
  </si>
  <si>
    <t>2023/05/22</t>
  </si>
  <si>
    <t>2023/08/23</t>
  </si>
  <si>
    <t>D29</t>
  </si>
  <si>
    <t>PALESTINE</t>
  </si>
  <si>
    <t>C02VB6489AKM2000264</t>
  </si>
  <si>
    <t>KNACR81E9T5332261</t>
  </si>
  <si>
    <t>2853008750</t>
  </si>
  <si>
    <t>[C]LE CLIENT SE PLAINT D'UN TEMOIN MOTEUR ALLUME AVEC PERTE DE PUISSANCE [R]REMPLACEMENT DU FAP ESSAI OK [T]CONFIRMATION DE LA PLAINTE DU CLIENT KDS DTC P042033 EFFICACITE DU CATA EN DESSOUS DU SEUIL MISE DE CAMERA DANS FAP : CASSURES INTERNES. DEFAUT INTERNE DE LA PIECE FAP A REMPLACER</t>
  </si>
  <si>
    <t>2025/09/24</t>
  </si>
  <si>
    <t>2025/11/28</t>
  </si>
  <si>
    <t>C02</t>
  </si>
  <si>
    <t>BELGIUM</t>
  </si>
  <si>
    <t>C28VB00000133053000</t>
  </si>
  <si>
    <t>KNAE351ABK6055222</t>
  </si>
  <si>
    <t>285302C270</t>
  </si>
  <si>
    <t>[C]MARTOR CHECK APRINS IN BORD [R]NECESAR INLOCUIRE CATALIZATOR [T]TESTARE ELECTRONICA DTC P042000, VERIFICARI CONFORM DTC CERAMICA CATALIZATOR DETERIOATA. DEFECT INTERN.</t>
  </si>
  <si>
    <t>2018/11/26</t>
  </si>
  <si>
    <t>2019/02/22</t>
  </si>
  <si>
    <t>2018-11</t>
  </si>
  <si>
    <t>C28</t>
  </si>
  <si>
    <t>ROMANIA</t>
  </si>
  <si>
    <t>B28VANY1522608045-N</t>
  </si>
  <si>
    <t>KNAE25LA2J6017136</t>
  </si>
  <si>
    <t>[D]CONDITION: C/S THAT THE CHECK ENGINE LIGHT IS ON CAUSE: FAULTY CATALYTIC CONVERTOR CORRECTION: 64363 Confirmed clients concerns. Vehicle arrived with a P0420 code. During catalytic converter replacement, two studs broke off into the turbo and the other two were seized. Heat and penetrating oil wereapplied and allowed to soak overnight, but the converter could not be removed. District parts and service manager approved the Catalytic converter and turbo as subsequent damage. The oxygen sensor was also found melted into the assembly, which had to be removed and replaced. Test drove vehicle and everything is working as intended.</t>
  </si>
  <si>
    <t>2017/11/20</t>
  </si>
  <si>
    <t>2026/01/30</t>
  </si>
  <si>
    <t>2018/03/17</t>
  </si>
  <si>
    <t>2017-11</t>
  </si>
  <si>
    <t>B28VANY1522608045-A</t>
  </si>
  <si>
    <t>B28VACT0252672577-1</t>
  </si>
  <si>
    <t>KNAE15LA5K6046554</t>
  </si>
  <si>
    <t>[D]CUSTOMER STATES THE CHECK ENGINE LIGHT IS ON. PLEASE CHECK AND ADVISE. MIL IS NOT ON, CHECKED FOR CODES= ENGINE P042000 HISTORY, CHECKED KGIS FOR MESSAGES= NONE, DTC INSP DONE=HISTORY, EXHAUST SYSTEM INSPECTION FOR RESTRICTION= GOOD, 3-WAY CATALYST INSP DONE= GOOD, O2 SENSORINSP DONE/ KDS DATA MONITOR= DOWNSTREAM READING IS A WAVE FORM. REMOVED CAT CONVERTER FROM VEH AND 3 OF 4 EXH MANIFOLD STUDS TO CAT CONV BROKE BELOW THE SURFACE AND 4TH SPUN INSIDE MANIFOLD. ATTEMPTED TO EXTRACT AND REMOVED BROKEN AND SPUN FASTENERS= UNABLE. PER SI, REPLACED CATALYTIC CONVERTER ASSEMBLY AND REPLACED EXHAUST MANIFOLD/ TURBOCHARGER ASSEMBLY, ASSOCIATED HARDWARE AND GASKETS, CLEAREDDTC S, POST REPAIR ROAD TEST DONE, REFILLED, PRESSURE TESTED COOLING SYSTEM AND BLED AIR FROM COOLING SYSTEM.</t>
  </si>
  <si>
    <t>2018/08/13</t>
  </si>
  <si>
    <t>2019/03/25</t>
  </si>
  <si>
    <t>2018-08</t>
  </si>
  <si>
    <t>B28VATX1322668552-C</t>
  </si>
  <si>
    <t>KNAE15LA4L6073536</t>
  </si>
  <si>
    <t>[D]CONDITION: ADD ON LINE Upon multipoint inspection technician found catalytic converter internal mounting threads stripped, preventing proper fastening of exhaust components. Service Director Cody Kemmerling verified technician findings on 4-13-26. Advised customer of findings on 4-13-26, and customer approved adding warranty line. After customer approved adding warranty line, Service Director Cody Kemmerling approved adding line to replace catalytic converter and gaskets on 4-13-26. CAUSE: Catalytic converter internal mounting threads found stripped, preventing proper installation and securing of exhaust components to specifica CORRECTION: 51181 Catalytic converter internal mounting threadsfound stripped, preventing proper installation and securing of exhaust components to specification.No signs of external influence, condition consistent with internal fault of manufacturer component.. Replaced catalytic converter and associated gaskets per Kia service procedures. Ensured proper torque</t>
  </si>
  <si>
    <t>2019/08/16</t>
  </si>
  <si>
    <t>2020/05/21</t>
  </si>
  <si>
    <t>B28VACA257261287000</t>
  </si>
  <si>
    <t>KNAE15LA8L6080019</t>
  </si>
  <si>
    <t>[D]CUSTOMER STATES THE CHECK ENGINE LIGHT IS ON. CHECK AND ADVISE. CONFIRMED CUSTOMER S CONCERN OF CHECK ENGINE LIGHT PRESETN. SCANNED FOR DIAGNOSTIC TROUBLE CODES. FOUND HISTORY FAULT CODE P0420 (CATALYST SYSTEM EFFICIENCY / BELOW THRESHOLD, BANK 1). PERFORMED A VISUAL INSPECTION USING BORESCOPE, FOUND CATALYTIC CONVERTER HONEYCOMB INTERNALLY DETERIORATING, CAUSING FAULT CODE PO420. RECOMMEND REPLACING CATALYTIC CONVERTER FOR REPAIR.</t>
  </si>
  <si>
    <t>2019/11/25</t>
  </si>
  <si>
    <t>2020/02/15</t>
  </si>
  <si>
    <t>2019-11</t>
  </si>
  <si>
    <t>B28VAMD0692604623-N</t>
  </si>
  <si>
    <t>KNAE15LA8M6089904</t>
  </si>
  <si>
    <t>[D]CUSTOMER STATES: CHECK ENGINE LIGHT IS ON vehicle is chugging on the road recently replaced the pigtail and the fuel pump. SCANNED FOR DTCS P017100 HISTORY REMOVED UPSTREAM O2 SENSOR. WITH BORESCOPE FOUND CATALYST CONVERTER CLOGGED. TECH REPLACED THE CATALYTIC CONVERTER AND VERIFIED REPAIR. Lori Breeden on 2026-04-28 6:21 AM with following comments X1 SUBLETFOR FREIGHT CHARGES. TOTAL FREIGHT CHARGES IS $381.62</t>
  </si>
  <si>
    <t>2020/08/12</t>
  </si>
  <si>
    <t>2021/05/24</t>
  </si>
  <si>
    <t>B28VAMD0692604623-1</t>
  </si>
  <si>
    <t>B28VANY1532643098-A</t>
  </si>
  <si>
    <t>KNDPR3A65L7710001</t>
  </si>
  <si>
    <t>[D]The customer states Check Engine Light is illuminated. Performed an initial inspection of the vehicle upon arrival. Checked KGIS for applicable recalls, Technical Service Bulletins (TSBs), and warranty extensions related to the customer s concern. No applicable recalls, TSBs, or warranty extensions were found for this condition at the time of diagnosis. Connected diagnostic equipment to the vehicle s data link connector (DLC) and performed a full system scan. One activediagnostic trouble code was retrieved: DTC P2096-00 Post Catalyst Fuel Trim System Too Lean (Bank 1). Based on the stored DTC, proceeded with diagnostic testing of the exhaust and catalytic convertersystem in accordance with Kia diagnostic procedures. Examined the catalytic converter and exhaust system. Diagnostic testing and measured catalyst efficiency values indicated the catalyst assembly isnot operating within specification. Test results confirmed that the catalyst system s efficiency has de</t>
  </si>
  <si>
    <t>2019/05/31</t>
  </si>
  <si>
    <t>2019/11/23</t>
  </si>
  <si>
    <t>2019-05</t>
  </si>
  <si>
    <t>B28VAAL0152684289-B</t>
  </si>
  <si>
    <t>KNDPR3A69L7807900</t>
  </si>
  <si>
    <t>[D]CUSTOMER STATES TURBO HAS LOW BOOST / MULTPLIE MISFIRES CAUSE: TECH FOUND THAT DUE TO THE TURBO CHARGER NOTOPERATING CORRECTLY THE TURBO CHARGER HAD DAMAGED THE WHEEL AND THE CATALYST HIVE WAS DAMAGED ASWELL TECH REPLACED CATALYST / TEST DROVE / OPERATESNORMAL AT THIS TIMEOP CODE 28530R1AOP TIME 1.3</t>
  </si>
  <si>
    <t>2020/01/21</t>
  </si>
  <si>
    <t>2026/04/06</t>
  </si>
  <si>
    <t>2020/03/11</t>
  </si>
  <si>
    <t>2020-01</t>
  </si>
  <si>
    <t>B28VAIL0742632462-N</t>
  </si>
  <si>
    <t>[D]CUSTOMER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t>
  </si>
  <si>
    <t>B28VANJ0142690432-A</t>
  </si>
  <si>
    <t>KNDPRCA62L7675868</t>
  </si>
  <si>
    <t>[D]CONDITION: INFORMATION CUSTOMER STATES - check engine light on - vehicle shuts down randomly- scan for codes - $185.96 DIAG fee applies CAUSE: EXHAUST MANIFOLD CORRECTION: 37580 INTERNAL FAILURE WITHIN EXHAUST CATALYTIC CONVERTER SETTING MIL ON WITH P17200 FOR SYSTEM TOO RICH OFF IDLE CONFIRMED HISTORY CEL WITH DTC P017200 FOR SYSTEM TO RICH BANK 1. PERFORMED KDS QUICK CHECK TEST TO FIND BOTH FRONT AND REAR 02 SENSORS FAILED IDLE TEST AND 2K RPMS FOUND INTERNAL RESISTANCE READING OUT OF SPEC. WHEN MONITORING BOTH SENSORS FOUND WHEN DRIVING, REAR 02 SENSOR IS SWITCHING LIKE UPSTREAM SENSOR. REMOVED RELATED COMPONENTS TO ACCESS CATALYTIC CONVERTER ASSY AND REPLACED WITH NEW PART, REPLACED RELATED GASKETS AND HARDWARE. CLEARED RELATED DTC AND CONFIRMED NO ACTIVE OR PENDING CODES OBTAIN PWA NJ0142610110 FROM DPSM</t>
  </si>
  <si>
    <t>2019/03/29</t>
  </si>
  <si>
    <t>2019/07/22</t>
  </si>
  <si>
    <t>2019-03</t>
  </si>
  <si>
    <t xml:space="preserve">B06VA110052669580A </t>
  </si>
  <si>
    <t>KNDPRCA69L7727271</t>
  </si>
  <si>
    <t>[C]Cust reports not shifting, needs to manually switch gears, died randomly going uphill, had to stop vehicle when he started again, couldn't not go up a hill at all. Had vehicle towed in. When vehicle came off tow truck, battery was dead. Got a boost from tech at the shop, vehicle started and was driving. Vehicle doesn't always start on first try and has had to be boosted. - Inspect &amp; advise [R]1151- replaced secondary cat convertor, road test all ok 1004 removed primary cat, found inside catalyst fell apart and is clogging exhaust, confirmed issue, reinstalled new cat and tested, works as designed [T]MIL light ON. Errors found P0420 Catalyst Efficiency Below Threshold and Turbocharger Under Boost stored. Oil level within specifications. Monitor turbo charger adaptation value is acceptable range 4.1V (3.8 - 4.1V specs). Perform inspection borescope the system primary internal catalyst is broken [L]Vehicle is currently unsafe and not roadworthy - unreliable power, engine power cuts completed Backordered part - rental required XTT for secondary cat replacement //Rental March 5th-April 30th -- 56 days ///Some how missed copying all notes across [D]11005PC01E - 03/02 - 04/27 Please elaborate the diagnosis for 28600D9500. DTC code P0420 is applicable only for 285302GSH0.</t>
  </si>
  <si>
    <t>DD2</t>
  </si>
  <si>
    <t>2019/07/02</t>
  </si>
  <si>
    <t>B28VACT0062689062-1</t>
  </si>
  <si>
    <t>KNDPRCA60L7750714</t>
  </si>
  <si>
    <t>[D]CONDITION: Driveability Issues - Runs Rough - Please Describe as much as possible - When / What / How oftern [CUSTOMER STATES CEL ON AND VEHICLE HAS TROUBLE STARTING AT TIMES AND RUNS ROUGH. ISSUE COMES AND GOES] SCANNED FOR CODES - P209600 Post Catalyst Fuel Trim System too Lean (Bank 1). INSPECTED VEHICLE AND FOUND CATALYTIC CONVERTER HONEYCOMB TO BE DISINTEGRATED AND IN NEED OF REPLACEMENT. REPLACED CATALYTIC CONVERTER ASSEMBLY AND VERIFIED PROPER OPERATION AT THIS TIMEWITH NO FAULT CODES.</t>
  </si>
  <si>
    <t>2019/09/02</t>
  </si>
  <si>
    <t>2020/04/27</t>
  </si>
  <si>
    <t>B28VANV012263259001</t>
  </si>
  <si>
    <t>KNDPRCA62M7876901</t>
  </si>
  <si>
    <t>[D]CONDITION: ADD ON -- WHILE PERFORMING LINE A DIAGNOSIS AND REPAIR, TECHNICIAN FOUND RESIDUAL INTERNAL FAILURE OF CATALYTIC CONVERTOR. CAUSE: . CORRECTION:47964 CHECK ENGINE LIGHT ON 28511R00 28511RQ0 90 AFTER REPAIRING THE ENGINE CODE P0420 IS SETTING INSPECTION FOUND THE CAT HAS IMPLODED INTERNALLY REPLACED THE CAT CLEARED THE CODES AND ROAD TEST VEHICLE RECHECK FOR CODES NO CODES OPERATION OK</t>
  </si>
  <si>
    <t>2020/08/29</t>
  </si>
  <si>
    <t>2021/03/02</t>
  </si>
  <si>
    <t>D26VBTR163KM2000606</t>
  </si>
  <si>
    <t>KNCSJX760R7770166</t>
  </si>
  <si>
    <t>[C]ARAÇ ÇEKİCİ İLE GELDİ TURBO HORTUM KISMINDA ÇIKMIŞ MOTOR KISMI YAĞ OLMUŞ ARAÇ ÇEKİŞ DÜŞÜK KONTROL [R]fakat araç dpf tıkalı olduğu için araç gaz yemememekte ve kara duman olarak atmakta konu ile ilgili dpf veri analizi vermemekte veri analizi alamama sebebimiz araç sürekli çalışmadığı için alınamamaktadır aracın dpf değişmesi gerekmektedir. [T]arac cekiçi ile geldi turbo hortum kısmından çıkmıs motor kısmı yağ olmuş arac çekiş düşük kontrol talebiyle geldi. yapılan kds cihaz kontrollerinde aracın P245500 limitin altında diferansiyel basınç arızası görünmekte olup veri analizinden basınç sensöründen okumadığı görüldü aracın diferansiyel b [D]Claime DPF''in iç,dış ve lot numarası fotoğraflarını ekleyiniz. 1-Arıza kodu DTC bölümüne yazılmalıdır.</t>
  </si>
  <si>
    <t>B31</t>
  </si>
  <si>
    <t>2024/01/26</t>
  </si>
  <si>
    <t>2026/05/02</t>
  </si>
  <si>
    <t>2024/03/29</t>
  </si>
  <si>
    <t>PU DPF</t>
    <phoneticPr fontId="2" type="noConversion"/>
  </si>
  <si>
    <t xml:space="preserve">B06VA720362645649A </t>
  </si>
  <si>
    <t>KNDRMDJH0S5387856</t>
  </si>
  <si>
    <t>[C]customer states that the check engine light is on [R]removed and replace and tested and is now working to design [T]verified concern and found code p0420 for the Catalyst System Efficiency Below Threshold, tested over the system and found that the catalytic converter is not cleaning the exhaust gases effectively, when removed found the honey comb was clogged up not letting the gasses pass thru it [D]Hello, please provide more details on not cleaning properly; was something clogged, leaking, etcs.</t>
  </si>
  <si>
    <t>2025/03/05</t>
  </si>
  <si>
    <t xml:space="preserve">B06VA720512605931A </t>
  </si>
  <si>
    <t>KNDRMDJH6S5402876</t>
  </si>
  <si>
    <t>[C]MISC - THE CUSTOMER STATES THE VEHICLE IS ALMOST IN A LIMP STATE - CHECK AND REPORT [R]REQUIRES SECONDARY CAT REPLACEMENT [T]PERFORMD TEST DRIVE VEHICLE ACCELERATING AS EXPECTED SCANNED SYSTEM, STORED HISTORY CODE FOR LOW FUEL PRESSURE REVIEWED LIVE DATA OF TEST DRIVE, CONFIRMED FUEL PRESSURE WITHIN SPEC, SENSOR ACCURATE REVIEWED VIDEO OF COMPLAINT NOTED BATTERY POWER LOW IN VIDEO IF BATTERY LOW ACCELERATION WILL NO [L]XTT time for extensive diagnostic. It took several steps and attempts to get to the bottom of the issue. RO, notes and punch times sent to warranty atlantic. Spent 5.86 hours on diag, asking for 5 to cover that. Thank you. took out xtt When initial problem happened the customers were out of town. T [D]Hello, please reduce rental to 1596.00 - invoices received. 72051PD06E - 04/10 - 05/13 = 33 days + 5 days = 1596.00, work shop delays are not applicable Please elaborate your diagnosis and XTT request. Most of these tests were performed during the previous repair - 2504506A. It appears the catalytic converter 285002MAE5 was misdiagnosed as it did not fix the issue.</t>
  </si>
  <si>
    <t>B32</t>
  </si>
  <si>
    <t>2025/04/21</t>
  </si>
  <si>
    <t>2026/03/27</t>
  </si>
  <si>
    <t>2025/10/03</t>
  </si>
  <si>
    <t>B28VANJ0512602016-3</t>
  </si>
  <si>
    <t>KNDCR3LE0P5039647</t>
  </si>
  <si>
    <t>[D]CUSTOMER STATES: CAR OVER HEATED ON ONLY ONE OCCASION. Cause: Verified customer concern. Performed inspection of cooling and exhaust systems. Found coolant present within exhaust components, indicating internal coolant leakage. Further inspection isolated concern to EGR cooler assembly not maintaining proper internal seal and not operating within specification. Correction: Removed and replaced EGR cooler assembly per Kia service procedure. Topped off coolant and performed cooling system bleeding procedure. Reset adaptive values. Performed road test and confirmed normal engine temperature maintained with no overheating condition present. Verified coolant level remains stable and heating system operates properly. Vehicle operating as designed.</t>
  </si>
  <si>
    <t>I42</t>
  </si>
  <si>
    <t>2022/07/29</t>
  </si>
  <si>
    <t>2023/01/23</t>
  </si>
  <si>
    <t>과열</t>
  </si>
  <si>
    <t>B28VA9202 2682688-2</t>
  </si>
  <si>
    <t>KNDCR3LE4P5080198</t>
  </si>
  <si>
    <t>[D]: CUST STATES COOLANT LEAK , ENGINE OVERHEATING. ADDED COOLANT YESTERDAY AFT ER FINDING RESIVOIR LOW, COOLANT ALREADY LOW AGAI N. CHECK AND ADVIS found exhaust coolant pre heater to be leaking internally causing coolant to be burnt off. recommend to replace. replaced muffler assembly and performed coolant level adjustment and system bleeding REQUESTING STRAIGHT TIME FOR COOLANT ADJUSTMENT , DUE TO CANNOT OVERLAP LABOR OPS</t>
  </si>
  <si>
    <t>2023/01/11</t>
  </si>
  <si>
    <t>2026/04/23</t>
  </si>
  <si>
    <t>2023/03/28</t>
  </si>
  <si>
    <t>B28VACA2732649889-1</t>
  </si>
  <si>
    <t>B28VACA2732649889-N</t>
  </si>
  <si>
    <t>28610RZZ</t>
  </si>
  <si>
    <t>D05VA7777734174 000</t>
  </si>
  <si>
    <t>KNARH81D3S5331030</t>
  </si>
  <si>
    <t>28650P2840</t>
  </si>
  <si>
    <t>[C]Check the exhaust noise while driving [R]Replaced the center muffler assy. [T]After checking we found the noise from the center muffler Assy.</t>
  </si>
  <si>
    <t>2024/11/22</t>
  </si>
  <si>
    <t>2026/05/12</t>
  </si>
  <si>
    <t>2025/03/29</t>
  </si>
  <si>
    <t>2024-11</t>
  </si>
  <si>
    <t>C24VACZ136KM2600016</t>
  </si>
  <si>
    <t>KNARH81GDP5189668</t>
  </si>
  <si>
    <t>2023/06/23</t>
  </si>
  <si>
    <t>C24</t>
  </si>
  <si>
    <t>CZECH</t>
  </si>
  <si>
    <t>E37VASA224KM2000094</t>
  </si>
  <si>
    <t>KNCSHX76LR7803816</t>
  </si>
  <si>
    <t>[C]Customer states that there is a blowing noise coming from exhaust [R]Replace front exhaust resonator [T]Check and found material defect with exhaust resonator [L]10 000KM Service v1.0 KNCSHX76LR7803816 10119 2025-08-01 20 000KM Service v1.0 KNCSHX76LR7803816 20062 2025-11-13 30 000KM Service v1.0 KNCSHX76LR7803816 29996 2026-03-25 PWA to be resubmitted, as processor requested change of causal part number</t>
  </si>
  <si>
    <t>2025/01/18</t>
  </si>
  <si>
    <t>E37VASA218KM2000163</t>
  </si>
  <si>
    <t>KNCSHX76LS7814072</t>
  </si>
  <si>
    <t>[C]Check blowing noise from exhaust Sumen [R]Removed and replaced exhaust and gasket [T]Blowing noise from exhaust cause due to poor welding on exhaust box seam vdn 260330003i [L]10000km 10423km 20/10/2025 20000km 21245km 10/12/2025 30000km 30273km 21/01/2026 40000km 38945km 26/03/2026</t>
  </si>
  <si>
    <t>2024/08/14</t>
  </si>
  <si>
    <t>2025/07/03</t>
  </si>
  <si>
    <t>E37VASA096KM2000027</t>
  </si>
  <si>
    <t>KNCSHX76LS7818980</t>
  </si>
  <si>
    <t>[C]Fransie Marx - Customer complained about the exhaust that cracked. [R]Need to replace muffler. Repair delay: Part was on back order and awaiting customer to come in for fitment. [T]VDN 260330004I - Investigate and found that the muffler cracked. [L]01/14/2026 11087km 05/06/2026 20368km</t>
  </si>
  <si>
    <t>2024/09/06</t>
  </si>
  <si>
    <t>2025/08/04</t>
  </si>
  <si>
    <t>2024-09</t>
  </si>
  <si>
    <t>E37VASA219KM2000111</t>
  </si>
  <si>
    <t>KNCSHX76LS7821188</t>
  </si>
  <si>
    <t>[C]Customer states noise from exhaust haroun [R]Remove and replace centre silencer &amp; exhaust gasket [T]Checked &amp; found centre exhaust silencer has disintegrate due to inferior material used,side sealing has opened causing exhaust to leak fumes causing noise//vdn260411004i [L]10000km@9955km(27/09/2025)-20000km@19844km(08/11/2025)-30000km@29747km(06/01/2026)-40000km@45619km(11/04/2026) Claim updated with superceded part no.287512P000 -Part no. 287513J000 which was on back order not supplied</t>
  </si>
  <si>
    <t>2024/09/26</t>
  </si>
  <si>
    <t>2026/04/11</t>
  </si>
  <si>
    <t>2025/07/23</t>
  </si>
  <si>
    <t xml:space="preserve">B06VA611232683902A </t>
  </si>
  <si>
    <t>KNDCR3LE6S5253230</t>
  </si>
  <si>
    <t>[C]CLIENT MENTIONNE UN BRUIT DE GRONDEMENT [R]replaced muffler and gasket. went on road test, did not hear anymore leak. repair complete. [T]En fesant l'essaie routier, entendu une perte au niveau du silencieux. Il y a une perte au niveau du silencieux. fait estimé pour silencieux et gasket.</t>
  </si>
  <si>
    <t>2024/12/06</t>
  </si>
  <si>
    <t>2025/03/17</t>
  </si>
  <si>
    <t>A02VE87250260000017</t>
  </si>
  <si>
    <t>KNAB2512MTT501207</t>
  </si>
  <si>
    <t>[C]MUFFLER RUSTED- NOTED AT PD [R]REMOVED AND REPLACED AS REQUIRED. ALL OKAY [T]VERIFIED CONCERN, FOUND BOTH FRONT AND REAR MUFFLER ASSYS TO BE RUSTED,. REQUIRES REPLACEMENT OF FRONT AND REAR MUFFLER INCLUDING SINGLE USE GASKETS ETC.</t>
  </si>
  <si>
    <t xml:space="preserve">B21VBMAN0226050112 </t>
  </si>
  <si>
    <t>KNCWJX72AS7766697</t>
  </si>
  <si>
    <t>[C]NOISE FROM EXHAUST TUBE END [R]TO REPLACE DEFECTIVE EXHAUST TUBE END [T]DUE CRACKED EXHAUST TUBE</t>
  </si>
  <si>
    <t>2024/01/15</t>
  </si>
  <si>
    <t>2024/05/24</t>
  </si>
  <si>
    <t xml:space="preserve">B21VBMAN0226050101 </t>
  </si>
  <si>
    <t>KNCWJX72AT7878542</t>
  </si>
  <si>
    <t>[C]NOISE FROM EXHAUST TUBE ASSY [R]TO REPLACE DEFECTIVE EXHAUST TUBE ASSY [T]DUE CRACKED EXHAUST TUBE ASSY</t>
  </si>
  <si>
    <t>2025/07/24</t>
  </si>
  <si>
    <t>2026/05/08</t>
  </si>
  <si>
    <t>B28VAMD0492672753-1</t>
  </si>
  <si>
    <t>KNDRKDLG7R5235299</t>
  </si>
  <si>
    <t>287512B650</t>
  </si>
  <si>
    <t>GASKET</t>
  </si>
  <si>
    <t>25467R1H</t>
  </si>
  <si>
    <t>2023/09/06</t>
  </si>
  <si>
    <t>2023/12/29</t>
  </si>
  <si>
    <t>B05VABR464000568978</t>
  </si>
  <si>
    <t>9UWSHX76ASN040482</t>
  </si>
  <si>
    <t>2024/10/25</t>
  </si>
  <si>
    <t>2024/12/23</t>
  </si>
  <si>
    <t>2520002026W00257900</t>
  </si>
  <si>
    <t>KNAE551CDPS128465</t>
  </si>
  <si>
    <t>285303LVE0</t>
  </si>
  <si>
    <t>CONVERTER ASSY-W/UP CAT,LH</t>
  </si>
  <si>
    <t>[C]1.현상 : 주행중 엔진경고등 발생 P043000, 촉매 정화능력 저하(뱅크2) 경고등 점등으로 차량 입고함 2.점검내용 및 원인 : KDS 진단 장비 결과 P043000, 촉매 정화능력 저하(뱅크2) 고장 코드 확인됨 3.조치내용 : 해당 부품 교환후 점검시 정상 확인됨, 점검및 정비 내용 고객 설명후 차량 정상 출고함</t>
  </si>
  <si>
    <t>39213R2L</t>
  </si>
  <si>
    <t>2022/10/13</t>
  </si>
  <si>
    <t>2022/10/14</t>
  </si>
  <si>
    <t>252</t>
  </si>
  <si>
    <t>L030002026200363500</t>
  </si>
  <si>
    <t>KMTG641EBSU157930</t>
  </si>
  <si>
    <t>[C]1.현상 : 냉간사 소음 발생 2.점검내용 및 원인 : 냉간시 후 가속시 휘리릭 하는 이상소음 발생 열간시는 소음미발생됨. 소음발생부위 점검 우측부위 는 가스켓 부위 소음확인되며 좌측부위 도 고정부위 이상으로 소음발생 확인되어 촉매 좌측 교환 조치함 3.조치내용 : 좌측 캐털리스트 케이스 교환 4.요망사항 : 요망사항없음</t>
  </si>
  <si>
    <t>2025/01/17</t>
  </si>
  <si>
    <t>2025/02/18</t>
  </si>
  <si>
    <t>L03</t>
  </si>
  <si>
    <t>D06AA00018z24582000</t>
  </si>
  <si>
    <t>KMHHC8116SU153814</t>
  </si>
  <si>
    <t>[C]נורת תקלה דולקתרכב לא מגיע ל100 קמ"ש [R]הוחלפה סעפת [T]סעפת סתומה</t>
  </si>
  <si>
    <t>2025/05/22</t>
  </si>
  <si>
    <t>2026/04/19</t>
  </si>
  <si>
    <t>B28AACO03841833A000</t>
  </si>
  <si>
    <t>KMHLW4AK2NU006803</t>
  </si>
  <si>
    <t>[C]CUSTOMER STATES THE CHECK ENGGINE LIGHT IS ON AND SEEMS AS IF THE VEHICLE IS UNDER BOOST CHECK AND ADVISE [R]PERFORMED A GLOBAL DIAGNOSTIC SYSTEM SCAN TO FIND ACTIVE CODES PO299 WHICH IS RELATED TO UNDER BOOST TO FIND NO RELEVANT CODES IN HISTORY TO FIND NO RELEVANT PENDING CODES AND THEN CLEARED ALL CODES AND RECONFIRMED ACTIVE DIAGNOSTIC TROUBLE CODES FURTHER EXAMINATION FOUND THE BANK 1 CATALYTIC CONVER [T]VERIFIED THE CUSTOMERS CONCERN OF CHECK ENGINE LIGHT CHECKED FOR APPLICABLE CAMPAIGNS AND TECHNICALSERVICE BULLETINS AND FOUND NO DOCUMENTS RELATED TO THE VEHICLES CONCERN</t>
  </si>
  <si>
    <t>2022/05/20</t>
  </si>
  <si>
    <t>2026/02/05</t>
  </si>
  <si>
    <t>2022/07/01</t>
  </si>
  <si>
    <t>B28AACA01M73789R000</t>
  </si>
  <si>
    <t>KMHT36AH4NU011896</t>
  </si>
  <si>
    <t>285302GTB0</t>
  </si>
  <si>
    <t>[C]CUSTOMER STATES CHECK ENGINE LIGHT ON CHECK AND ADVISE [R]REPLACED CATALYST ASSEMBLY UNDER POWER TRAIN WARRANTY CLEARED DTC SYSTEM OK TEST DROVE MILES OUT 46904 SYSTEM OK DONE CATALYST ASSEMBLY 28530R001.7 ADD DIAGNOSIS 28530RQ0 0.3 [T]VERIFY CUSTOMER CONCERN FOUND DTC P0420 LOW EFFICIENCY CATALYST UPON TEST DRIVE FOUDN VEHICLE POOR ACCELERATION SULFUR SMELL PARTS ORDER</t>
  </si>
  <si>
    <t>2021/06/11</t>
  </si>
  <si>
    <t>2021/10/06</t>
  </si>
  <si>
    <t>B28AACA01M73789A000</t>
  </si>
  <si>
    <t>B28AAMS0434066NB000</t>
  </si>
  <si>
    <t>KM8KH3AC2NU004574</t>
  </si>
  <si>
    <t>[C]CUSTOMER STATES CHECK ENGINE LIGHT IS ON DASH [R]REMOVED AND REPLACED CATALYTIC CONVERTER WITH NEW O2 SENSORS CLEARED CODES RESET ADAPTIVES AND TESTDROVE VEHICLE NO FURTHER ISSUES AT THIS TIME [T]UPON INSPECTION FOUND THAT CODE P0420 IS SET FOR CATALYST EFFICIENCY DETERMINED THAT CATALYTIC CONVERTER FAILED AND INEFFICIENCY CAUSED FA</t>
  </si>
  <si>
    <t>2022/04/13</t>
  </si>
  <si>
    <t>2022/06/25</t>
  </si>
  <si>
    <t>B28AAMS04304066R000</t>
  </si>
  <si>
    <t>B06AA22021260401001</t>
  </si>
  <si>
    <t>KM8KH3ACXPU011193</t>
  </si>
  <si>
    <t>[C]CUSTOMER STATES THE VEHICLE WENT INTO LYMPH MODE AND CHECK ENGINE LIGHT IS ON [R]will need Cat and all gaskets ,studs, nuts. While replacing cat find 2 bolts has let go off of turbo and one stripped out turbo,. needs new turbo and all gaskets Re and Re all, rechecked and find all ok now [T]checked for car going into limp mode and mil on checked for dtcs found 1 p132600 updated case with hytech, Case # 424229142 was told to get flight record from cold to warm up and checked data and found reading from 02 sensors indicate internal fault with cat. [L]April 22--repair is completed. Thank you April 9-spoke with shop foreman and he states they tried putting on nuts and welding it turned cherry red and did not budge just keep breaking further in [D]JA- approved as per version 3 am 4/9: Please proceed per version 2 Sam 4/9: Can we machine the bolts out and heli coil?</t>
  </si>
  <si>
    <t>2023/03/22</t>
  </si>
  <si>
    <t>2023/11/28</t>
  </si>
  <si>
    <t>D15VCS4004W048743C1</t>
  </si>
  <si>
    <t>KNAE551C2P6138012</t>
  </si>
  <si>
    <t>285303LVL0</t>
  </si>
  <si>
    <t>[C]Check cluster engine light on [R]Performed replaced catalytic converter bank1 [T]Upon inspection check by kds dtc p042000 catalyst system efficiency below threshold banks found catalyst converter faulty due internal failure</t>
  </si>
  <si>
    <t>2023/04/06</t>
  </si>
  <si>
    <t>2024/02/29</t>
  </si>
  <si>
    <t>E</t>
    <phoneticPr fontId="6" type="noConversion"/>
  </si>
  <si>
    <t>202605CWW</t>
  </si>
  <si>
    <t>B05AM26050202050183</t>
  </si>
  <si>
    <t>9BHCU51AANP335644</t>
  </si>
  <si>
    <t>2022/06/02</t>
  </si>
  <si>
    <t>2026/05/21</t>
  </si>
  <si>
    <t>2022/06/21</t>
  </si>
  <si>
    <t>B05AM05008202050105</t>
  </si>
  <si>
    <t>9BHCP51AAPP370366</t>
  </si>
  <si>
    <t>2022/08/29</t>
  </si>
  <si>
    <t>2022/12/23</t>
  </si>
  <si>
    <t>GK18902026W00088100</t>
  </si>
  <si>
    <t>KNACH811BPT369042</t>
  </si>
  <si>
    <t>20230824</t>
  </si>
  <si>
    <t>20260514</t>
  </si>
  <si>
    <t>20230825</t>
  </si>
  <si>
    <t>JK41902026W00174500</t>
  </si>
  <si>
    <t>KNACG811BRT410423</t>
  </si>
  <si>
    <t>20240925</t>
  </si>
  <si>
    <t>20260512</t>
  </si>
  <si>
    <t>20240927</t>
  </si>
  <si>
    <t>EX01302026W00090200</t>
  </si>
  <si>
    <t>KNACG811BTT467508</t>
  </si>
  <si>
    <t>20260212</t>
  </si>
  <si>
    <t>20260508</t>
  </si>
  <si>
    <t>20260220</t>
  </si>
  <si>
    <t>A02VE85086260500009</t>
  </si>
  <si>
    <t>KNAB2512MLT593583</t>
  </si>
  <si>
    <t>20191004</t>
  </si>
  <si>
    <t>20260505</t>
  </si>
  <si>
    <t>20191126</t>
  </si>
  <si>
    <t>B08VACL00210463 000</t>
  </si>
  <si>
    <t>KNAB2512ATT339854</t>
  </si>
  <si>
    <t>20241214</t>
  </si>
  <si>
    <t>20251230</t>
  </si>
  <si>
    <t>C11VC08934KM2000393</t>
  </si>
  <si>
    <t>KNAB3511AKT497592</t>
  </si>
  <si>
    <t>20190329</t>
  </si>
  <si>
    <t>20260504</t>
  </si>
  <si>
    <t>20190627</t>
  </si>
  <si>
    <t>C21VA2211 KM2000171</t>
  </si>
  <si>
    <t>KNAB3518LPT138950</t>
  </si>
  <si>
    <t>20230519</t>
  </si>
  <si>
    <t>20260409</t>
  </si>
  <si>
    <t>C10VB3091 KM2000412</t>
  </si>
  <si>
    <t>KNAB3518YPT207110</t>
  </si>
  <si>
    <t>20231207</t>
  </si>
  <si>
    <t>20260331</t>
  </si>
  <si>
    <t>20240322</t>
  </si>
  <si>
    <t>C10</t>
  </si>
  <si>
    <t>IRELAND</t>
  </si>
  <si>
    <t>C07VA2649AKM2000092</t>
  </si>
  <si>
    <t>KNAB3518APT217495</t>
  </si>
  <si>
    <t>20240110</t>
  </si>
  <si>
    <t>20260225</t>
  </si>
  <si>
    <t>20240328</t>
  </si>
  <si>
    <t>C16VCPG069KM2000232</t>
  </si>
  <si>
    <t>KNAB3518JST255500</t>
  </si>
  <si>
    <t>20240426</t>
  </si>
  <si>
    <t>20260323</t>
  </si>
  <si>
    <t>20241008</t>
  </si>
  <si>
    <t>C10VB3086 KM2000411</t>
  </si>
  <si>
    <t>KNAB2518LST368319</t>
  </si>
  <si>
    <t>20250310</t>
  </si>
  <si>
    <t>20260327</t>
  </si>
  <si>
    <t>20250820</t>
  </si>
  <si>
    <t>C07VA2841AKM2000267</t>
  </si>
  <si>
    <t>KNAB351AANT978516</t>
  </si>
  <si>
    <t>20220531</t>
  </si>
  <si>
    <t>20260302</t>
  </si>
  <si>
    <t>20220831</t>
  </si>
  <si>
    <t>C11VC09249KM2000133</t>
  </si>
  <si>
    <t>KNADA818AN6706409</t>
  </si>
  <si>
    <t>20220525</t>
  </si>
  <si>
    <t>20260310</t>
  </si>
  <si>
    <t>20220822</t>
  </si>
  <si>
    <t>C17VC3A604KM2000266</t>
  </si>
  <si>
    <t>KNADB518AP6855614</t>
  </si>
  <si>
    <t>20230524</t>
  </si>
  <si>
    <t>20260116</t>
  </si>
  <si>
    <t>20230831</t>
  </si>
  <si>
    <t>C16VCPG079KM2000223</t>
  </si>
  <si>
    <t>KNADA818ART921642</t>
  </si>
  <si>
    <t>20230925</t>
  </si>
  <si>
    <t>20260420</t>
  </si>
  <si>
    <t>20231219</t>
  </si>
  <si>
    <t>D19VA00008D870248</t>
  </si>
  <si>
    <t>KNAB351AJMT717648</t>
  </si>
  <si>
    <t>20200731</t>
  </si>
  <si>
    <t>20250919</t>
  </si>
  <si>
    <t>20201211</t>
  </si>
  <si>
    <t>D19VA00001D1178063</t>
  </si>
  <si>
    <t>KNAB351AJMT747425</t>
  </si>
  <si>
    <t>20201027</t>
  </si>
  <si>
    <t>20250724</t>
  </si>
  <si>
    <t>20201216</t>
  </si>
  <si>
    <t>2020-10</t>
  </si>
  <si>
    <t>D19VA00020D2061155</t>
  </si>
  <si>
    <t>KNAB251AJMT752635</t>
  </si>
  <si>
    <t>20201106</t>
  </si>
  <si>
    <t>20251014</t>
  </si>
  <si>
    <t>20210203</t>
  </si>
  <si>
    <t>D19VA00017D1721065</t>
  </si>
  <si>
    <t>KNAB351AJMT755482</t>
  </si>
  <si>
    <t>20201112</t>
  </si>
  <si>
    <t>20260113</t>
  </si>
  <si>
    <t>20210215</t>
  </si>
  <si>
    <t>D19VA00001D1177838</t>
  </si>
  <si>
    <t>KNAB251AAMT819443</t>
  </si>
  <si>
    <t>20210429</t>
  </si>
  <si>
    <t>20260419</t>
  </si>
  <si>
    <t>D19VA00017D1721276</t>
  </si>
  <si>
    <t>KNAB251AJMT827035</t>
  </si>
  <si>
    <t>20210521</t>
  </si>
  <si>
    <t>20251125</t>
  </si>
  <si>
    <t>20210824</t>
  </si>
  <si>
    <t>D19VA00017D1718133</t>
  </si>
  <si>
    <t>KNAB351AJNT852131</t>
  </si>
  <si>
    <t>20210714</t>
  </si>
  <si>
    <t>20260330</t>
  </si>
  <si>
    <t>20211013</t>
  </si>
  <si>
    <t>D19VA00001D1176464</t>
  </si>
  <si>
    <t>KNAB251AANT955882</t>
  </si>
  <si>
    <t>20220331</t>
  </si>
  <si>
    <t>20260414</t>
  </si>
  <si>
    <t>20220624</t>
  </si>
  <si>
    <t>D19VA00001D1176565</t>
  </si>
  <si>
    <t>KNAB251AANT955878</t>
  </si>
  <si>
    <t>20260426</t>
  </si>
  <si>
    <t>20220621</t>
  </si>
  <si>
    <t>D19VA00001D1177747</t>
  </si>
  <si>
    <t>KNAB351AJPT023788</t>
  </si>
  <si>
    <t>20220921</t>
  </si>
  <si>
    <t>20260417</t>
  </si>
  <si>
    <t>20221206</t>
  </si>
  <si>
    <t>D19VA00002D280837</t>
  </si>
  <si>
    <t>KNAB251AAPT135195</t>
  </si>
  <si>
    <t>20230512</t>
  </si>
  <si>
    <t>20230719</t>
  </si>
  <si>
    <t>D19VA00001D1176597</t>
  </si>
  <si>
    <t>KNAB351AJPT208962</t>
  </si>
  <si>
    <t>20231213</t>
  </si>
  <si>
    <t>20260425</t>
  </si>
  <si>
    <t>20240314</t>
  </si>
  <si>
    <t>D19VA00001D1176529</t>
  </si>
  <si>
    <t>KNAB251AAST268851</t>
  </si>
  <si>
    <t>20240603</t>
  </si>
  <si>
    <t>20240814</t>
  </si>
  <si>
    <t>D19VA00001D1176525</t>
  </si>
  <si>
    <t>KNAB251AAST269796</t>
  </si>
  <si>
    <t>20240605</t>
  </si>
  <si>
    <t>20240819</t>
  </si>
  <si>
    <t>D19VA00001D1170213</t>
  </si>
  <si>
    <t>KNAB251AAST306621</t>
  </si>
  <si>
    <t>20240924</t>
  </si>
  <si>
    <t>20260401</t>
  </si>
  <si>
    <t>20241127</t>
  </si>
  <si>
    <t>D19VA00001D1176485</t>
  </si>
  <si>
    <t>KNADC518AM6475143</t>
  </si>
  <si>
    <t>20200811</t>
  </si>
  <si>
    <t>20250723</t>
  </si>
  <si>
    <t>20201127</t>
  </si>
  <si>
    <t>D19VA00001D1172804</t>
  </si>
  <si>
    <t>KNADE518AM6525279</t>
  </si>
  <si>
    <t>20210106</t>
  </si>
  <si>
    <t>20250625</t>
  </si>
  <si>
    <t>20210303</t>
  </si>
  <si>
    <t>D19VA00008D868619</t>
  </si>
  <si>
    <t>KNADC518AM6533521</t>
  </si>
  <si>
    <t>20210126</t>
  </si>
  <si>
    <t>20210331</t>
  </si>
  <si>
    <t>D19VA00011D1116696</t>
  </si>
  <si>
    <t>KNADC518AM6534689</t>
  </si>
  <si>
    <t>20210128</t>
  </si>
  <si>
    <t>20210518</t>
  </si>
  <si>
    <t>D19VA00002D27751000</t>
  </si>
  <si>
    <t>KNADC518AM6552783</t>
  </si>
  <si>
    <t>20210313</t>
  </si>
  <si>
    <t>20210603</t>
  </si>
  <si>
    <t>D19VA00011D1118004</t>
  </si>
  <si>
    <t>KNADE518AN6621961</t>
  </si>
  <si>
    <t>20210928</t>
  </si>
  <si>
    <t>20250721</t>
  </si>
  <si>
    <t>D19VA00001D1178040</t>
  </si>
  <si>
    <t>KNADC518AN6632748</t>
  </si>
  <si>
    <t>20260418</t>
  </si>
  <si>
    <t>20220104</t>
  </si>
  <si>
    <t>D19VA00001D1176353</t>
  </si>
  <si>
    <t>KNADE518AN6670458</t>
  </si>
  <si>
    <t>20220224</t>
  </si>
  <si>
    <t>20220427</t>
  </si>
  <si>
    <t>D19VA00020D2060950</t>
  </si>
  <si>
    <t>KNADC518AN6674917</t>
  </si>
  <si>
    <t>20220308</t>
  </si>
  <si>
    <t>20251112</t>
  </si>
  <si>
    <t>20220519</t>
  </si>
  <si>
    <t>D19VA00008D868545</t>
  </si>
  <si>
    <t>KNADC518AN6722252</t>
  </si>
  <si>
    <t>20250526</t>
  </si>
  <si>
    <t>20220824</t>
  </si>
  <si>
    <t>D19VA00001D1176570</t>
  </si>
  <si>
    <t>KNADC518AN6722810</t>
  </si>
  <si>
    <t>20220725</t>
  </si>
  <si>
    <t>20221115</t>
  </si>
  <si>
    <t>D19VA00001D1176586</t>
  </si>
  <si>
    <t>KNADC518AN6738463</t>
  </si>
  <si>
    <t>D19VA00017D1719846</t>
  </si>
  <si>
    <t>KNADE518AN6747320</t>
  </si>
  <si>
    <t>20220908</t>
  </si>
  <si>
    <t>20251129</t>
  </si>
  <si>
    <t>20221201</t>
  </si>
  <si>
    <t>D19VA00001D1176534</t>
  </si>
  <si>
    <t>KNADC518AN6749890</t>
  </si>
  <si>
    <t>20221109</t>
  </si>
  <si>
    <t>D19VA00001D1178178</t>
  </si>
  <si>
    <t>KNADC518AN6758420</t>
  </si>
  <si>
    <t>20221012</t>
  </si>
  <si>
    <t>20230110</t>
  </si>
  <si>
    <t>D19VA00001D1178385</t>
  </si>
  <si>
    <t>KNADC518AN6758416</t>
  </si>
  <si>
    <t>20230111</t>
  </si>
  <si>
    <t>D19VA00020D2061290</t>
  </si>
  <si>
    <t>KNADE518AN6759644</t>
  </si>
  <si>
    <t>20221014</t>
  </si>
  <si>
    <t>20230102</t>
  </si>
  <si>
    <t>D19VA00003D368554</t>
  </si>
  <si>
    <t>KNADE518AN6775472</t>
  </si>
  <si>
    <t>20221122</t>
  </si>
  <si>
    <t>20260408</t>
  </si>
  <si>
    <t>20230208</t>
  </si>
  <si>
    <t>D19VA00001D1178016</t>
  </si>
  <si>
    <t>KNADC518AP6781189</t>
  </si>
  <si>
    <t>20230428</t>
  </si>
  <si>
    <t>D19VA00001D1176490</t>
  </si>
  <si>
    <t>KNADC518AP6803346</t>
  </si>
  <si>
    <t>20230130</t>
  </si>
  <si>
    <t>20260428</t>
  </si>
  <si>
    <t>20230417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</si>
</sst>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
    <numFmt numFmtId="178" formatCode="#,##0,"/>
  </numFmts>
  <fonts count="12" x14ac:knownFonts="1">
    <font>
      <sz val="11"/>
      <color theme="1"/>
      <name val="맑은 고딕"/>
      <family val="2"/>
      <charset val="129"/>
      <scheme val="minor"/>
    </font>
    <font>
      <sz val="9"/>
      <name val="굴림체"/>
      <family val="3"/>
      <charset val="129"/>
    </font>
    <font>
      <sz val="8"/>
      <name val="맑은 고딕"/>
      <family val="2"/>
      <charset val="129"/>
      <scheme val="minor"/>
    </font>
    <font>
      <sz val="11"/>
      <color theme="1"/>
      <name val="굴림"/>
      <family val="3"/>
      <charset val="129"/>
    </font>
    <font>
      <b/>
      <sz val="11"/>
      <color theme="1"/>
      <name val="맑은 고딕"/>
      <family val="3"/>
      <charset val="129"/>
      <scheme val="minor"/>
    </font>
    <font>
      <sz val="8"/>
      <name val="맑은 고딕"/>
      <family val="3"/>
      <charset val="129"/>
    </font>
    <font>
      <sz val="8"/>
      <name val="맑은 고딕"/>
      <family val="3"/>
      <charset val="129"/>
      <scheme val="minor"/>
    </font>
    <font>
      <sz val="11"/>
      <color indexed="8"/>
      <name val="맑은 고딕"/>
      <family val="2"/>
      <scheme val="minor"/>
    </font>
    <font>
      <sz val="10"/>
      <name val="Arial"/>
      <family val="2"/>
    </font>
    <font>
      <sz val="10"/>
      <color theme="1"/>
      <name val="굴림"/>
      <family val="3"/>
      <charset val="129"/>
    </font>
    <font>
      <sz val="11"/>
      <color theme="1"/>
      <name val="맑은 고딕"/>
      <family val="2"/>
      <charset val="129"/>
      <scheme val="minor"/>
    </font>
    <font>
      <b/>
      <sz val="11"/>
      <color theme="1"/>
      <name val="맑은 고딕"/>
      <family val="2"/>
      <charset val="129"/>
      <scheme val="minor"/>
    </font>
  </fonts>
  <fills count="8">
    <fill>
      <patternFill patternType="none"/>
    </fill>
    <fill>
      <patternFill patternType="gray125"/>
    </fill>
    <fill>
      <patternFill patternType="solid">
        <fgColor indexed="31"/>
      </patternFill>
    </fill>
    <fill>
      <patternFill patternType="solid">
        <fgColor indexed="42"/>
        <bgColor indexed="64"/>
      </patternFill>
    </fill>
    <fill>
      <patternFill patternType="solid">
        <fgColor indexed="9"/>
      </patternFill>
    </fill>
    <fill>
      <patternFill patternType="solid">
        <fgColor rgb="FFFFFF00"/>
        <bgColor indexed="64"/>
      </patternFill>
    </fill>
    <fill>
      <patternFill patternType="solid">
        <fgColor rgb="FFFFFF00"/>
        <bgColor indexed="43"/>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0">
    <xf numFmtId="0" fontId="0" fillId="0" borderId="0">
      <alignment vertical="center"/>
    </xf>
    <xf numFmtId="0" fontId="3" fillId="0" borderId="0">
      <alignment vertical="center"/>
    </xf>
    <xf numFmtId="0" fontId="3" fillId="0" borderId="0">
      <alignment vertical="center"/>
    </xf>
    <xf numFmtId="0" fontId="7" fillId="0" borderId="0">
      <alignment vertical="center"/>
    </xf>
    <xf numFmtId="0" fontId="7" fillId="0" borderId="0">
      <alignment vertical="center"/>
    </xf>
    <xf numFmtId="0" fontId="8" fillId="0" borderId="0"/>
    <xf numFmtId="41" fontId="3" fillId="0" borderId="0" applyFont="0" applyFill="0" applyBorder="0" applyAlignment="0" applyProtection="0">
      <alignment vertical="center"/>
    </xf>
    <xf numFmtId="0" fontId="9" fillId="0" borderId="0">
      <alignment vertical="center"/>
    </xf>
    <xf numFmtId="0" fontId="10" fillId="0" borderId="0">
      <alignment vertical="center"/>
    </xf>
    <xf numFmtId="0" fontId="3" fillId="0" borderId="0">
      <alignment vertical="center"/>
    </xf>
  </cellStyleXfs>
  <cellXfs count="36">
    <xf numFmtId="0" fontId="0" fillId="0" borderId="0" xfId="0">
      <alignment vertical="center"/>
    </xf>
    <xf numFmtId="0" fontId="1" fillId="2" borderId="1" xfId="0" applyFont="1" applyFill="1" applyBorder="1" applyAlignment="1">
      <alignment horizontal="center" vertical="center"/>
    </xf>
    <xf numFmtId="0" fontId="4" fillId="3" borderId="0" xfId="1" applyFont="1" applyFill="1" applyAlignment="1"/>
    <xf numFmtId="0" fontId="4" fillId="3" borderId="0" xfId="1" applyFont="1" applyFill="1" applyAlignment="1">
      <alignment horizontal="center"/>
    </xf>
    <xf numFmtId="0" fontId="3" fillId="0" borderId="0" xfId="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3" fontId="1" fillId="4" borderId="1" xfId="0" applyNumberFormat="1" applyFont="1" applyFill="1" applyBorder="1" applyAlignment="1">
      <alignment horizontal="center" vertical="center"/>
    </xf>
    <xf numFmtId="176" fontId="1" fillId="4"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77" fontId="3" fillId="5" borderId="0" xfId="2" applyNumberFormat="1" applyFill="1">
      <alignment vertical="center"/>
    </xf>
    <xf numFmtId="0" fontId="3" fillId="5" borderId="0" xfId="2" applyFill="1">
      <alignment vertical="center"/>
    </xf>
    <xf numFmtId="0" fontId="3" fillId="5" borderId="0" xfId="1" applyFill="1" applyAlignment="1">
      <alignment horizontal="center" vertical="center"/>
    </xf>
    <xf numFmtId="0" fontId="3" fillId="5" borderId="0" xfId="1" applyFill="1">
      <alignment vertical="center"/>
    </xf>
    <xf numFmtId="0" fontId="3" fillId="0" borderId="0" xfId="1" applyFill="1">
      <alignment vertical="center"/>
    </xf>
    <xf numFmtId="0" fontId="3" fillId="0" borderId="0" xfId="2" applyFill="1">
      <alignment vertical="center"/>
    </xf>
    <xf numFmtId="0" fontId="3" fillId="0" borderId="0" xfId="1" applyFill="1" applyAlignment="1">
      <alignment vertical="center"/>
    </xf>
    <xf numFmtId="0" fontId="3" fillId="0" borderId="0" xfId="1" applyFill="1" applyAlignment="1">
      <alignment horizontal="center" vertical="center"/>
    </xf>
    <xf numFmtId="0" fontId="3" fillId="5" borderId="0" xfId="9" applyFill="1">
      <alignment vertical="center"/>
    </xf>
    <xf numFmtId="0" fontId="3" fillId="6" borderId="0" xfId="1" applyFill="1">
      <alignment vertical="center"/>
    </xf>
    <xf numFmtId="0" fontId="0" fillId="0" borderId="0" xfId="0" pivotButton="1">
      <alignment vertical="center"/>
    </xf>
    <xf numFmtId="0" fontId="11" fillId="7" borderId="2" xfId="0" applyFont="1" applyFill="1" applyBorder="1">
      <alignment vertical="center"/>
    </xf>
    <xf numFmtId="178" fontId="0" fillId="0" borderId="0" xfId="0" applyNumberFormat="1">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3" fontId="1" fillId="0" borderId="1" xfId="0" applyNumberFormat="1" applyFont="1" applyBorder="1" applyAlignment="1">
      <alignment horizontal="center" vertical="center"/>
    </xf>
    <xf numFmtId="176" fontId="1" fillId="0" borderId="1" xfId="0" applyNumberFormat="1" applyFont="1" applyBorder="1" applyAlignment="1">
      <alignment horizontal="right" vertical="center"/>
    </xf>
    <xf numFmtId="3" fontId="1" fillId="0" borderId="1" xfId="0" applyNumberFormat="1" applyFont="1" applyBorder="1" applyAlignment="1">
      <alignment horizontal="right" vertical="center"/>
    </xf>
    <xf numFmtId="4" fontId="1" fillId="0" borderId="1" xfId="0" applyNumberFormat="1" applyFont="1" applyBorder="1" applyAlignment="1">
      <alignment horizontal="right" vertical="center"/>
    </xf>
    <xf numFmtId="0" fontId="0" fillId="5" borderId="0" xfId="0" applyFill="1">
      <alignment vertical="center"/>
    </xf>
    <xf numFmtId="14" fontId="1" fillId="4" borderId="1" xfId="0" applyNumberFormat="1" applyFont="1" applyFill="1" applyBorder="1" applyAlignment="1">
      <alignment horizontal="center" vertical="center"/>
    </xf>
    <xf numFmtId="0" fontId="11" fillId="0" borderId="0" xfId="0" applyFont="1">
      <alignment vertical="center"/>
    </xf>
    <xf numFmtId="0" fontId="11" fillId="0" borderId="2" xfId="0" applyFont="1" applyBorder="1">
      <alignment vertical="center"/>
    </xf>
    <xf numFmtId="0" fontId="11" fillId="0" borderId="0" xfId="0" applyFont="1" applyBorder="1">
      <alignment vertical="center"/>
    </xf>
    <xf numFmtId="0" fontId="0" fillId="0" borderId="0" xfId="0" applyNumberFormat="1">
      <alignment vertical="center"/>
    </xf>
  </cellXfs>
  <cellStyles count="10">
    <cellStyle name="쉼표 [0] 3" xfId="6" xr:uid="{00000000-0005-0000-0000-000000000000}"/>
    <cellStyle name="표준" xfId="0" builtinId="0"/>
    <cellStyle name="표준 11 2 2" xfId="5" xr:uid="{00000000-0005-0000-0000-000002000000}"/>
    <cellStyle name="표준 2" xfId="3" xr:uid="{00000000-0005-0000-0000-000003000000}"/>
    <cellStyle name="표준 3" xfId="1" xr:uid="{00000000-0005-0000-0000-000004000000}"/>
    <cellStyle name="표준 3 18" xfId="9" xr:uid="{369C2252-9619-4053-8210-F8F66247ED37}"/>
    <cellStyle name="표준 4" xfId="4" xr:uid="{00000000-0005-0000-0000-000005000000}"/>
    <cellStyle name="표준 5" xfId="2" xr:uid="{00000000-0005-0000-0000-000006000000}"/>
    <cellStyle name="표준 6" xfId="7" xr:uid="{00000000-0005-0000-0000-000007000000}"/>
    <cellStyle name="표준 9"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386527662034" createdVersion="7" refreshedVersion="7" minRefreshableVersion="3" recordCount="224" xr:uid="{0F576791-6445-4E3D-BC3D-52D81421733A}">
  <cacheSource type="worksheet">
    <worksheetSource ref="A1:AV111" sheet="현대기아HMB(REV1)"/>
  </cacheSource>
  <cacheFields count="48">
    <cacheField name="법인" numFmtId="0">
      <sharedItems/>
    </cacheField>
    <cacheField name="발생구분" numFmtId="0">
      <sharedItems/>
    </cacheField>
    <cacheField name="통보서" numFmtId="0">
      <sharedItems/>
    </cacheField>
    <cacheField name="H/K" numFmtId="0">
      <sharedItems/>
    </cacheField>
    <cacheField name="업체" numFmtId="0">
      <sharedItems/>
    </cacheField>
    <cacheField name="SEQ" numFmtId="0">
      <sharedItems containsSemiMixedTypes="0" containsString="0" containsNumber="1" containsInteger="1" minValue="1" maxValue="333"/>
    </cacheField>
    <cacheField name="RO년월" numFmtId="0">
      <sharedItems/>
    </cacheField>
    <cacheField name="R/O번호" numFmtId="0">
      <sharedItems/>
    </cacheField>
    <cacheField name="VIN" numFmtId="0">
      <sharedItems/>
    </cacheField>
    <cacheField name="C/TYPE" numFmtId="0">
      <sharedItems/>
    </cacheField>
    <cacheField name="차종" numFmtId="0">
      <sharedItems/>
    </cacheField>
    <cacheField name="원인부품" numFmtId="0">
      <sharedItems/>
    </cacheField>
    <cacheField name="원인품명" numFmtId="0">
      <sharedItems/>
    </cacheField>
    <cacheField name="캠페인Issue" numFmtId="0">
      <sharedItems containsBlank="1"/>
    </cacheField>
    <cacheField name="캠페인 명" numFmtId="0">
      <sharedItems containsBlank="1" longText="1"/>
    </cacheField>
    <cacheField name="주작업코드" numFmtId="0">
      <sharedItems containsBlank="1"/>
    </cacheField>
    <cacheField name="원인" numFmtId="0">
      <sharedItems containsBlank="1"/>
    </cacheField>
    <cacheField name="현상" numFmtId="0">
      <sharedItems/>
    </cacheField>
    <cacheField name="생산일자" numFmtId="0">
      <sharedItems containsDate="1" containsMixedTypes="1" minDate="2020-07-16T00:00:00" maxDate="2025-11-29T00:00:00"/>
    </cacheField>
    <cacheField name="수리일자" numFmtId="0">
      <sharedItems containsDate="1" containsMixedTypes="1" minDate="2025-06-23T00:00:00" maxDate="2026-04-23T00:00:00"/>
    </cacheField>
    <cacheField name="판매일자" numFmtId="0">
      <sharedItems containsDate="1" containsMixedTypes="1" minDate="2020-10-06T00:00:00" maxDate="2026-02-02T00:00:00"/>
    </cacheField>
    <cacheField name="사용개월" numFmtId="176">
      <sharedItems containsSemiMixedTypes="0" containsString="0" containsNumber="1" containsInteger="1" minValue="0" maxValue="94"/>
    </cacheField>
    <cacheField name="주행거리" numFmtId="3">
      <sharedItems containsSemiMixedTypes="0" containsString="0" containsNumber="1" containsInteger="1" minValue="21" maxValue="121824"/>
    </cacheField>
    <cacheField name="PWA" numFmtId="0">
      <sharedItems containsBlank="1"/>
    </cacheField>
    <cacheField name="납입률" numFmtId="4">
      <sharedItems containsSemiMixedTypes="0" containsString="0" containsNumber="1" containsInteger="1" minValue="100" maxValue="100"/>
    </cacheField>
    <cacheField name="분담률" numFmtId="4">
      <sharedItems containsSemiMixedTypes="0" containsString="0" containsNumber="1" minValue="18.18" maxValue="27.72"/>
    </cacheField>
    <cacheField name="적용률" numFmtId="4">
      <sharedItems containsSemiMixedTypes="0" containsString="0" containsNumber="1" minValue="18.18" maxValue="27.72"/>
    </cacheField>
    <cacheField name="부품비" numFmtId="4">
      <sharedItems containsSemiMixedTypes="0" containsString="0" containsNumber="1" containsInteger="1" minValue="0" maxValue="524721"/>
    </cacheField>
    <cacheField name="공임비" numFmtId="4">
      <sharedItems containsSemiMixedTypes="0" containsString="0" containsNumber="1" containsInteger="1" minValue="0" maxValue="414670"/>
    </cacheField>
    <cacheField name="외주비" numFmtId="4">
      <sharedItems containsSemiMixedTypes="0" containsString="0" containsNumber="1" containsInteger="1" minValue="0" maxValue="255879"/>
    </cacheField>
    <cacheField name="변제합계" numFmtId="177">
      <sharedItems containsSemiMixedTypes="0" containsString="0" containsNumber="1" containsInteger="1" minValue="2002" maxValue="823370"/>
    </cacheField>
    <cacheField name="차종명" numFmtId="0">
      <sharedItems/>
    </cacheField>
    <cacheField name="조립월" numFmtId="0">
      <sharedItems/>
    </cacheField>
    <cacheField name="원인코드" numFmtId="0">
      <sharedItems/>
    </cacheField>
    <cacheField name="현상코드" numFmtId="0">
      <sharedItems/>
    </cacheField>
    <cacheField name="주행거리(만단위)" numFmtId="0">
      <sharedItems containsMixedTypes="1" containsNumber="1" containsInteger="1" minValue="10000" maxValue="100000"/>
    </cacheField>
    <cacheField name="주행거리(오천단위)" numFmtId="0">
      <sharedItems containsMixedTypes="1" containsNumber="1" containsInteger="1" minValue="5000" maxValue="100000"/>
    </cacheField>
    <cacheField name="사용기간(6단위)" numFmtId="0">
      <sharedItems containsMixedTypes="1" containsNumber="1" containsInteger="1" minValue="6" maxValue="60"/>
    </cacheField>
    <cacheField name="사용기간(3단위)" numFmtId="0">
      <sharedItems containsMixedTypes="1" containsNumber="1" containsInteger="1" minValue="3" maxValue="60"/>
    </cacheField>
    <cacheField name="국가명 코드" numFmtId="0">
      <sharedItems/>
    </cacheField>
    <cacheField name="국가명" numFmtId="0">
      <sharedItems/>
    </cacheField>
    <cacheField name="품명구분" numFmtId="0">
      <sharedItems count="11">
        <s v="WCC"/>
        <s v="MUFFLER ASSY-CTR"/>
        <s v="EHRS"/>
        <s v="SDPF"/>
        <s v="MUFFLER ASSY-RR"/>
        <s v="HANGER"/>
        <s v="MUFFLER ASSY-TAIL"/>
        <s v="UCC"/>
        <s v="MUFFLER ASSY-FR"/>
        <s v="CLAMP-CVS"/>
        <s v="DPF"/>
      </sharedItems>
    </cacheField>
    <cacheField name="통보서월" numFmtId="0">
      <sharedItems containsSemiMixedTypes="0" containsString="0" containsNumber="1" containsInteger="1" minValue="202603" maxValue="202604" count="2">
        <n v="202603"/>
        <n v="202604"/>
      </sharedItems>
    </cacheField>
    <cacheField name="품명대구분" numFmtId="0">
      <sharedItems/>
    </cacheField>
    <cacheField name="컨버터 사양" numFmtId="0">
      <sharedItems containsBlank="1"/>
    </cacheField>
    <cacheField name="차종명2" numFmtId="0">
      <sharedItems count="17">
        <s v="쎄타"/>
        <s v="봉고3 1톤/1.4톤"/>
        <s v="SG2 (니로 후속) 21"/>
        <s v="MQ4 20"/>
        <s v="KA4 (YP 카니발 후속) 20"/>
        <s v="레이 11"/>
        <s v="JA 17"/>
        <s v="카파(KIA)"/>
        <s v="MQ4 20 HEV"/>
        <s v="BD 18"/>
        <s v="AX (경 SUV)-광주형 22"/>
        <s v="람다"/>
        <s v="QX 19 (CB급 SUV)"/>
        <s v="카파UCC"/>
        <s v="카파(HMB)"/>
        <s v="카파(WIA)"/>
        <s v="QT DPF"/>
      </sharedItems>
    </cacheField>
    <cacheField name="년도" numFmtId="0">
      <sharedItems/>
    </cacheField>
    <cacheField name="분기"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s v="기아"/>
    <s v="D"/>
    <s v="2026031WW"/>
    <s v="K"/>
    <s v="R151"/>
    <n v="1"/>
    <s v="2026/03"/>
    <s v="LK06802026W00013300"/>
    <s v="KNAPH811BLA646146"/>
    <s v="W"/>
    <s v="C5"/>
    <s v="285302GPB0"/>
    <s v="CONVERTER ASSY-W/UP CATALYTIC"/>
    <s v="          "/>
    <s v="[C]1.현상 : 가. 배출가스 부적합으로 입고 2.점검내용 및 원인 : 가. 점검시 DTC코드 P209600 후방촉매 연료시스템 혼합비 희박 경고등 점등 나. 정밀검사 탄화수소, 일산화탄소 기준치 배출허용기준 초과로 확인 3.조치내용 : 가. 캐탈리스트 케이스 어셈블리 교환 후 출고"/>
    <s v="28530RQ0"/>
    <m/>
    <s v="I73"/>
    <s v="2019/12/31"/>
    <s v="2026/03/05"/>
    <s v="2020/01/07"/>
    <n v="74"/>
    <n v="55725"/>
    <s v="2101C0124   "/>
    <n v="100"/>
    <n v="25.44"/>
    <n v="25.44"/>
    <n v="167738"/>
    <n v="26814"/>
    <n v="0"/>
    <n v="194552"/>
    <s v="올 뉴 쏘렌토"/>
    <s v="2019-12"/>
    <e v="#N/A"/>
    <s v="배기가스 문제"/>
    <n v="60000"/>
    <n v="60000"/>
    <s v="≥60"/>
    <s v="≥60"/>
    <s v="LK0"/>
    <s v="한국"/>
    <x v="0"/>
    <x v="0"/>
    <s v="컨버터"/>
    <s v="쎄타"/>
    <x v="0"/>
    <s v="2026년"/>
    <s v="1분기"/>
  </r>
  <r>
    <s v="기아"/>
    <s v="D"/>
    <s v="2026031WW"/>
    <s v="K"/>
    <s v="R151"/>
    <n v="3"/>
    <s v="2026/03"/>
    <s v="PX00102026W00010900"/>
    <s v="KNCSJZ76BLK455144"/>
    <s v="W"/>
    <s v="HD"/>
    <s v="286004E560"/>
    <s v="MUFFLER COMPLETE-CTR"/>
    <s v="          "/>
    <s v="[C]1.현상 : 백연 발생 및 출력 부족으로 입고 2.점검내용 및 원인 : KDS 엔진점검 백연 발생 및 출력부족 현상으로 DPF 재생 작업 3.조치내용 : DPF 재생작업 후 정상 출고"/>
    <s v="28950A00"/>
    <m/>
    <s v="H23"/>
    <s v="2020/04/29"/>
    <s v="2026/03/06"/>
    <s v="2020/05/06"/>
    <n v="71"/>
    <n v="26356"/>
    <s v="            "/>
    <n v="100"/>
    <n v="25.44"/>
    <n v="25.44"/>
    <n v="0"/>
    <n v="4579"/>
    <n v="0"/>
    <n v="4579"/>
    <s v="봉고3 1톤/1.4톤"/>
    <s v="2020-04"/>
    <e v="#N/A"/>
    <s v="냄새과다"/>
    <n v="30000"/>
    <n v="30000"/>
    <s v="≥60"/>
    <s v="≥60"/>
    <s v="PX0"/>
    <s v="한국"/>
    <x v="1"/>
    <x v="0"/>
    <s v="컨버터"/>
    <s v="PU SDPF"/>
    <x v="1"/>
    <s v="2026년"/>
    <s v="1분기"/>
  </r>
  <r>
    <s v="기아"/>
    <s v="D"/>
    <s v="2026031WW"/>
    <s v="K"/>
    <s v="R151"/>
    <n v="4"/>
    <s v="2026/03"/>
    <s v="PX00102026W00010000"/>
    <s v="KNCSJZ76BNK562125"/>
    <s v="W"/>
    <s v="HD"/>
    <s v="286004E560"/>
    <s v="MUFFLER COMPLETE-CTR"/>
    <s v="          "/>
    <s v="[C]1.현상 : 백연발생 출력 저하로 입고 2.점검내용 및 원인 : KDS 엔진점검 엔진 출력저하및 백연발생 DPF 재생작업 3.조치내용 : DPF 재생 작업 후 정상 출고"/>
    <s v="28950A00"/>
    <m/>
    <s v="DD5"/>
    <s v="2021/07/28"/>
    <s v="2026/03/04"/>
    <s v="2021/07/29"/>
    <n v="56"/>
    <n v="50279"/>
    <s v="            "/>
    <n v="100"/>
    <n v="25.44"/>
    <n v="25.44"/>
    <n v="0"/>
    <n v="4579"/>
    <n v="0"/>
    <n v="4579"/>
    <s v="봉고3 1톤/1.4톤"/>
    <s v="2021-07"/>
    <e v="#N/A"/>
    <s v="엔진 출력부족"/>
    <n v="60000"/>
    <n v="55000"/>
    <n v="60"/>
    <n v="57"/>
    <s v="PX0"/>
    <s v="한국"/>
    <x v="1"/>
    <x v="0"/>
    <s v="컨버터"/>
    <s v="PU SDPF"/>
    <x v="1"/>
    <s v="2026년"/>
    <s v="1분기"/>
  </r>
  <r>
    <s v="기아"/>
    <s v="D"/>
    <s v="2026031WW"/>
    <s v="K"/>
    <s v="R151"/>
    <n v="182"/>
    <s v="2026/03"/>
    <s v="PX18602026W00014700"/>
    <s v="KNACR81EGNA001234"/>
    <s v="W"/>
    <s v="0T"/>
    <s v="28601AT100"/>
    <s v="MUFFLER COMPLETE-CTR &amp; SENSOR"/>
    <s v="          "/>
    <s v="[C]1.현상 : 부동액 과다소모로 입고 2.점검내용 및 원인 : 점검 결과 챔버 머플러 내부에서 부동액 소모발생으로사료됨 3.조치내용 : 챔버 머플러 교환"/>
    <s v="28607R00"/>
    <m/>
    <s v="L33"/>
    <s v="2022/01/19"/>
    <s v="2026/03/23"/>
    <s v="2022/01/25"/>
    <n v="50"/>
    <n v="59895"/>
    <s v="            "/>
    <n v="100"/>
    <n v="25.44"/>
    <n v="25.44"/>
    <n v="48358"/>
    <n v="10939"/>
    <n v="0"/>
    <n v="59297"/>
    <s v="SG2 (니로 후속) 21"/>
    <s v="2022-01"/>
    <e v="#N/A"/>
    <s v="냉각수 문제"/>
    <n v="60000"/>
    <n v="60000"/>
    <n v="54"/>
    <n v="51"/>
    <s v="PX1"/>
    <s v="한국"/>
    <x v="2"/>
    <x v="0"/>
    <s v="머플러"/>
    <m/>
    <x v="2"/>
    <s v="2026년"/>
    <s v="1분기"/>
  </r>
  <r>
    <s v="기아"/>
    <s v="D"/>
    <s v="2026031WW"/>
    <s v="K"/>
    <s v="R151"/>
    <n v="183"/>
    <s v="2026/03"/>
    <s v="EX01802026W00038400"/>
    <s v="KNACT81EGNA007277"/>
    <s v="W"/>
    <s v="0T"/>
    <s v="28601AT100"/>
    <s v="MUFFLER COMPLETE-CTR &amp; SENSOR"/>
    <s v="          "/>
    <s v="[C]1.현상 : 부동액 없음으로 과열경고등 점등 부품예약건 2.점검내용 및 원인 : 부동액 리저브탱크 없음확인됨 부동액 누수부분 없음 머플러부분에서 부동액 내부 누수발생으로 머플러부분으로 누수가 됨 3.조치내용 : 머플러 교환후 정상 출고함"/>
    <s v="28607R00"/>
    <m/>
    <s v="L31"/>
    <s v="2022/04/04"/>
    <s v="2026/03/19"/>
    <s v="2022/04/11"/>
    <n v="48"/>
    <n v="59923"/>
    <s v="            "/>
    <n v="100"/>
    <n v="25.44"/>
    <n v="25.44"/>
    <n v="48358"/>
    <n v="16154"/>
    <n v="0"/>
    <n v="64512"/>
    <s v="SG2 (니로 후속) 21"/>
    <s v="2022-04"/>
    <e v="#N/A"/>
    <s v="냉각수 문제"/>
    <n v="60000"/>
    <n v="60000"/>
    <n v="54"/>
    <n v="51"/>
    <s v="EX0"/>
    <s v="한국"/>
    <x v="2"/>
    <x v="0"/>
    <s v="머플러"/>
    <m/>
    <x v="2"/>
    <s v="2026년"/>
    <s v="1분기"/>
  </r>
  <r>
    <s v="기아"/>
    <s v="D"/>
    <s v="2026031WW"/>
    <s v="K"/>
    <s v="R151"/>
    <n v="184"/>
    <s v="2026/03"/>
    <s v="EX01102026W00012400"/>
    <s v="KNACR81EGNA007545"/>
    <s v="W"/>
    <s v="0T"/>
    <s v="28601AT100"/>
    <s v="MUFFLER COMPLETE-CTR &amp; SENSOR"/>
    <s v="          "/>
    <s v="[C]1.현상 : 차량 냉각수 부족으로 입고 2.점검내용 및 원인 : cc머플러 냉각수 누수로 인한 부동액 부족 확인 3.조치내용 : 교환 후 정상"/>
    <s v="28607R00"/>
    <m/>
    <s v="L31"/>
    <s v="2022/04/05"/>
    <s v="2026/02/26"/>
    <s v="2022/04/14"/>
    <n v="47"/>
    <n v="56675"/>
    <s v="            "/>
    <n v="100"/>
    <n v="25.44"/>
    <n v="25.44"/>
    <n v="48358"/>
    <n v="11194"/>
    <n v="0"/>
    <n v="59552"/>
    <s v="SG2 (니로 후속) 21"/>
    <s v="2022-04"/>
    <e v="#N/A"/>
    <s v="냉각수 문제"/>
    <n v="60000"/>
    <n v="60000"/>
    <n v="48"/>
    <n v="48"/>
    <s v="EX0"/>
    <s v="한국"/>
    <x v="2"/>
    <x v="0"/>
    <s v="머플러"/>
    <m/>
    <x v="2"/>
    <s v="2026년"/>
    <s v="1분기"/>
  </r>
  <r>
    <s v="기아"/>
    <s v="D"/>
    <s v="2026031WW"/>
    <s v="K"/>
    <s v="R151"/>
    <n v="185"/>
    <s v="2026/03"/>
    <s v="2060002026W00291000"/>
    <s v="KNACR81EGNA012334"/>
    <s v="W"/>
    <s v="0T"/>
    <s v="28601AT100"/>
    <s v="MUFFLER COMPLETE-CTR &amp; SENSOR"/>
    <s v="          "/>
    <s v="[C]1.현상 : 냉각수 감소 현상으로 입고된차량임. 2.점검내용 및 원인 : 머플러 챔퍼&amp;컨버터에서 냉각수 소모 현상이 있음을 확인. 3.조치내용 : 머플러 교환 후 시운전 실시. 특이사항 없음 확인"/>
    <s v="DRV2060C"/>
    <m/>
    <s v="L31"/>
    <s v="2022/04/27"/>
    <s v="2026/03/04"/>
    <s v="2022/06/07"/>
    <n v="45"/>
    <n v="69665"/>
    <s v="            "/>
    <n v="100"/>
    <n v="25.44"/>
    <n v="25.44"/>
    <n v="46798"/>
    <n v="22387"/>
    <n v="0"/>
    <n v="69185"/>
    <s v="SG2 (니로 후속) 21"/>
    <s v="2022-04"/>
    <e v="#N/A"/>
    <s v="냉각수 문제"/>
    <n v="70000"/>
    <n v="70000"/>
    <n v="48"/>
    <n v="48"/>
    <s v="206"/>
    <s v="한국"/>
    <x v="2"/>
    <x v="0"/>
    <s v="머플러"/>
    <m/>
    <x v="2"/>
    <s v="2026년"/>
    <s v="1분기"/>
  </r>
  <r>
    <s v="기아"/>
    <s v="D"/>
    <s v="2026031WW"/>
    <s v="K"/>
    <s v="R151"/>
    <n v="186"/>
    <s v="2026/03"/>
    <s v="PX00902026W00031800"/>
    <s v="KNACT81EGNA015751"/>
    <s v="W"/>
    <s v="0T"/>
    <s v="28601AT100"/>
    <s v="MUFFLER COMPLETE-CTR &amp; SENSOR"/>
    <s v="          "/>
    <s v="[C]1.현상 : 냉각수 누수 현상으로 입고 2.점검내용 및 원인 : 점검시 배출가스 배기열 회수 장치부 용접부 기밀 불량 으로 누수 확인 3.조치내용 : 부품 교환후 상기 현상 해소됨"/>
    <s v="28610R00"/>
    <m/>
    <s v="L31"/>
    <s v="2022/05/02"/>
    <s v="2026/03/11"/>
    <s v="2022/05/04"/>
    <n v="47"/>
    <n v="77611"/>
    <s v="            "/>
    <n v="100"/>
    <n v="25.44"/>
    <n v="25.44"/>
    <n v="50378"/>
    <n v="7785"/>
    <n v="0"/>
    <n v="58163"/>
    <s v="SG2 (니로 후속) 21"/>
    <s v="2022-05"/>
    <e v="#N/A"/>
    <s v="냉각수 문제"/>
    <n v="80000"/>
    <n v="80000"/>
    <n v="48"/>
    <n v="48"/>
    <s v="PX0"/>
    <s v="한국"/>
    <x v="2"/>
    <x v="0"/>
    <s v="머플러"/>
    <m/>
    <x v="2"/>
    <s v="2026년"/>
    <s v="1분기"/>
  </r>
  <r>
    <s v="기아"/>
    <s v="D"/>
    <s v="2026031WW"/>
    <s v="K"/>
    <s v="R151"/>
    <n v="187"/>
    <s v="2026/03"/>
    <s v="HX90602026W00009400"/>
    <s v="KNARH81BHMA068383"/>
    <s v="W"/>
    <s v="GZ"/>
    <s v="28607P2570"/>
    <s v="MUFFLER COMPLETE-CHMBR &amp; CONV"/>
    <s v="          "/>
    <s v="[C]1.현상 : 차량 주행중 엔진 경고등 점등으로 입고. 2.점검내용 및 원인 : 스캐너 확인 결과 SCR 촉매 정화 효율 낮음으로 표출됨. 3.조치내용 : 컴버터 머플러 컴플리트 교환."/>
    <s v="28650R00"/>
    <m/>
    <s v="W11"/>
    <s v="2020/11/13"/>
    <s v="2026/03/19"/>
    <s v="2020/12/16"/>
    <n v="64"/>
    <n v="83233"/>
    <s v="            "/>
    <n v="100"/>
    <n v="25.44"/>
    <n v="25.44"/>
    <n v="55693"/>
    <n v="3663"/>
    <n v="0"/>
    <n v="59356"/>
    <s v="MQ4 20"/>
    <s v="2020-11"/>
    <e v="#N/A"/>
    <s v="경고등 점등"/>
    <n v="90000"/>
    <n v="85000"/>
    <s v="≥60"/>
    <s v="≥60"/>
    <s v="HX9"/>
    <s v="한국"/>
    <x v="3"/>
    <x v="0"/>
    <s v="컨버터"/>
    <s v="MQ4 DPF"/>
    <x v="3"/>
    <s v="2026년"/>
    <s v="1분기"/>
  </r>
  <r>
    <s v="기아"/>
    <s v="D"/>
    <s v="2026031WW"/>
    <s v="K"/>
    <s v="R151"/>
    <n v="188"/>
    <s v="2026/03"/>
    <s v="MX01002026W00018300"/>
    <s v="KNARG81BHMA108624"/>
    <s v="W"/>
    <s v="GZ"/>
    <s v="28607P2570"/>
    <s v="MUFFLER COMPLETE-CHMBR &amp; CONV"/>
    <s v="          "/>
    <s v="[C]1.현상 : 주행중 엔진 경고등 점등으로입고함 2.점검내용 및 원인 : P20EE00 SCR NOX 정화효율낮음 중간머플러 NOX 정화효율낮음발생함 머플러및센서 이상으로 보여짐 3.조치내용 : 중간머플러및NOX 센서 교체실시함"/>
    <s v="29650RQ0"/>
    <m/>
    <s v="W11"/>
    <s v="2021/06/01"/>
    <s v="2026/03/16"/>
    <s v="2021/06/02"/>
    <n v="58"/>
    <n v="97852"/>
    <s v="            "/>
    <n v="100"/>
    <n v="25.44"/>
    <n v="25.44"/>
    <n v="81837"/>
    <n v="12974"/>
    <n v="0"/>
    <n v="94811"/>
    <s v="MQ4 20"/>
    <s v="2021-06"/>
    <e v="#N/A"/>
    <s v="경고등 점등"/>
    <n v="100000"/>
    <n v="100000"/>
    <n v="60"/>
    <n v="60"/>
    <s v="MX0"/>
    <s v="한국"/>
    <x v="3"/>
    <x v="0"/>
    <s v="컨버터"/>
    <s v="MQ4 DPF"/>
    <x v="3"/>
    <s v="2026년"/>
    <s v="1분기"/>
  </r>
  <r>
    <s v="기아"/>
    <s v="D"/>
    <s v="2026031WW"/>
    <s v="K"/>
    <s v="R151"/>
    <n v="189"/>
    <s v="2026/03"/>
    <s v="2070002026W00343400"/>
    <s v="KNANC81BBMS069923"/>
    <s v="W"/>
    <s v="HS"/>
    <s v="28607R0500"/>
    <s v="MUFFLER COMPLETE-CHMBR &amp; CONV"/>
    <s v="          "/>
    <s v="[C]1.현상 : 주행중 엔진경고등이 점등되어 입고 2.점검내용 및 원인 : 입고 점검시 고장코드 점등상태에서 점검시 SCR정화효율저하 점등P20EE00 확인함 과거 사업소에서 카틸락틱 컨버터 어셉블리및 관련부품 교환이력있음 확인후 판단 3.조치내용 : 요소수 컨버터 어셈블리 교환"/>
    <s v="DRV2070E"/>
    <m/>
    <s v="W17"/>
    <s v="2021/02/22"/>
    <s v="2026/03/19"/>
    <s v="2021/03/22"/>
    <n v="60"/>
    <n v="87681"/>
    <s v="            "/>
    <n v="100"/>
    <n v="25.44"/>
    <n v="25.44"/>
    <n v="53973"/>
    <n v="20988"/>
    <n v="0"/>
    <n v="74961"/>
    <s v="KA4 (YP 카니발 후속) 20"/>
    <s v="2021-02"/>
    <e v="#N/A"/>
    <s v="경고등 점등"/>
    <n v="90000"/>
    <n v="90000"/>
    <s v="≥60"/>
    <s v="≥60"/>
    <s v="207"/>
    <s v="한국"/>
    <x v="3"/>
    <x v="0"/>
    <s v="컨버터"/>
    <s v="KA4 DPF"/>
    <x v="4"/>
    <s v="2026년"/>
    <s v="1분기"/>
  </r>
  <r>
    <s v="기아"/>
    <s v="D"/>
    <s v="2026031WW"/>
    <s v="K"/>
    <s v="R151"/>
    <n v="190"/>
    <s v="2026/03"/>
    <s v="LK04002026W00027900"/>
    <s v="KNANE81BBMS077236"/>
    <s v="W"/>
    <s v="HS"/>
    <s v="28607R0500"/>
    <s v="MUFFLER COMPLETE-CHMBR &amp; CONV"/>
    <s v="          "/>
    <s v="[C]1.현상 : 엔진 경고등 점등으로 점검 2.점검내용 및 원인 : KDS 진단결과 P20EE00 SCR NOX 정화효율 낮음 점검결과 SCR 내부 문제로 인한 현상으로 판단됨 3.조치내용 : SCR 교환조치"/>
    <s v="28620R00"/>
    <m/>
    <s v="W11"/>
    <s v="2021/03/11"/>
    <s v="2026/03/26"/>
    <s v="2021/03/17"/>
    <n v="61"/>
    <n v="82918"/>
    <s v="            "/>
    <n v="100"/>
    <n v="25.44"/>
    <n v="25.44"/>
    <n v="54165"/>
    <n v="6996"/>
    <n v="0"/>
    <n v="61161"/>
    <s v="KA4 (YP 카니발 후속) 20"/>
    <s v="2021-03"/>
    <e v="#N/A"/>
    <s v="경고등 점등"/>
    <n v="90000"/>
    <n v="85000"/>
    <s v="≥60"/>
    <s v="≥60"/>
    <s v="LK0"/>
    <s v="한국"/>
    <x v="3"/>
    <x v="0"/>
    <s v="컨버터"/>
    <s v="KA4 DPF"/>
    <x v="4"/>
    <s v="2026년"/>
    <s v="1분기"/>
  </r>
  <r>
    <s v="기아"/>
    <s v="D"/>
    <s v="2026031WW"/>
    <s v="K"/>
    <s v="R151"/>
    <n v="191"/>
    <s v="2026/03"/>
    <s v="2070002026W00383100"/>
    <s v="KNHNB37BBMS123852"/>
    <s v="W"/>
    <s v="HS"/>
    <s v="28607R0500"/>
    <s v="MUFFLER COMPLETE-CHMBR &amp; CONV"/>
    <s v="          "/>
    <s v="[C]1.현상 : 주행중 가속시 출력저하및 배출가스 과다 재생진입함. 2.점검내용 및 원인 : 시스템점검및 주행점검및 엔진점검,제어상태점검등 3.조치내용 : 주행점검및 엔진점검결과 배기측 SCR 촉매 성능저하로인한 재생과다발생이 확인되어 단품교환후 정상출고함."/>
    <s v="28620R00"/>
    <m/>
    <s v="DB4"/>
    <s v="2021/06/29"/>
    <s v="2026/03/26"/>
    <s v="2021/07/05"/>
    <n v="57"/>
    <n v="26123"/>
    <s v="            "/>
    <n v="100"/>
    <n v="25.44"/>
    <n v="25.44"/>
    <n v="53973"/>
    <n v="6996"/>
    <n v="0"/>
    <n v="60969"/>
    <s v="KA4 (YP 카니발 후속) 20"/>
    <s v="2021-06"/>
    <e v="#N/A"/>
    <s v="엔진 출력부족"/>
    <n v="30000"/>
    <n v="30000"/>
    <n v="60"/>
    <n v="60"/>
    <s v="207"/>
    <s v="한국"/>
    <x v="3"/>
    <x v="0"/>
    <s v="컨버터"/>
    <s v="KA4 DPF"/>
    <x v="4"/>
    <s v="2026년"/>
    <s v="1분기"/>
  </r>
  <r>
    <s v="기아"/>
    <s v="D"/>
    <s v="2026031WW"/>
    <s v="K"/>
    <s v="R151"/>
    <n v="192"/>
    <s v="2026/03"/>
    <s v="RX91002026W00027000"/>
    <s v="KNANB81BBNS180097"/>
    <s v="W"/>
    <s v="HS"/>
    <s v="28607R0550"/>
    <s v="MUFFLER COMPLETE-CHMBR &amp; CONV"/>
    <s v="          "/>
    <s v="[C]1.현상 : 엔진 경고등 점등으로인한 차량입고 2.점검내용 및 원인 : 1.스캔진단시 고장코드 P2C7A00 경고등 점등됨을 확인함 2.요소수 인젝터 확인시 요소수가 노즐주위에 굳은있는부분있지만 분사부분 에는 이상이 없음 강제구동시 작동상태도 양호함 장착시 굳은부분제거후 장착함 3.일반건으로 고객상담후 동의하에 3번 NOX 센서 교체후 확인시 지속문제 발생됨 신품으로 교체후에도 후단PPM값이 정상값까지안떨어짐 4.SCR촉매 내부문제로 문제됨을 확인됨 또한 촉매후단부 확인시에도 백색 가루들 다량으로 떨어져있는상태임 3.조치내용 : SCR컴버터 교체작업후 1번2번3번NOX PPM 값이상없이 나옴을 확인되고 경고등역시 더이상표출 안함 확인후 정상출고"/>
    <s v="28620R00"/>
    <m/>
    <s v="W11"/>
    <s v="2022/02/23"/>
    <s v="2026/03/05"/>
    <s v="2022/02/25"/>
    <n v="49"/>
    <n v="92483"/>
    <s v="            "/>
    <n v="100"/>
    <n v="25.44"/>
    <n v="25.44"/>
    <n v="50073"/>
    <n v="6614"/>
    <n v="0"/>
    <n v="56687"/>
    <s v="KA4 (YP 카니발 후속) 20"/>
    <s v="2022-02"/>
    <e v="#N/A"/>
    <s v="경고등 점등"/>
    <n v="100000"/>
    <n v="95000"/>
    <n v="54"/>
    <n v="51"/>
    <s v="RX9"/>
    <s v="한국"/>
    <x v="3"/>
    <x v="0"/>
    <s v="컨버터"/>
    <s v="KA4 DPF"/>
    <x v="4"/>
    <s v="2026년"/>
    <s v="1분기"/>
  </r>
  <r>
    <s v="기아"/>
    <s v="D"/>
    <s v="2026031WW"/>
    <s v="K"/>
    <s v="R151"/>
    <n v="193"/>
    <s v="2026/03"/>
    <s v="LK00502026W00011500"/>
    <s v="KNANB81BBPS215295"/>
    <s v="W"/>
    <s v="HS"/>
    <s v="28607R0550"/>
    <s v="MUFFLER COMPLETE-CHMBR &amp; CONV"/>
    <s v="          "/>
    <s v="[C]1.현상 : 시스템 점검문구 표출됨 요소수 점검 시동불가 문구점등 2.점검내용 및 원인 : 시동불가 문구 점등 진단점검시3 NOX 센서 불량 표출됨 3 NOX센서 교환후 경고등 지속점등 초기화후 효율저하 진단 확인됨 경고등 지속 점등으로 SCR및 도싱컨트롤 유니트 이상 3.조치내용 : NOX센서및 관련품 동시 교환조치함"/>
    <s v="29650RQ0"/>
    <m/>
    <s v="W11"/>
    <s v="2022/06/17"/>
    <s v="2026/02/26"/>
    <s v="2022/06/22"/>
    <n v="45"/>
    <n v="78950"/>
    <s v="            "/>
    <n v="100"/>
    <n v="25.44"/>
    <n v="25.44"/>
    <n v="95164"/>
    <n v="22947"/>
    <n v="0"/>
    <n v="118111"/>
    <s v="KA4 (YP 카니발 후속) 20"/>
    <s v="2022-06"/>
    <e v="#N/A"/>
    <s v="경고등 점등"/>
    <n v="80000"/>
    <n v="80000"/>
    <n v="48"/>
    <n v="48"/>
    <s v="LK0"/>
    <s v="한국"/>
    <x v="3"/>
    <x v="0"/>
    <s v="컨버터"/>
    <s v="KA4 DPF"/>
    <x v="4"/>
    <s v="2026년"/>
    <s v="1분기"/>
  </r>
  <r>
    <s v="기아"/>
    <s v="D"/>
    <s v="2026031WW"/>
    <s v="K"/>
    <s v="R151"/>
    <n v="194"/>
    <s v="2026/03"/>
    <s v="LK07002026W00005700"/>
    <s v="KNANB81BBPS266244"/>
    <s v="W"/>
    <s v="HS"/>
    <s v="28607R0550"/>
    <s v="MUFFLER COMPLETE-CHMBR &amp; CONV"/>
    <s v="          "/>
    <s v="[C]1.현상 : 엔진 경고등 점등으로 입고 2.점검내용 및 원인 : 스캐너 점검시 dpf 효율저하 관련 과거 고장코드 발생 머플러 점검시 흑연 미 발생 3.조치내용 : dpf 재생 작업 실시 후 차량 출고"/>
    <s v="28950A00"/>
    <m/>
    <s v="W17"/>
    <s v="2022/12/06"/>
    <s v="2026/03/12"/>
    <s v="2023/01/12"/>
    <n v="39"/>
    <n v="71886"/>
    <s v="            "/>
    <n v="100"/>
    <n v="25.44"/>
    <n v="25.44"/>
    <n v="0"/>
    <n v="5215"/>
    <n v="0"/>
    <n v="5215"/>
    <s v="KA4 (YP 카니발 후속) 20"/>
    <s v="2022-12"/>
    <e v="#N/A"/>
    <s v="경고등 점등"/>
    <n v="80000"/>
    <n v="75000"/>
    <n v="42"/>
    <n v="42"/>
    <s v="LK0"/>
    <s v="한국"/>
    <x v="3"/>
    <x v="0"/>
    <s v="컨버터"/>
    <s v="KA4 DPF"/>
    <x v="4"/>
    <s v="2026년"/>
    <s v="1분기"/>
  </r>
  <r>
    <s v="기아"/>
    <s v="D"/>
    <s v="2026031WW"/>
    <s v="K"/>
    <s v="R151"/>
    <n v="195"/>
    <s v="2026/03"/>
    <s v="DX01002026W00022300"/>
    <s v="KNANC81BBPS286511"/>
    <s v="W"/>
    <s v="HS"/>
    <s v="28607R0550"/>
    <s v="MUFFLER COMPLETE-CHMBR &amp; CONV"/>
    <s v="          "/>
    <s v="[C]1.현상 : 상기차량은 엔진체크 경고등점등되어 입고 2.점검내용 및 원인 : 스켄진단 점검시 정화 효율낯음 검출됨 3.조치내용 : 중앙머플러 교환함"/>
    <s v="28620R00"/>
    <m/>
    <s v="W11"/>
    <s v="2023/01/27"/>
    <s v="2026/03/11"/>
    <s v="2023/01/31"/>
    <n v="38"/>
    <n v="81375"/>
    <s v="            "/>
    <n v="100"/>
    <n v="25.44"/>
    <n v="25.44"/>
    <n v="51310"/>
    <n v="6614"/>
    <n v="0"/>
    <n v="57924"/>
    <s v="KA4 (YP 카니발 후속) 20"/>
    <s v="2023-01"/>
    <e v="#N/A"/>
    <s v="경고등 점등"/>
    <n v="90000"/>
    <n v="85000"/>
    <n v="42"/>
    <n v="39"/>
    <s v="DX0"/>
    <s v="한국"/>
    <x v="3"/>
    <x v="0"/>
    <s v="컨버터"/>
    <s v="KA4 DPF"/>
    <x v="4"/>
    <s v="2026년"/>
    <s v="1분기"/>
  </r>
  <r>
    <s v="기아"/>
    <s v="D"/>
    <s v="2026031WW"/>
    <s v="K"/>
    <s v="R151"/>
    <n v="196"/>
    <s v="2026/03"/>
    <s v="MK06502026W00053200"/>
    <s v="KNANB81BBPS312070"/>
    <s v="W"/>
    <s v="HS"/>
    <s v="28607R0550"/>
    <s v="MUFFLER COMPLETE-CHMBR &amp; CONV"/>
    <s v="          "/>
    <s v="[C]1.현상 : 경고등 점등으로 인한 입고 2.점검내용 및 원인 : 진단시 P2C7A00 암모니아 흡장량 진단이상 경고등 점등 되어 점검시 센터 머플러 기밀 불량으로 인한 현상 판단되어 교환 실시 3.조치내용 : 센터 머플러 교환 후 정상 출고"/>
    <s v="28650R00"/>
    <m/>
    <s v="W11"/>
    <s v="2023/03/29"/>
    <s v="2026/03/12"/>
    <s v="2023/03/31"/>
    <n v="36"/>
    <n v="91131"/>
    <s v="            "/>
    <n v="100"/>
    <n v="25.44"/>
    <n v="25.44"/>
    <n v="50073"/>
    <n v="7785"/>
    <n v="0"/>
    <n v="57858"/>
    <s v="KA4 (YP 카니발 후속) 20"/>
    <s v="2023-03"/>
    <e v="#N/A"/>
    <s v="경고등 점등"/>
    <n v="100000"/>
    <n v="95000"/>
    <n v="42"/>
    <n v="39"/>
    <s v="MK0"/>
    <s v="한국"/>
    <x v="3"/>
    <x v="0"/>
    <s v="컨버터"/>
    <s v="KA4 DPF"/>
    <x v="4"/>
    <s v="2026년"/>
    <s v="1분기"/>
  </r>
  <r>
    <s v="기아"/>
    <s v="D"/>
    <s v="2026031WW"/>
    <s v="K"/>
    <s v="R151"/>
    <n v="197"/>
    <s v="2026/03"/>
    <s v="2060002026W00400700"/>
    <s v="KNANC81BBSS474650"/>
    <s v="W"/>
    <s v="HS"/>
    <s v="28650R0500"/>
    <s v="MUFFLER ASSY-CTR"/>
    <s v="          "/>
    <s v="[C]1.현상 : 가속후 악셀 페달 해제시 운전석 뒷쪽에서 웅웅~ 소음 발생함. 2.점검내용 및 원인 : 고객 문진 및 시운전을 통한 이음 확인시 가속후 타력 주행시 소음기의 배기음이 일정하지 않음이 확인됨. 3.조치내용 : 메인 사일렌서 교환후 이음 재확인시 이상소음 없슴."/>
    <s v="99VGOZ0T"/>
    <m/>
    <s v="Q55"/>
    <s v="2024/06/19"/>
    <s v="2026/03/17"/>
    <s v="2024/06/20"/>
    <n v="21"/>
    <n v="35152"/>
    <s v="            "/>
    <n v="100"/>
    <n v="25.44"/>
    <n v="25.44"/>
    <n v="25494"/>
    <n v="19589"/>
    <n v="0"/>
    <n v="45083"/>
    <s v="KA4 (YP 카니발 후속) 20"/>
    <s v="2024-06"/>
    <e v="#N/A"/>
    <s v="소음"/>
    <n v="40000"/>
    <n v="40000"/>
    <n v="24"/>
    <n v="24"/>
    <s v="206"/>
    <s v="한국"/>
    <x v="1"/>
    <x v="0"/>
    <s v="머플러"/>
    <m/>
    <x v="4"/>
    <s v="2026년"/>
    <s v="1분기"/>
  </r>
  <r>
    <s v="기아"/>
    <s v="D"/>
    <s v="2026031WW"/>
    <s v="K"/>
    <s v="R151"/>
    <n v="198"/>
    <s v="2026/03"/>
    <s v="2060002026W00243500"/>
    <s v="KNANE81BBSS544223"/>
    <s v="W"/>
    <s v="HS"/>
    <s v="28650R0500"/>
    <s v="MUFFLER ASSY-CTR"/>
    <s v="          "/>
    <s v="[C]1.현상 : 위차량은 서행주행시 하체부위 에서 드드득소음 발생되어 입고함 2.점검내용 및 원인 : 주행이후 정차상태 하부 중간부위 에서 드드득 떨리는 진동발생됨 차량리프팅해서 점검시 중앙머플러 차체간섭 으로 떨림발생 되며 nox센서 경고등점등됨 3.조치내용 : 중아머플러 리어머플러 nox센서교환 하여 서행정차시 드드득떨림 경고등점등 조치함"/>
    <s v="DRV2060C"/>
    <m/>
    <s v="Q75"/>
    <s v="2025/03/07"/>
    <s v="2026/02/12"/>
    <s v="2025/04/18"/>
    <n v="10"/>
    <n v="13620"/>
    <s v="            "/>
    <n v="100"/>
    <n v="25.44"/>
    <n v="25.44"/>
    <n v="60087"/>
    <n v="40577"/>
    <n v="0"/>
    <n v="100664"/>
    <s v="KA4 (YP 카니발 후속) 20"/>
    <s v="2025-03"/>
    <e v="#N/A"/>
    <s v="소음"/>
    <n v="20000"/>
    <n v="15000"/>
    <n v="12"/>
    <n v="12"/>
    <s v="206"/>
    <s v="한국"/>
    <x v="1"/>
    <x v="0"/>
    <s v="머플러"/>
    <m/>
    <x v="4"/>
    <s v="2026년"/>
    <s v="1분기"/>
  </r>
  <r>
    <s v="기아"/>
    <s v="D"/>
    <s v="2026031WW"/>
    <s v="K"/>
    <s v="R151"/>
    <n v="199"/>
    <s v="2026/03"/>
    <s v="LK00502026W00009900"/>
    <s v="KNACG811BPT343638"/>
    <s v="W"/>
    <s v="A3"/>
    <s v="28710A3550"/>
    <s v="MUFFLER ASSY-RR"/>
    <s v="          "/>
    <s v="[C]1.현상 : 차량 운행중 &quot;웅~~~~&quot;소음 발생 2.점검내용 및 원인 : 주행중 소음발생 주행 가속시 뒤에서 &quot;웅&quot; 소음발생 리어 머플러 내부 부식에 의한 소음 판단됨 3.조치내용 : 리어 머플러 교환조치함"/>
    <s v="28700R00"/>
    <m/>
    <s v="Q75"/>
    <s v="2023/02/24"/>
    <s v="2026/03/03"/>
    <s v="2023/03/07"/>
    <n v="36"/>
    <n v="21194"/>
    <s v="            "/>
    <n v="100"/>
    <n v="25.44"/>
    <n v="25.44"/>
    <n v="20351"/>
    <n v="4172"/>
    <n v="0"/>
    <n v="24523"/>
    <s v="레이 11"/>
    <s v="2023-02"/>
    <e v="#N/A"/>
    <s v="소음"/>
    <n v="30000"/>
    <n v="25000"/>
    <n v="42"/>
    <n v="39"/>
    <s v="LK0"/>
    <s v="한국"/>
    <x v="4"/>
    <x v="0"/>
    <s v="머플러"/>
    <m/>
    <x v="5"/>
    <s v="2026년"/>
    <s v="1분기"/>
  </r>
  <r>
    <s v="기아"/>
    <s v="D"/>
    <s v="2026031WW"/>
    <s v="K"/>
    <s v="R151"/>
    <n v="200"/>
    <s v="2026/03"/>
    <s v="DK02802026W00104900"/>
    <s v="KNARJ81FHTA388489"/>
    <s v="W"/>
    <s v="GZ"/>
    <s v="28710P2470"/>
    <s v="MUFFLER ASSY-RR"/>
    <s v="          "/>
    <s v="[C]1.현상 : 주행 뒤쪽에서 벙벙거리는 소음발생 문제로입고 2.점검내용 및 원인 : 시운전 점검시 리어머플러내부에서 소음발생확인됨 리어머플러 부품재질불량으로내부손상되어 가속시 떨림음발생판단 3.조치내용 : 리어 머플러 교체후 테스트시 정상으로 출고"/>
    <s v="28700R00"/>
    <m/>
    <s v="Q72"/>
    <s v="2025/10/16"/>
    <s v="2026/03/09"/>
    <s v="2025/10/20"/>
    <n v="5"/>
    <n v="7627"/>
    <s v="            "/>
    <n v="100"/>
    <n v="25.44"/>
    <n v="25.44"/>
    <n v="36098"/>
    <n v="5838"/>
    <n v="0"/>
    <n v="41936"/>
    <s v="MQ4 20"/>
    <s v="2025-10"/>
    <e v="#N/A"/>
    <s v="소음"/>
    <n v="10000"/>
    <n v="10000"/>
    <n v="6"/>
    <n v="6"/>
    <s v="DK0"/>
    <s v="한국"/>
    <x v="4"/>
    <x v="0"/>
    <s v="머플러"/>
    <m/>
    <x v="3"/>
    <s v="2026년"/>
    <s v="1분기"/>
  </r>
  <r>
    <s v="기아"/>
    <s v="D"/>
    <s v="2026031WW"/>
    <s v="K"/>
    <s v="R151"/>
    <n v="201"/>
    <s v="2026/03"/>
    <s v="DK02802026W00105400"/>
    <s v="KNAB1518BPT126602"/>
    <s v="W"/>
    <s v="G6"/>
    <s v="2876836000"/>
    <s v="HANGER"/>
    <s v="          "/>
    <s v="1.현상 : 주행중 머플러 잡소음 발생으로 점검의뢰_x000a_2.점검내용 및 원인 : 고객 문진시 간헐적 하부 머플러쪽에서 떨림 소음 발생된다고하여 확인시 _x000a_소음은 확인되지않으나 머플러행거및 고무재질불량으로 탄성불량되어 머플러 떨림발생 판단됨._x000a_3.조치내용 : 머플러 고무 댐퍼류 교환 작업완료후 정상출고"/>
    <s v="28658R00"/>
    <m/>
    <s v="V92"/>
    <s v="2023/04/25"/>
    <s v="2026/03/09"/>
    <s v="2023/04/28"/>
    <n v="35"/>
    <n v="4119"/>
    <s v="            "/>
    <n v="100"/>
    <n v="25.44"/>
    <n v="25.44"/>
    <n v="608"/>
    <n v="5838"/>
    <n v="0"/>
    <n v="6446"/>
    <s v="JA 17"/>
    <s v="2023-04"/>
    <e v="#N/A"/>
    <s v="떨림"/>
    <n v="10000"/>
    <n v="5000"/>
    <n v="36"/>
    <n v="36"/>
    <s v="DK0"/>
    <s v="한국"/>
    <x v="5"/>
    <x v="0"/>
    <s v="머플러"/>
    <m/>
    <x v="6"/>
    <s v="2026년"/>
    <s v="1분기"/>
  </r>
  <r>
    <s v="기아"/>
    <s v="D"/>
    <s v="2026031WW"/>
    <s v="K"/>
    <s v="R151"/>
    <n v="202"/>
    <s v="2026/03"/>
    <s v="2030002026W00253900"/>
    <s v="KNANE81BBSS542110"/>
    <s v="W"/>
    <s v="HS"/>
    <s v="28780R0000"/>
    <s v="HANGER"/>
    <s v="          "/>
    <s v="[C]1.현상 : 주행 열간시 정차중 차체 떨림이 심하여 입고함.(3월5일 마운팅 교환,운전석) 2.점검내용 및 원인 : 하체 점검:정상, 차체 점검:정상, 열간 정차 떨림 점검:이상 확인 함,결과:부밍음으로 판단됨. 3.조치내용 : 인터쿨러 흡기 호스 교환과 머플러 행거 교환,루프 패드 부착 및 앞 범퍼 분해 조립하여 단차 수정과 크로스 멤버 분해 조립하여 수정을 함."/>
    <s v="99NGOZ0T"/>
    <m/>
    <s v="V82"/>
    <s v="2025/02/27"/>
    <s v="2026/03/09"/>
    <s v="2025/02/28"/>
    <n v="13"/>
    <n v="27729"/>
    <s v="            "/>
    <n v="100"/>
    <n v="25.44"/>
    <n v="25.44"/>
    <n v="4559"/>
    <n v="13992"/>
    <n v="0"/>
    <n v="18551"/>
    <s v="KA4 (YP 카니발 후속) 20"/>
    <s v="2025-02"/>
    <e v="#N/A"/>
    <s v="떨림"/>
    <n v="30000"/>
    <n v="30000"/>
    <n v="18"/>
    <n v="15"/>
    <s v="203"/>
    <s v="한국"/>
    <x v="5"/>
    <x v="0"/>
    <s v="머플러"/>
    <m/>
    <x v="4"/>
    <s v="2026년"/>
    <s v="1분기"/>
  </r>
  <r>
    <s v="기아"/>
    <s v="D"/>
    <s v="2026031WW"/>
    <s v="K"/>
    <s v="R151"/>
    <n v="203"/>
    <s v="2026/03"/>
    <s v="2070002026W00256000"/>
    <s v="KNANE81ABSS082873"/>
    <s v="W"/>
    <s v="8S"/>
    <s v="28780R0200"/>
    <s v="HANGER"/>
    <s v="          "/>
    <s v="1.현상 : 주행중요철도로및급방지턱통과시하부측에서소음발생(둥두둥~)차체뒤편._x000a_2.점검내용 및 원인 : 시운전및접이식시트개폐,도어트립,각하부측유격점검,_x000a_3.조치내용 : 소음기파이프행거유격으로,움직임발생시내부유격으로소음발생,행거와고정파이프사이테이핑처리후조립,시운전결과소음사라짐."/>
    <s v="28780ATT"/>
    <m/>
    <s v="Q53"/>
    <s v="2025/03/22"/>
    <s v="2026/03/02"/>
    <s v="2025/04/03"/>
    <n v="11"/>
    <n v="9069"/>
    <s v="            "/>
    <n v="100"/>
    <n v="25.44"/>
    <n v="25.44"/>
    <n v="0"/>
    <n v="27984"/>
    <n v="0"/>
    <n v="27984"/>
    <s v="KA4 (YP 카니발 후속) 20"/>
    <s v="2025-03"/>
    <e v="#N/A"/>
    <s v="소음"/>
    <n v="10000"/>
    <n v="10000"/>
    <n v="12"/>
    <n v="12"/>
    <s v="207"/>
    <s v="한국"/>
    <x v="5"/>
    <x v="0"/>
    <s v="머플러"/>
    <m/>
    <x v="4"/>
    <s v="2026년"/>
    <s v="1분기"/>
  </r>
  <r>
    <s v="기아"/>
    <s v="D"/>
    <s v="2026031WA"/>
    <s v="K"/>
    <s v="R151"/>
    <n v="1"/>
    <s v="2026/01"/>
    <s v="2080002026W00030700"/>
    <s v="KNANE81ABSS016268"/>
    <s v="W"/>
    <s v="8S"/>
    <s v="28600ES100"/>
    <s v="MUFFLER COMPLETE-CTR"/>
    <s v="          "/>
    <s v="[C]1.현상 : 배기소음및 진동(재증상)(부품교체요청) 점검시 부품 결품이었다고함 2.점검내용 및 원인 : 정차 시 공명음 같은 이상 소음 리어 및 센터 머플러 소음 점검 흡기 및 배기 시스템 점검 3.조치내용 : 리어 및 센터 머플러 어셈블리 교환"/>
    <s v="99NSTZ0T"/>
    <m/>
    <s v="Q75"/>
    <s v="2024/04/16"/>
    <s v="2026/01/13"/>
    <s v="2024/04/17"/>
    <n v="21"/>
    <n v="47332"/>
    <s v="            "/>
    <n v="100"/>
    <n v="25.44"/>
    <n v="25.44"/>
    <n v="88172"/>
    <n v="18190"/>
    <n v="0"/>
    <n v="106362"/>
    <s v="KA4 (YP 카니발 후속) 20"/>
    <s v="2024-04"/>
    <e v="#N/A"/>
    <s v="소음"/>
    <n v="50000"/>
    <n v="50000"/>
    <n v="24"/>
    <n v="24"/>
    <s v="208"/>
    <s v="한국"/>
    <x v="1"/>
    <x v="0"/>
    <s v="머플러"/>
    <m/>
    <x v="4"/>
    <s v="2026년"/>
    <s v="1분기"/>
  </r>
  <r>
    <s v="기아"/>
    <s v="D"/>
    <s v="2026031WA"/>
    <s v="K"/>
    <s v="R151"/>
    <n v="2"/>
    <s v="2026/01"/>
    <s v="CX00402026W00006900"/>
    <s v="KNANC81BBPS346368"/>
    <s v="W"/>
    <s v="HS"/>
    <s v="28780L6000"/>
    <s v="HANGER"/>
    <s v="          "/>
    <s v="[C]1.현상 : 마후라 처짐으로 입고. 2.점검내용 및 원인 : 육안점검시 리어 마후라 처짐현상 확인됨(사진첨부). 마후라 고정해주는 행거불량으로 인한 증상으로판단됨. 3.조치내용 : 행거 교환후 출고조치함."/>
    <s v="28658R00"/>
    <m/>
    <s v="V82"/>
    <s v="2023/06/08"/>
    <s v="2026/01/19"/>
    <s v="2023/06/27"/>
    <n v="31"/>
    <n v="29336"/>
    <s v="            "/>
    <n v="100"/>
    <n v="25.44"/>
    <n v="25.44"/>
    <n v="769"/>
    <n v="3358"/>
    <n v="0"/>
    <n v="4127"/>
    <s v="KA4 (YP 카니발 후속) 20"/>
    <s v="2023-06"/>
    <e v="#N/A"/>
    <s v="떨림"/>
    <n v="30000"/>
    <n v="30000"/>
    <n v="36"/>
    <n v="33"/>
    <s v="CX0"/>
    <s v="한국"/>
    <x v="5"/>
    <x v="0"/>
    <s v="머플러"/>
    <m/>
    <x v="4"/>
    <s v="2026년"/>
    <s v="1분기"/>
  </r>
  <r>
    <s v="기아"/>
    <s v="E"/>
    <s v="2026031WW"/>
    <s v="K"/>
    <s v="R151"/>
    <n v="29"/>
    <s v="2026/03"/>
    <s v="B28VAFL0102658021-A"/>
    <s v="KNDCP3LE6T5319041"/>
    <s v="W"/>
    <s v="0T"/>
    <s v="2853008450"/>
    <s v="CONVERTER ASSY-W/UP CATALYTIC"/>
    <s v="          "/>
    <s v="[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
    <s v="28950R00"/>
    <s v="ZZ3"/>
    <s v="W17"/>
    <s v="2025/07/22"/>
    <s v="2026/03/02"/>
    <s v="2025/10/01"/>
    <n v="6"/>
    <n v="13117"/>
    <s v="            "/>
    <n v="100"/>
    <n v="18.18"/>
    <n v="18.18"/>
    <n v="191146"/>
    <n v="82087"/>
    <n v="0"/>
    <n v="273233"/>
    <s v="SG2 (니로 후속) 21"/>
    <s v="2025-07"/>
    <s v="단품불량"/>
    <s v="경고등 점등"/>
    <n v="20000"/>
    <n v="15000"/>
    <n v="12"/>
    <n v="9"/>
    <s v="B28"/>
    <s v="U.S.A"/>
    <x v="0"/>
    <x v="0"/>
    <s v="컨버터"/>
    <s v="카파(KIA)"/>
    <x v="7"/>
    <s v="2026년"/>
    <s v="1분기"/>
  </r>
  <r>
    <s v="기아"/>
    <s v="E"/>
    <s v="2026031WW"/>
    <s v="K"/>
    <s v="R151"/>
    <n v="30"/>
    <s v="2026/03"/>
    <s v="C11VC09078KM2000263"/>
    <s v="KNACR81EGS5260633"/>
    <s v="W"/>
    <s v="0T"/>
    <s v="2853008461"/>
    <s v="CONVERTER ASSY-W/UP CATALYTIC"/>
    <s v="          "/>
    <s v="[C]IL CLIENTE LAMENTA LA SPIA CHECK ACCESA [R]SOSTITUZIONE CATALIZZATORE [T]SI RISCONTRA ROTTURA DEL CATALIZZATORE [L]SOSTITUITIT GLI INIETTORI GPL"/>
    <s v="28950R00"/>
    <s v="ZZ2"/>
    <s v="W11"/>
    <s v="2024/12/27"/>
    <s v="2026/03/05"/>
    <s v="2025/09/23"/>
    <n v="6"/>
    <n v="22556"/>
    <s v="            "/>
    <n v="100"/>
    <n v="18.18"/>
    <n v="18.18"/>
    <n v="47085"/>
    <n v="14227"/>
    <n v="0"/>
    <n v="61312"/>
    <s v="SG2 (니로 후속) 21"/>
    <s v="2024-12"/>
    <s v="파손"/>
    <s v="경고등 점등"/>
    <n v="30000"/>
    <n v="25000"/>
    <n v="12"/>
    <n v="9"/>
    <s v="C11"/>
    <s v="ITALY"/>
    <x v="0"/>
    <x v="0"/>
    <s v="컨버터"/>
    <s v="카파(KIA)"/>
    <x v="7"/>
    <s v="2026년"/>
    <s v="1분기"/>
  </r>
  <r>
    <s v="기아"/>
    <s v="E"/>
    <s v="2026031WW"/>
    <s v="K"/>
    <s v="R151"/>
    <n v="31"/>
    <s v="2026/03"/>
    <s v="C21VA02396KM2000544"/>
    <s v="KNACP81EVS5294354"/>
    <s v="W"/>
    <s v="0T"/>
    <s v="2853008461"/>
    <s v="CONVERTER ASSY-W/UP CATALYTIC"/>
    <s v="          "/>
    <s v="[C]Investigate eml light on dash [R]Replaced CAT &amp; associated parts, erased code &amp; all ok on test. [T]Confirmed eml light on dash. Scanned and found P042000. Removed exhaust flexi and found CAT particles broken away from the main honeycomb section. Requires pre-warm up cat, gaskets, nuts &amp; studs to repair due to material defect."/>
    <s v="28950R00"/>
    <s v="ZZ4"/>
    <s v="W17"/>
    <s v="2025/04/16"/>
    <s v="2026/03/25"/>
    <s v="2025/10/21"/>
    <n v="6"/>
    <n v="9338"/>
    <s v="            "/>
    <n v="100"/>
    <n v="18.18"/>
    <n v="18.18"/>
    <n v="48545"/>
    <n v="48518"/>
    <n v="0"/>
    <n v="97063"/>
    <s v="SG2 (니로 후속) 21"/>
    <s v="2025-04"/>
    <s v="재질불량"/>
    <s v="경고등 점등"/>
    <n v="10000"/>
    <n v="10000"/>
    <n v="12"/>
    <n v="9"/>
    <s v="C21"/>
    <s v="UK"/>
    <x v="0"/>
    <x v="0"/>
    <s v="컨버터"/>
    <s v="카파(KIA)"/>
    <x v="7"/>
    <s v="2026년"/>
    <s v="1분기"/>
  </r>
  <r>
    <s v="기아"/>
    <s v="E"/>
    <s v="2026031WW"/>
    <s v="K"/>
    <s v="R151"/>
    <n v="32"/>
    <s v="2026/03"/>
    <s v="B28VATN0342633498-1"/>
    <s v="KNAE15LA2L6072367"/>
    <s v="W"/>
    <s v="J5"/>
    <s v="285302C910"/>
    <s v="CONVERTER ASSY-W/UP CATALYTIC"/>
    <s v="          "/>
    <s v="[D]cust picked up veh on 2/10 and stated check engine light came on shortly after leaving. verified complaint scanned veh and found code p0420 catalyst efficiency belowthreshold. removed upstream oxygen sensor and used borescope to inspect catalyst. found large discolored spots in catalyst indicating a failing catalyst material. removed exhaust pipe from bottom of catalyst and found coating material and more discoloration of catalyst. catalyst has failed. submitting pwa for catalyst. Catherin Stiltner on 2026-02-23 1:17 PM with following comments replaced catalyst. verified repair"/>
    <s v="28530R4A"/>
    <s v="ZZ1"/>
    <s v="W17"/>
    <s v="2019/07/24"/>
    <s v="2026/01/29"/>
    <s v="2020/02/11"/>
    <n v="72"/>
    <n v="121701"/>
    <s v="            "/>
    <n v="100"/>
    <n v="18.18"/>
    <n v="18.18"/>
    <n v="524721"/>
    <n v="130580"/>
    <n v="0"/>
    <n v="655301"/>
    <s v="CK 17"/>
    <s v="2019-07"/>
    <s v="설계문제"/>
    <s v="경고등 점등"/>
    <s v="≥100000"/>
    <s v="≥100000"/>
    <s v="≥60"/>
    <s v="≥60"/>
    <s v="B28"/>
    <s v="U.S.A"/>
    <x v="0"/>
    <x v="0"/>
    <s v="컨버터"/>
    <s v="쎄타"/>
    <x v="0"/>
    <s v="2026년"/>
    <s v="1분기"/>
  </r>
  <r>
    <s v="기아"/>
    <s v="E"/>
    <s v="2026031WW"/>
    <s v="K"/>
    <s v="R151"/>
    <n v="33"/>
    <s v="2026/03"/>
    <s v="B28VANJ0262649831-A"/>
    <s v="KNAE15LA4L6073178"/>
    <s v="W"/>
    <s v="J5"/>
    <s v="285302C910"/>
    <s v="CONVERTER ASSY-W/UP CATALYTIC"/>
    <s v="          "/>
    <s v="[D]CUSTOMER STATES THAT CHECK ENGINE LIGHT IS LIT ON THE DASH, PERFORM DIAG CHECK ENGINE LIGHT - DIAGNOSIS - C/S: CUSTOMER ST ATES THE CEL IS SOLID ON THE DASH. CAR WAS RUNNING ROUGH BUT HAS GOTTEN BETTER. c/s CEL is on DTC P0420 is active. Followed service information.Visually inspect cat converter. No issues found. No damage to exterior of cat converter. No exhaustleaks present. Monitor data using KDS. Compared to provided parameters. Readings do not match. Rec new catalytic converter. Removed heatshield and bracket holding catalytic converter. Removed lower bolts holding catalyst to exhaust manifold. The upper two bolts stripped out while removing and required thread repairs to be made on them. Removed the catalytic converter and replaced with new convertor-also replaced one time use case &amp; pipe. Reinstalled all removed parts. Performed adaptive relearnand cleared DTCs. Road test. Operating properly at this time."/>
    <s v="28530R1A"/>
    <s v="ZZ3"/>
    <s v="W17"/>
    <s v="2019/08/12"/>
    <s v="2026/01/23"/>
    <s v="2020/01/25"/>
    <n v="72"/>
    <n v="55395"/>
    <s v="            "/>
    <n v="100"/>
    <n v="18.18"/>
    <n v="18.18"/>
    <n v="523062"/>
    <n v="77093"/>
    <n v="0"/>
    <n v="600155"/>
    <s v="CK 17"/>
    <s v="2019-08"/>
    <s v="단품불량"/>
    <s v="경고등 점등"/>
    <n v="60000"/>
    <n v="60000"/>
    <s v="≥60"/>
    <s v="≥60"/>
    <s v="B28"/>
    <s v="U.S.A"/>
    <x v="0"/>
    <x v="0"/>
    <s v="컨버터"/>
    <s v="쎄타"/>
    <x v="0"/>
    <s v="2026년"/>
    <s v="1분기"/>
  </r>
  <r>
    <s v="기아"/>
    <s v="E"/>
    <s v="2026031WW"/>
    <s v="K"/>
    <s v="R151"/>
    <n v="34"/>
    <s v="2026/03"/>
    <s v="B28VAFL1522638824-N"/>
    <s v="KNDPR3A62L7653725"/>
    <s v="W"/>
    <s v="D9"/>
    <s v="285302GSG0"/>
    <s v="CONVERTER ASSY-W/UP CATALYTIC"/>
    <s v="          "/>
    <s v="[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
    <s v="28530RZZ"/>
    <s v="ZZ3"/>
    <s v="W17"/>
    <s v="2019/02/20"/>
    <s v="2026/01/06"/>
    <s v="2019/05/21"/>
    <n v="80"/>
    <n v="91317"/>
    <s v="            "/>
    <n v="100"/>
    <n v="18.18"/>
    <n v="18.18"/>
    <n v="0"/>
    <n v="0"/>
    <n v="55027"/>
    <n v="55027"/>
    <s v="스포티지(후속) 16"/>
    <s v="2019-02"/>
    <s v="단품불량"/>
    <s v="경고등 점등"/>
    <n v="100000"/>
    <n v="95000"/>
    <s v="≥60"/>
    <s v="≥60"/>
    <s v="B28"/>
    <s v="U.S.A"/>
    <x v="0"/>
    <x v="0"/>
    <s v="컨버터"/>
    <s v="쎄타"/>
    <x v="0"/>
    <s v="2026년"/>
    <s v="1분기"/>
  </r>
  <r>
    <s v="기아"/>
    <s v="E"/>
    <s v="2026031WW"/>
    <s v="K"/>
    <s v="R151"/>
    <n v="35"/>
    <s v="2026/03"/>
    <s v="B28VAFL1522638824-A"/>
    <s v="KNDPR3A62L7653725"/>
    <s v="W"/>
    <s v="D9"/>
    <s v="285302GSG0"/>
    <s v="CONVERTER ASSY-W/UP CATALYTIC"/>
    <s v="          "/>
    <s v="[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
    <s v="28530R1A"/>
    <s v="ZZ3"/>
    <s v="W17"/>
    <s v="2019/02/20"/>
    <s v="2026/01/06"/>
    <s v="2019/05/21"/>
    <n v="80"/>
    <n v="91317"/>
    <s v="            "/>
    <n v="100"/>
    <n v="18.18"/>
    <n v="18.18"/>
    <n v="243094"/>
    <n v="77960"/>
    <n v="0"/>
    <n v="321054"/>
    <s v="스포티지(후속) 16"/>
    <s v="2019-02"/>
    <s v="단품불량"/>
    <s v="경고등 점등"/>
    <n v="100000"/>
    <n v="95000"/>
    <s v="≥60"/>
    <s v="≥60"/>
    <s v="B28"/>
    <s v="U.S.A"/>
    <x v="0"/>
    <x v="0"/>
    <s v="컨버터"/>
    <s v="쎄타"/>
    <x v="0"/>
    <s v="2026년"/>
    <s v="1분기"/>
  </r>
  <r>
    <s v="기아"/>
    <s v="E"/>
    <s v="2026031WW"/>
    <s v="K"/>
    <s v="R151"/>
    <n v="36"/>
    <s v="2026/03"/>
    <s v="B06VA521482618818A "/>
    <s v="KNDPRCA69L7753465"/>
    <s v="W"/>
    <s v="D9"/>
    <s v="285302GSH0"/>
    <s v="CONVERTER ASSY-W/UP CATALYTIC"/>
    <s v="          "/>
    <s v="[C]CUSTOMER REPORTS ENGINE LIGHT ON. PLEASE HAVE A LOOK ON IT. [R]REPLACEMENT OF CATALYTIC CONVERTER AND UPSTREAM 02 SENSOR AND TURBO [T]SCANNED FOR CODES, FOUND CODES P2196 AND P2096, INSPECTING INTERNAL RESISTANCE OF BOTH O2 SENSORS FOUND REAR O2 RESISTANCE STARTED AT 65000 OHMS AND SLOWLY DROPED TO 135OHS. (SPEC IS 93 OHMS. FRONT O2 IS STEADY AT 82 WHICH IS SPEC. REQ REPLACEMENT OF REAR O2 SENSOR TO CORRECT FAULT. DURING PROCESS O [L]photos sent to warranty central as requested from screen 28 [D]Approved as a one-time exception. Going forward, please ensure all relevant bulletins and procedures are strictly followed. PWA must be created before proceeding with the repair. The photos provided do not show any evidence of the turbocharger being heated in an attempt to extract the studs. DCS Turbocharger will not be covered, as the studs are available and can be extracted and replaced. Please send photos to show the concern of the turbo and O2 sensor. Please clarify why turbo replacement is necessary, as the bolts can be unseized."/>
    <s v="28530R1A"/>
    <s v="ZZ3"/>
    <s v="W17"/>
    <s v="2019/09/06"/>
    <s v="2026/01/02"/>
    <s v="2020/01/07"/>
    <n v="72"/>
    <n v="38031"/>
    <s v="            "/>
    <n v="100"/>
    <n v="18.18"/>
    <n v="18.18"/>
    <n v="293497"/>
    <n v="32411"/>
    <n v="0"/>
    <n v="325908"/>
    <s v="스포티지(후속) 16"/>
    <s v="2019-09"/>
    <s v="단품불량"/>
    <s v="경고등 점등"/>
    <n v="40000"/>
    <n v="40000"/>
    <s v="≥60"/>
    <s v="≥60"/>
    <s v="B06"/>
    <s v="CANADA"/>
    <x v="0"/>
    <x v="0"/>
    <s v="컨버터"/>
    <s v="쎄타"/>
    <x v="0"/>
    <s v="2026년"/>
    <s v="1분기"/>
  </r>
  <r>
    <s v="기아"/>
    <s v="E"/>
    <s v="2026031WW"/>
    <s v="K"/>
    <s v="R151"/>
    <n v="40"/>
    <s v="2026/03"/>
    <s v="D26VBTR023KM2000313"/>
    <s v="KNCSJX768R7778886"/>
    <s v="W"/>
    <s v="HD"/>
    <s v="286004E560"/>
    <s v="MUFFLER COMPLETE-CTR"/>
    <s v="          "/>
    <s v="[C]MOTOR ARIZA LAMBASI YANIYOR VE PARTAKÜL UYARISI VERİYOR [R]DPF DEGISIMI YAPILARAK ARIZA GIDERILECEKTIR [T]ARACIN GOSTERGESINDE PARTIKUL UYARISI VERIYORDU ARAC KDS CIHAZINA BAGLANDI P200300 PARCACIK FILTRESI VERIMLILIGI ESIGIN ALTINDA SIRA 2 ARIZASI VERIYORDU ARACLA YOL TESTINE CIKILDI KDS DEN PM SENSOR VERILERI IZLENEREK YOL TESTI YAPILDI DPF ICINDE KURUM KACAK OLDUGU VE BUNDAN DOLAYI PM SENSOR VERILER [L]Claime DPF'' in iç,dış ve lot numarası fotoğraflarını eklendi [D]Claime DPF'' in iç,dış ve lot numarası fotoğraflarını ekleyiniz."/>
    <s v="28650R00"/>
    <s v="ZZ3"/>
    <s v="W11"/>
    <s v="2024/03/06"/>
    <s v="2026/02/24"/>
    <s v="2024/05/31"/>
    <n v="21"/>
    <n v="32513"/>
    <s v="            "/>
    <n v="100"/>
    <n v="18.18"/>
    <n v="18.18"/>
    <n v="168728"/>
    <n v="4567"/>
    <n v="0"/>
    <n v="173295"/>
    <s v="봉고3 1톤/1.4톤"/>
    <s v="2024-03"/>
    <s v="단품불량"/>
    <s v="경고등 점등"/>
    <n v="40000"/>
    <n v="35000"/>
    <n v="24"/>
    <n v="24"/>
    <s v="D26"/>
    <s v="TURKEY"/>
    <x v="1"/>
    <x v="0"/>
    <s v="컨버터"/>
    <s v="PU SDPF"/>
    <x v="1"/>
    <s v="2026년"/>
    <s v="1분기"/>
  </r>
  <r>
    <s v="기아"/>
    <s v="E"/>
    <s v="2026031WW"/>
    <s v="K"/>
    <s v="R151"/>
    <n v="53"/>
    <s v="2026/03"/>
    <s v="B06VA611232682921A "/>
    <s v="KNDNC5H34N6060828"/>
    <s v="W"/>
    <s v="HS"/>
    <s v="28600R0120"/>
    <s v="MUFFLER COMPLETE-CTR"/>
    <s v="          "/>
    <s v="[C]VERIFIER EXHAUST FUITE SELON CLIENT [R]exhaust remplacé avec nouveau gaskets et noix [T]VERIFIER EXHAUST A DESOUDER A LA BASSE DU CENTER PIPE AU NIVEAU DDU MUFFLER TRES BRUYANT"/>
    <s v="28650R00"/>
    <s v="ZZ3"/>
    <s v="Q57"/>
    <s v="2021/01/26"/>
    <s v="2026/03/23"/>
    <s v="2021/05/31"/>
    <n v="58"/>
    <n v="67335"/>
    <s v="            "/>
    <n v="100"/>
    <n v="18.18"/>
    <n v="18.18"/>
    <n v="77689"/>
    <n v="19408"/>
    <n v="0"/>
    <n v="97097"/>
    <s v="KA4 (YP 카니발 후속) 20"/>
    <s v="2021-01"/>
    <s v="단품불량"/>
    <s v="소음"/>
    <n v="70000"/>
    <n v="70000"/>
    <n v="60"/>
    <n v="60"/>
    <s v="B06"/>
    <s v="CANADA"/>
    <x v="1"/>
    <x v="0"/>
    <s v="머플러"/>
    <m/>
    <x v="4"/>
    <s v="2026년"/>
    <s v="1분기"/>
  </r>
  <r>
    <s v="기아"/>
    <s v="E"/>
    <s v="2026031WW"/>
    <s v="K"/>
    <s v="R151"/>
    <n v="54"/>
    <s v="2026/03"/>
    <s v="B06VA110352673464A "/>
    <s v="KNDNC5H33N6070783"/>
    <s v="W"/>
    <s v="HS"/>
    <s v="28600R0120"/>
    <s v="MUFFLER COMPLETE-CTR"/>
    <s v="          "/>
    <s v="[C]CUSTOMER REPORT EXHAUST FUME SMELL IN CABIN WHILE DRIVING. [R]REPLACED MUFFLER ASSEMBLY, CONFIRMED NO EXHAUST SMELL IN CABIN AREA [T]CONFIRMED CUSTOMER CONCERN OF EXHAUST FUMES IN VEHICLE ON ROAD TEST. UPON INSPECTION FOUND THAT MID MUFFLER HAS CRACKED AT WELDS OF WHERE THE FLANGE CONNECTS TO EXHAUST PIPE. INSPECTED FURTHER AND FOUND NO SIGNS OF EXTERNAL DAMAGE TO EXHAUST SYSTEM. SUSPECT FAULTY WELDS."/>
    <s v="28650R00"/>
    <s v="ZZ1"/>
    <s v="B33"/>
    <s v="2021/02/23"/>
    <s v="2026/03/13"/>
    <s v="2021/06/17"/>
    <n v="57"/>
    <n v="65674"/>
    <s v="            "/>
    <n v="100"/>
    <n v="18.18"/>
    <n v="18.18"/>
    <n v="77297"/>
    <n v="10175"/>
    <n v="0"/>
    <n v="87472"/>
    <s v="KA4 (YP 카니발 후속) 20"/>
    <s v="2021-02"/>
    <s v="설계문제"/>
    <s v="누기"/>
    <n v="70000"/>
    <n v="70000"/>
    <n v="60"/>
    <n v="60"/>
    <s v="B06"/>
    <s v="CANADA"/>
    <x v="1"/>
    <x v="0"/>
    <s v="머플러"/>
    <m/>
    <x v="4"/>
    <s v="2026년"/>
    <s v="1분기"/>
  </r>
  <r>
    <s v="기아"/>
    <s v="E"/>
    <s v="2026031WW"/>
    <s v="K"/>
    <s v="R151"/>
    <n v="55"/>
    <s v="2026/03"/>
    <s v="B28VAPA0582648527-A"/>
    <s v="KNDNC5H33N6103975"/>
    <s v="W"/>
    <s v="HS"/>
    <s v="28600R0120"/>
    <s v="MUFFLER COMPLETE-CTR"/>
    <s v="          "/>
    <s v="[D]CONDITION: CUSTOMER STATES THAT THE MUFFLER &amp; GASKETS, ARE CRACKED. REFER TO RO 347498 parts are inCAUSE: REAR FLANGE OF MIDPIPE TO MUFFLER IS CRACKED CAUSING A LEAK CORRECTION: REPLACED MID PIPE/MUFFLER AND GASKETS"/>
    <s v="28650R00"/>
    <s v="ZZ3"/>
    <s v="Q57"/>
    <s v="2021/05/11"/>
    <s v="2026/02/11"/>
    <s v="2021/07/16"/>
    <n v="55"/>
    <n v="88290"/>
    <s v="            "/>
    <n v="100"/>
    <n v="18.18"/>
    <n v="18.18"/>
    <n v="106433"/>
    <n v="16112"/>
    <n v="0"/>
    <n v="122545"/>
    <s v="KA4 (YP 카니발 후속) 20"/>
    <s v="2021-05"/>
    <s v="단품불량"/>
    <s v="소음"/>
    <n v="90000"/>
    <n v="90000"/>
    <n v="60"/>
    <n v="57"/>
    <s v="B28"/>
    <s v="U.S.A"/>
    <x v="1"/>
    <x v="0"/>
    <s v="머플러"/>
    <m/>
    <x v="4"/>
    <s v="2026년"/>
    <s v="1분기"/>
  </r>
  <r>
    <s v="기아"/>
    <s v="E"/>
    <s v="2026031WW"/>
    <s v="K"/>
    <s v="R151"/>
    <n v="56"/>
    <s v="2026/03"/>
    <s v="B06VA540532615854A "/>
    <s v="KNDCS3LF5R5160299"/>
    <s v="W"/>
    <s v="0T"/>
    <s v="28601AT600"/>
    <s v="MUFFLER COMPLETE-CTR &amp; SENSOR"/>
    <s v="          "/>
    <s v="[C]EXHA - Customer concerned with coolant leaking [R]Replaced the heat exchanger in the exhaust and filled the cooling system [T]Confirmed coolant low. No visible leaks under pressure but pressure was dropping. Disconnected the lower exhaust and used a scope to look into the heat exchanger and found coolant drops"/>
    <s v="28607R00"/>
    <s v="ZZ3"/>
    <s v="L31"/>
    <s v="2023/12/20"/>
    <s v="2026/03/03"/>
    <s v="2024/03/21"/>
    <n v="24"/>
    <n v="39736"/>
    <s v="            "/>
    <n v="100"/>
    <n v="18.18"/>
    <n v="18.18"/>
    <n v="44384"/>
    <n v="25568"/>
    <n v="0"/>
    <n v="69952"/>
    <s v="SG2 (니로 후속) 21"/>
    <s v="2023-12"/>
    <s v="단품불량"/>
    <s v="냉각수 문제"/>
    <n v="40000"/>
    <n v="40000"/>
    <n v="30"/>
    <n v="27"/>
    <s v="B06"/>
    <s v="CANADA"/>
    <x v="2"/>
    <x v="0"/>
    <s v="머플러"/>
    <m/>
    <x v="2"/>
    <s v="2026년"/>
    <s v="1분기"/>
  </r>
  <r>
    <s v="기아"/>
    <s v="E"/>
    <s v="2026031WW"/>
    <s v="K"/>
    <s v="R151"/>
    <n v="57"/>
    <s v="2026/03"/>
    <s v="B06VA110492624103A "/>
    <s v="KNDCT3LEXR5166703"/>
    <s v="W"/>
    <s v="0T"/>
    <s v="28601AT600"/>
    <s v="MUFFLER COMPLETE-CTR &amp; SENSOR"/>
    <s v="          "/>
    <s v="[C]DIAGNOSE AND REPORT, customer reports noticed that coolant was below minimum mark on Friday, would have filled coolant yesterday, customer also suggested having a chemical smell in the cabin, please inspect and report [R]AS PER REQUEST,RAISED VEHICLE REMOVED UNDERTRAY TO EXHAUST FRONT SYSTEM,DISCONNECTED BOTH COOLANT PIPES TO EXHAUST SYSTEM,BOTH FRONT AND REAR MUFFLER NUTS,AND FINALLY THE CENTER EHRS PIPE,REPLACED EHRS PIPE AND ALL EXHAUST NUTS AND MUFFLER GASKETS,REINSTALLED COOLANT LINES TO EHRS PIPE,INSTALLED UND [T]INSPECTED ENTIRE COOLANT SYSTEM FOR LEAKS, NO LEAKS FOUND VISUALLY, RAN THE ENGINE UP TO TEMPERATURE, HOOKED UP A PRESSURE TESTER PUMPED TO 17 PSI, OVER THE NEXT 30 MINS DROPPED TO 12 PSI AN VERY MINOR COOLANT AMOUNT WENT DOWN, CHECKED THE ENTIRE ENGINE COOLANT SYSTEM, NO EXTERIOR LEAKS FOUND, INSPE"/>
    <s v="28607R00"/>
    <s v="ZZ3"/>
    <s v="L33"/>
    <s v="2024/01/13"/>
    <s v="2026/01/26"/>
    <s v="2024/03/13"/>
    <n v="23"/>
    <n v="86271"/>
    <s v="            "/>
    <n v="100"/>
    <n v="18.18"/>
    <n v="18.18"/>
    <n v="48681"/>
    <n v="28837"/>
    <n v="0"/>
    <n v="77518"/>
    <s v="SG2 (니로 후속) 21"/>
    <s v="2024-01"/>
    <s v="단품불량"/>
    <s v="냉각수 문제"/>
    <n v="90000"/>
    <n v="90000"/>
    <n v="24"/>
    <n v="24"/>
    <s v="B06"/>
    <s v="CANADA"/>
    <x v="2"/>
    <x v="0"/>
    <s v="머플러"/>
    <m/>
    <x v="2"/>
    <s v="2026년"/>
    <s v="1분기"/>
  </r>
  <r>
    <s v="기아"/>
    <s v="E"/>
    <s v="2026031WW"/>
    <s v="K"/>
    <s v="R151"/>
    <n v="58"/>
    <s v="2026/03"/>
    <s v="B06VA510582690045B "/>
    <s v="KNDCS3LF7R5187732"/>
    <s v="W"/>
    <s v="0T"/>
    <s v="28601AT600"/>
    <s v="MUFFLER COMPLETE-CTR &amp; SENSOR"/>
    <s v="          "/>
    <s v="[C]CHECK ENGINE LIGHT ON CHECK AND REPORT, A DIAGNOSTIC OF 149.95+TAXES [R]REPLACED WARM UP CAT ASSY OP 28610R00 [T]CONFIRMED, P210000 THROTTLE ACTUATOR CONTROL MOTOR P047100 EXHAUST PRESSURE SENSOR A P040B00 EGR TEMP SENSOR A P011400 INTAKE AIR TEMP SENSOR 1 P047200 EXHAUST PRESSURE SENSOR A P047300 EXHAUST PRESSURE SENSOR A. EXHAUST PRESSURE IS BACKING UP WARM UP CAT IS STARTING TO PLUG UP DEFECTIVE PART CAUSE"/>
    <s v="28610R00"/>
    <s v="ZZ3"/>
    <s v="W17"/>
    <s v="2024/04/03"/>
    <s v="2026/01/27"/>
    <s v="2024/07/08"/>
    <n v="19"/>
    <n v="21562"/>
    <s v="            "/>
    <n v="100"/>
    <n v="18.18"/>
    <n v="18.18"/>
    <n v="48681"/>
    <n v="14907"/>
    <n v="0"/>
    <n v="63588"/>
    <s v="SG2 (니로 후속) 21"/>
    <s v="2024-04"/>
    <s v="단품불량"/>
    <s v="경고등 점등"/>
    <n v="30000"/>
    <n v="25000"/>
    <n v="24"/>
    <n v="21"/>
    <s v="B06"/>
    <s v="CANADA"/>
    <x v="2"/>
    <x v="0"/>
    <s v="머플러"/>
    <m/>
    <x v="2"/>
    <s v="2026년"/>
    <s v="1분기"/>
  </r>
  <r>
    <s v="기아"/>
    <s v="E"/>
    <s v="2026031WW"/>
    <s v="K"/>
    <s v="R151"/>
    <n v="59"/>
    <s v="2026/03"/>
    <s v="C07VA2778AKM2000096"/>
    <s v="KNARH81BHP5220667"/>
    <s v="W"/>
    <s v="GZ"/>
    <s v="28607P2580"/>
    <s v="MUFFLER COMPLETE-CHMBR &amp; CONV"/>
    <s v="          "/>
    <s v="[C]Motorkontrollleuchte ging direkt nach dem Start an [R]Schalldämpfereinheit nach Anleitung WHB ersetzt [T]Fehlerspeicher ausgelesen, Fehlercode P20EE00 hinterlegt, Fehlercode gestützte Diagnose Durchgeführt, Stecker, Steckverbindungen und Verkabelung auf korrekten Sitz und Beschädigung Überprüft – ohne Befund, nach Rücksprache Tech Hotline Schalldämpfereinheit ersetzen"/>
    <s v="28620R00"/>
    <s v="ZZ3"/>
    <s v="W17"/>
    <s v="2023/04/13"/>
    <s v="2026/02/20"/>
    <s v="2023/07/24"/>
    <n v="31"/>
    <n v="57445"/>
    <s v="            "/>
    <n v="100"/>
    <n v="18.18"/>
    <n v="18.18"/>
    <n v="94239"/>
    <n v="17053"/>
    <n v="0"/>
    <n v="111292"/>
    <s v="MQ4 20"/>
    <s v="2023-04"/>
    <s v="단품불량"/>
    <s v="경고등 점등"/>
    <n v="60000"/>
    <n v="60000"/>
    <n v="36"/>
    <n v="33"/>
    <s v="C07"/>
    <s v="GERMANY"/>
    <x v="3"/>
    <x v="0"/>
    <s v="컨버터"/>
    <s v="MQ4 DPF"/>
    <x v="3"/>
    <s v="2026년"/>
    <s v="1분기"/>
  </r>
  <r>
    <s v="기아"/>
    <s v="E"/>
    <s v="2026031WW"/>
    <s v="K"/>
    <s v="R151"/>
    <n v="60"/>
    <s v="2026/03"/>
    <s v="C27VA0738BKM2000176"/>
    <s v="KNARH81BHS5290034"/>
    <s v="W"/>
    <s v="GZ"/>
    <s v="28607P2580"/>
    <s v="MUFFLER COMPLETE-CHMBR &amp; CONV"/>
    <s v="          "/>
    <s v="[C]Samochód traci moc, Kontrolka check engine, auto z lawety [R]Wymiana katalizatora SCR [T]W aucie komputer wykrył błąd odnoszący się do słabej wydajności katalizatora NOx. Wszystkie czujniki NOx działają poprawnie. Potwierdzona jest ich praca w analizie danych. Problemem w aucie jest katalizator SCR. Wydajność tego katalizatora powinna być na poziomie 1. Od razu po uruchomieniu auta ta [L]Dzień dobry, auto miało szybciej otwarte zlecenie na odczyt błędów, skupiliśmy się w pierwszej kolejności na czujnikach NOx. Adblue zalane było do pełna na stacji benzynowej z dystrybutora. Wtrysk Adblue był wymieniany przy 60 tyś km. W zeszłym roku auto miało awarię turbosprężarki, która puściła ol [D]Witam, widzę że trochę auto stoi. Sam scr nie jest chyba odpowiedzialny za redukcję - jak wygląda sprawność układu mocznika-wydajność wtryskiwacza i sam płyn Adblue-ma odpowiednie stężenie? KM"/>
    <s v="28620R00"/>
    <s v="ZZ3"/>
    <s v="I11"/>
    <s v="2024/03/21"/>
    <s v="2026/01/26"/>
    <s v="2024/07/17"/>
    <n v="19"/>
    <n v="84468"/>
    <s v="            "/>
    <n v="100"/>
    <n v="18.18"/>
    <n v="18.18"/>
    <n v="93522"/>
    <n v="9231"/>
    <n v="0"/>
    <n v="102753"/>
    <s v="MQ4 20"/>
    <s v="2024-03"/>
    <s v="단품불량"/>
    <s v="작동불량"/>
    <n v="90000"/>
    <n v="85000"/>
    <n v="24"/>
    <n v="21"/>
    <s v="C27"/>
    <s v="POLAND"/>
    <x v="3"/>
    <x v="0"/>
    <s v="컨버터"/>
    <s v="MQ4 DPF"/>
    <x v="3"/>
    <s v="2026년"/>
    <s v="1분기"/>
  </r>
  <r>
    <s v="기아"/>
    <s v="E"/>
    <s v="2026031WW"/>
    <s v="K"/>
    <s v="R151"/>
    <n v="65"/>
    <s v="2026/03"/>
    <s v="B28VAPA0772621518-C"/>
    <s v="KNDRGDLG0N5108583"/>
    <s v="W"/>
    <s v="HC"/>
    <s v="28650P4600"/>
    <s v="MUFFLER ASSY-CTR"/>
    <s v="          "/>
    <s v="[D]CONDITION: CUSTOMER STATES STARTED CAR, HEARD A LOUD EXPLOSION AND NOW THERE IS A HOLE IN A COMPONET UNDER VEHICLE AND CEL CAUSE: W CORRECTION: 15495 VERIFIED CUSTOMER CONCERN FOUND MUFFLER EXPLODED AND DAMAGED THE EGR VALVE. PART IS COVERED UNDER KIA S EMISSIONS WARRANTY. CORRECTION REMOVE AND REPLACE MUFFLER AND EGR VALVE. REMOVED AND REPLACED EGR VALVE. VERIFIED REPAIRS WITH A 6 MILE ROAD TEST. NO ISSUE PRESENT AT THIS TIME."/>
    <s v="28650R1H"/>
    <s v="ZZ3"/>
    <s v="Q55"/>
    <s v="2022/04/14"/>
    <s v="2026/02/10"/>
    <s v="2022/06/04"/>
    <n v="45"/>
    <n v="24792"/>
    <s v="            "/>
    <n v="100"/>
    <n v="18.18"/>
    <n v="18.18"/>
    <n v="57119"/>
    <n v="35162"/>
    <n v="0"/>
    <n v="92281"/>
    <s v="MQ4 20 HEV"/>
    <s v="2022-04"/>
    <s v="단품불량"/>
    <s v="소음"/>
    <n v="30000"/>
    <n v="25000"/>
    <n v="48"/>
    <n v="48"/>
    <s v="B28"/>
    <s v="U.S.A"/>
    <x v="1"/>
    <x v="0"/>
    <s v="머플러"/>
    <m/>
    <x v="8"/>
    <s v="2026년"/>
    <s v="1분기"/>
  </r>
  <r>
    <s v="기아"/>
    <s v="E"/>
    <s v="2026031WW"/>
    <s v="K"/>
    <s v="R151"/>
    <n v="76"/>
    <s v="2026/03"/>
    <s v="C07VA0584AKM2000223"/>
    <s v="KNARH81GDP5219077"/>
    <s v="W"/>
    <s v="HC"/>
    <s v="28650P4670"/>
    <s v="MUFFLER ASSY-CTR"/>
    <s v="          "/>
    <e v="#N/A"/>
    <s v="28650R1H"/>
    <s v="ZZ3"/>
    <s v="B33"/>
    <s v="2023/07/05"/>
    <s v="2026/03/09"/>
    <s v="2023/10/27"/>
    <n v="29"/>
    <n v="63007"/>
    <s v="            "/>
    <n v="100"/>
    <n v="18.18"/>
    <n v="18.18"/>
    <n v="51571"/>
    <n v="29137"/>
    <n v="0"/>
    <n v="80708"/>
    <s v="MQ4 20 HEV"/>
    <s v="2023-07"/>
    <s v="단품불량"/>
    <s v="누기"/>
    <n v="70000"/>
    <n v="65000"/>
    <n v="30"/>
    <n v="30"/>
    <s v="C07"/>
    <s v="GERMANY"/>
    <x v="1"/>
    <x v="0"/>
    <s v="머플러"/>
    <m/>
    <x v="8"/>
    <s v="2026년"/>
    <s v="1분기"/>
  </r>
  <r>
    <s v="기아"/>
    <s v="E"/>
    <s v="2026031WW"/>
    <s v="K"/>
    <s v="R151"/>
    <n v="77"/>
    <s v="2026/03"/>
    <s v="E37VASA221KM2000057"/>
    <s v="KNCSHX76LS7815904"/>
    <s v="W"/>
    <s v="HD"/>
    <s v="287004E740"/>
    <s v="MUFFLER ASSY-MAIN"/>
    <s v="          "/>
    <s v="[C]customer complains about exhaust blowing [R]Replace exhaust [T]Check exhaust found center muffler defective vdn260115015I [L]321/25100 : 10 000KM Service v1.0 KNCSHX76LS7815904 9884 2025-08-11 321/25100 : 20 000KM Service v1.0 KNCSHX76LS7815904 20941 2026-01-15 [D]no customer complaint on cash job card - marna 5/3"/>
    <s v="28650R00"/>
    <s v="ZZ4"/>
    <s v="B33"/>
    <s v="2024/08/26"/>
    <s v="2026/01/15"/>
    <s v="2025/05/12"/>
    <n v="9"/>
    <n v="20941"/>
    <s v="            "/>
    <n v="100"/>
    <n v="18.18"/>
    <n v="18.18"/>
    <n v="31776"/>
    <n v="5200"/>
    <n v="0"/>
    <n v="36976"/>
    <s v="봉고3 1톤/1.4톤"/>
    <s v="2024-08"/>
    <s v="재질불량"/>
    <s v="누기"/>
    <n v="30000"/>
    <n v="25000"/>
    <n v="12"/>
    <n v="12"/>
    <s v="E37"/>
    <s v="SOUTH AFRICA"/>
    <x v="4"/>
    <x v="0"/>
    <s v="머플러"/>
    <m/>
    <x v="1"/>
    <s v="2026년"/>
    <s v="1분기"/>
  </r>
  <r>
    <s v="기아"/>
    <s v="E"/>
    <s v="2026031WW"/>
    <s v="K"/>
    <s v="R151"/>
    <n v="78"/>
    <s v="2026/03"/>
    <s v="E37VASA032KM2000021"/>
    <s v="KNCSHX76LS7815595"/>
    <s v="W"/>
    <s v="HD"/>
    <s v="287004E740"/>
    <s v="MUFFLER ASSY-MAIN"/>
    <s v="          "/>
    <s v="[C]P: Noise coming from the exhaust [R]R: Need to replace center piece of exhast and gaskets [T]C: Inspected and found exhaust center piece connected to the silencer is torn open on the welding. Exhaust gasses are escaping from the opening and causes the noise [L]Part: 287512P000 Part: 287004E740 Part: 287514E100 10000km - 10423km 11/09/2025 20000km - 20556km 16/01/2026 Mileage: 24399km Tech: Lucky 05.03.2026: Credited and re-invoiced with correct labour rate. Marlise [D]check your labour amount on RO - marna 4/3 attach original invoice and credit note-simz05/03"/>
    <s v="28600R00"/>
    <s v="ZZ3"/>
    <s v="Q55"/>
    <s v="2024/08/26"/>
    <s v="2026/02/11"/>
    <s v="2025/04/30"/>
    <n v="10"/>
    <n v="24399"/>
    <s v="            "/>
    <n v="100"/>
    <n v="18.18"/>
    <n v="18.18"/>
    <n v="31750"/>
    <n v="7800"/>
    <n v="0"/>
    <n v="39550"/>
    <s v="봉고3 1톤/1.4톤"/>
    <s v="2024-08"/>
    <s v="단품불량"/>
    <s v="소음"/>
    <n v="30000"/>
    <n v="25000"/>
    <n v="12"/>
    <n v="12"/>
    <s v="E37"/>
    <s v="SOUTH AFRICA"/>
    <x v="4"/>
    <x v="0"/>
    <s v="머플러"/>
    <m/>
    <x v="1"/>
    <s v="2026년"/>
    <s v="1분기"/>
  </r>
  <r>
    <s v="기아"/>
    <s v="E"/>
    <s v="2026031WW"/>
    <s v="K"/>
    <s v="R151"/>
    <n v="79"/>
    <s v="2026/03"/>
    <s v="E37VASA201KM2600004"/>
    <s v="KNCSHX76LS7823775"/>
    <s v="W"/>
    <s v="HD"/>
    <s v="287004E740"/>
    <s v="MUFFLER ASSY-MAIN"/>
    <s v="          "/>
    <s v="[C]DAVID TIMMS - CUSTOMER STATES EXHAUST LEAKING [R]KEENAN CARRIED OUT REPAIRS AND REPLACED THE MUFFLER ASSY WITH A NEW IMPROVED ONE. [T]VDN 260220005I INSPECTED VEHICLE ON HOIST AND FOUND MIDDLE SILENCER SEAM IS LOOSE, NEEDS A NEW SILENCER. WARRANTY [L]SERVICE HISTORY: NONE date corrected. the technician diagnosis is consistent on all ro docs with the one on GWMS, it was diagnose and repaired by the same technician. [D]correct technician diagnosis must reflect on Ro document, update 1st Ro date as per cash job card date - marna26/3"/>
    <s v="28650R00"/>
    <s v="ZZ4"/>
    <s v="B1E"/>
    <s v="2024/10/16"/>
    <s v="2026/02/19"/>
    <s v="2025/03/31"/>
    <n v="11"/>
    <n v="8794"/>
    <s v="            "/>
    <n v="100"/>
    <n v="18.18"/>
    <n v="18.18"/>
    <n v="31271"/>
    <n v="5051"/>
    <n v="0"/>
    <n v="36322"/>
    <s v="봉고3 1톤/1.4톤"/>
    <s v="2024-10"/>
    <s v="재질불량"/>
    <s v="조립 불량"/>
    <n v="10000"/>
    <n v="10000"/>
    <n v="12"/>
    <n v="12"/>
    <s v="E37"/>
    <s v="SOUTH AFRICA"/>
    <x v="4"/>
    <x v="0"/>
    <s v="머플러"/>
    <m/>
    <x v="1"/>
    <s v="2026년"/>
    <s v="1분기"/>
  </r>
  <r>
    <s v="기아"/>
    <s v="E"/>
    <s v="2026031WW"/>
    <s v="K"/>
    <s v="R151"/>
    <n v="80"/>
    <s v="2026/03"/>
    <s v="B18VA00002LC-1471  "/>
    <s v="KNCWJX72AR7696248"/>
    <s v="W"/>
    <s v="HD"/>
    <s v="287004E960"/>
    <s v="MUFFLER ASSY-MAIN"/>
    <s v="          "/>
    <s v="[C]Reports an abnormal noise from the exhaust while driving. [R]Muffler replaced. [T]An abnormal noise was detected coming from inside the muffler, as if internal parts were coming loose."/>
    <s v="28650R00"/>
    <s v="ZZ1"/>
    <s v="Q57"/>
    <s v="2023/03/29"/>
    <s v="2026/03/16"/>
    <s v="2023/08/16"/>
    <n v="32"/>
    <n v="29409"/>
    <s v="            "/>
    <n v="100"/>
    <n v="18.18"/>
    <n v="18.18"/>
    <n v="11637"/>
    <n v="872"/>
    <n v="0"/>
    <n v="12509"/>
    <s v="봉고3 1톤/1.4톤"/>
    <s v="2023-03"/>
    <s v="설계문제"/>
    <s v="소음"/>
    <n v="30000"/>
    <n v="30000"/>
    <n v="36"/>
    <n v="33"/>
    <s v="B18"/>
    <s v="HONDURAS"/>
    <x v="4"/>
    <x v="0"/>
    <s v="머플러"/>
    <m/>
    <x v="1"/>
    <s v="2026년"/>
    <s v="1분기"/>
  </r>
  <r>
    <s v="기아"/>
    <s v="E"/>
    <s v="2026031WW"/>
    <s v="K"/>
    <s v="R151"/>
    <n v="81"/>
    <s v="2026/03"/>
    <s v="B15VA000052603243  "/>
    <s v="KNCWJX72AT7863764"/>
    <s v="W"/>
    <s v="HD"/>
    <s v="287004E960"/>
    <s v="MUFFLER ASSY-MAIN"/>
    <s v="          "/>
    <s v="[C]Cliente reporta ruido en sistema de escape [R]se realizo el cmabio de silenciador de sistema de escape [T]se realizo revision al sistema de escape de motor se detecto que al momento de acelerar y estar en ralenti presenta ruido esto ocasionado por un desprendimiento de las laminas de resonancia de silenciador"/>
    <s v="28700R00"/>
    <s v="ZZ3"/>
    <s v="Q51"/>
    <s v="2025/05/13"/>
    <s v="2026/02/25"/>
    <s v="2025/08/31"/>
    <n v="6"/>
    <n v="36000"/>
    <s v="            "/>
    <n v="100"/>
    <n v="18.18"/>
    <n v="18.18"/>
    <n v="10113"/>
    <n v="2306"/>
    <n v="0"/>
    <n v="12419"/>
    <s v="봉고3 1톤/1.4톤"/>
    <s v="2025-05"/>
    <s v="단품불량"/>
    <s v="소음"/>
    <n v="40000"/>
    <n v="40000"/>
    <n v="12"/>
    <n v="9"/>
    <s v="B15"/>
    <s v="GUATEMALA"/>
    <x v="4"/>
    <x v="0"/>
    <s v="머플러"/>
    <m/>
    <x v="1"/>
    <s v="2026년"/>
    <s v="1분기"/>
  </r>
  <r>
    <s v="기아"/>
    <s v="E"/>
    <s v="2026031WW"/>
    <s v="K"/>
    <s v="R151"/>
    <n v="82"/>
    <s v="2026/03"/>
    <s v="B10VB0000026-017000"/>
    <s v="KNAB3512BRT294580"/>
    <s v="W"/>
    <s v="G6"/>
    <s v="28710G6BA0"/>
    <s v="MUFFLER ASSY-RR"/>
    <s v="          "/>
    <s v="[C]EL CLIENTE SE QUEJA DE UN RUIDO DEBAJO DEL COCHE [R]REPONER TUBO DE ESCAPE COMPLETO [T]AL EFECTUAR REVISION SE DETECTAN PERFORACIONES EN EL TUBO DE ESCAPE PROVOCADAS POR OXIDACION [L]FINAUTO INTERNATIONAL LTD [D]FINAUTO INTERNATIONAL LTD"/>
    <s v="28700R00"/>
    <s v="ZZ3"/>
    <s v="Q55"/>
    <s v="2024/08/19"/>
    <s v="2026/02/14"/>
    <s v="2024/09/30"/>
    <n v="17"/>
    <n v="21930"/>
    <s v="            "/>
    <n v="100"/>
    <n v="18.18"/>
    <n v="18.18"/>
    <n v="52133"/>
    <n v="7016"/>
    <n v="0"/>
    <n v="59149"/>
    <s v="JA 17"/>
    <s v="2024-08"/>
    <s v="단품불량"/>
    <s v="소음"/>
    <n v="30000"/>
    <n v="25000"/>
    <n v="18"/>
    <n v="18"/>
    <s v="B10"/>
    <s v="CUBA"/>
    <x v="4"/>
    <x v="0"/>
    <s v="머플러"/>
    <m/>
    <x v="6"/>
    <s v="2026년"/>
    <s v="1분기"/>
  </r>
  <r>
    <s v="기아"/>
    <s v="E"/>
    <s v="2026031WW"/>
    <s v="K"/>
    <s v="R151"/>
    <n v="83"/>
    <s v="2026/03"/>
    <s v="B21VBMAN0226030120 "/>
    <s v="KNCWJX72AS7757521"/>
    <s v="W"/>
    <s v="HD"/>
    <s v="287504E960"/>
    <s v="MUFFLER ASSY-TAIL"/>
    <s v="          "/>
    <s v="[C]NOISE FROM EXHAUST TUBE ASSY [R]TO REPLACE DEFECTIVE EXHAUST TUBE ASSY [T]DUE BROKEN EXHAUST TUBE ASSY"/>
    <s v="40700R00"/>
    <s v="ZZ4"/>
    <s v="Q55"/>
    <s v="2023/12/13"/>
    <s v="2026/03/12"/>
    <s v="2024/03/21"/>
    <n v="24"/>
    <n v="40024"/>
    <s v="            "/>
    <n v="100"/>
    <n v="18.18"/>
    <n v="18.18"/>
    <n v="8186"/>
    <n v="1056"/>
    <n v="0"/>
    <n v="9242"/>
    <s v="봉고3 1톤/1.4톤"/>
    <s v="2023-12"/>
    <s v="재질불량"/>
    <s v="소음"/>
    <n v="50000"/>
    <n v="45000"/>
    <n v="30"/>
    <n v="27"/>
    <s v="B21"/>
    <s v="NICARAGUA"/>
    <x v="6"/>
    <x v="0"/>
    <s v="머플러"/>
    <m/>
    <x v="1"/>
    <s v="2026년"/>
    <s v="1분기"/>
  </r>
  <r>
    <s v="기아"/>
    <s v="E"/>
    <s v="2026031WW"/>
    <s v="K"/>
    <s v="R151"/>
    <n v="84"/>
    <s v="2026/03"/>
    <s v="B21VBMAN0226030067 "/>
    <s v="KNCWJX72AS7757510"/>
    <s v="W"/>
    <s v="HD"/>
    <s v="287504E960"/>
    <s v="MUFFLER ASSY-TAIL"/>
    <s v="          "/>
    <s v="[C]NOISE FROM EXHAUST TUBE ASSY [R]TO REPLACE DEFECTIVE EXHAUST TUBE ASSY [T]DUE BROKEN EXHAUST TUBE ASSY"/>
    <s v="40700R00"/>
    <s v="ZZ4"/>
    <s v="Q55"/>
    <s v="2023/12/13"/>
    <s v="2026/03/04"/>
    <s v="2024/06/06"/>
    <n v="21"/>
    <n v="42405"/>
    <s v="            "/>
    <n v="100"/>
    <n v="18.18"/>
    <n v="18.18"/>
    <n v="8186"/>
    <n v="1056"/>
    <n v="0"/>
    <n v="9242"/>
    <s v="봉고3 1톤/1.4톤"/>
    <s v="2023-12"/>
    <s v="재질불량"/>
    <s v="소음"/>
    <n v="50000"/>
    <n v="45000"/>
    <n v="24"/>
    <n v="24"/>
    <s v="B21"/>
    <s v="NICARAGUA"/>
    <x v="6"/>
    <x v="0"/>
    <s v="머플러"/>
    <m/>
    <x v="1"/>
    <s v="2026년"/>
    <s v="1분기"/>
  </r>
  <r>
    <s v="기아"/>
    <s v="E"/>
    <s v="2026031WW"/>
    <s v="K"/>
    <s v="R151"/>
    <n v="85"/>
    <s v="2026/03"/>
    <s v="B13VA00000362155000"/>
    <s v="KNCWJX72AS7776178"/>
    <s v="W"/>
    <s v="HD"/>
    <s v="287504E960"/>
    <s v="MUFFLER ASSY-TAIL"/>
    <s v="          "/>
    <s v="[C]Cliente reporta ruido en escape [R]Reemplazo de cola de escape y condensador de A/C [T]Se verificó que al acelerar vehículo hace ruido que proviene de cola de escape; encontrando cola de escape quebrada por mucho hollín"/>
    <s v="40700R00"/>
    <s v="ZZ3"/>
    <s v="Q51"/>
    <s v="2024/02/23"/>
    <s v="2025/08/07"/>
    <s v="2024/04/24"/>
    <n v="16"/>
    <n v="41942"/>
    <s v="            "/>
    <n v="100"/>
    <n v="18.18"/>
    <n v="18.18"/>
    <n v="23510"/>
    <n v="15903"/>
    <n v="5219"/>
    <n v="44632"/>
    <s v="봉고3 1톤/1.4톤"/>
    <s v="2024-02"/>
    <s v="단품불량"/>
    <s v="소음"/>
    <n v="50000"/>
    <n v="45000"/>
    <n v="18"/>
    <n v="18"/>
    <s v="B13"/>
    <s v="EL SALVADOR"/>
    <x v="6"/>
    <x v="0"/>
    <s v="머플러"/>
    <m/>
    <x v="1"/>
    <s v="2026년"/>
    <s v="1분기"/>
  </r>
  <r>
    <s v="기아"/>
    <s v="E"/>
    <s v="2026031WW"/>
    <s v="K"/>
    <s v="R151"/>
    <n v="86"/>
    <s v="2026/03"/>
    <s v="B21VBCHI0126030190 "/>
    <s v="KNCWJZ72AS7809139"/>
    <s v="W"/>
    <s v="HD"/>
    <s v="287504E960"/>
    <s v="MUFFLER ASSY-TAIL"/>
    <s v="          "/>
    <s v="[C]noise from exhaust system assy [R]to replace defective exhaust tube assy [T]due a broken exhaut tube assy"/>
    <m/>
    <s v="ZZ4"/>
    <s v="Q55"/>
    <s v="2024/07/18"/>
    <s v="2026/03/12"/>
    <s v="2024/11/12"/>
    <n v="17"/>
    <n v="20891"/>
    <s v="            "/>
    <n v="100"/>
    <n v="18.18"/>
    <n v="18.18"/>
    <n v="8186"/>
    <n v="0"/>
    <n v="0"/>
    <n v="8186"/>
    <s v="봉고3 1톤/1.4톤"/>
    <s v="2024-07"/>
    <s v="재질불량"/>
    <s v="소음"/>
    <n v="30000"/>
    <n v="25000"/>
    <n v="18"/>
    <n v="18"/>
    <s v="B21"/>
    <s v="NICARAGUA"/>
    <x v="6"/>
    <x v="0"/>
    <s v="머플러"/>
    <m/>
    <x v="1"/>
    <s v="2026년"/>
    <s v="1분기"/>
  </r>
  <r>
    <s v="기아"/>
    <s v="E"/>
    <s v="2026031WW"/>
    <s v="K"/>
    <s v="R151"/>
    <n v="87"/>
    <s v="2026/03"/>
    <s v="B18VA00001SP-3617  "/>
    <s v="KNCWJX72AS7822227"/>
    <s v="W"/>
    <s v="HD"/>
    <s v="287504E960"/>
    <s v="MUFFLER ASSY-TAIL"/>
    <s v="          "/>
    <s v="[C]Customer reported abnormal noise coming from the underbody. [R]Replace damage part [T]During the diagnosis, technician determined that the exhaust pipe was broken"/>
    <s v="40700R00"/>
    <s v="ZZ2"/>
    <s v="Q57"/>
    <s v="2024/10/07"/>
    <s v="2026/03/19"/>
    <s v="2025/01/27"/>
    <n v="14"/>
    <n v="32013"/>
    <s v="            "/>
    <n v="100"/>
    <n v="18.18"/>
    <n v="18.18"/>
    <n v="7396"/>
    <n v="660"/>
    <n v="0"/>
    <n v="8056"/>
    <s v="봉고3 1톤/1.4톤"/>
    <s v="2024-10"/>
    <s v="파손"/>
    <s v="소음"/>
    <n v="40000"/>
    <n v="35000"/>
    <n v="18"/>
    <n v="15"/>
    <s v="B18"/>
    <s v="HONDURAS"/>
    <x v="6"/>
    <x v="0"/>
    <s v="머플러"/>
    <m/>
    <x v="1"/>
    <s v="2026년"/>
    <s v="1분기"/>
  </r>
  <r>
    <s v="기아"/>
    <s v="E"/>
    <s v="2026031WA"/>
    <s v="K"/>
    <s v="R151"/>
    <n v="1"/>
    <s v="2026/02"/>
    <s v="B05VABR413000568182"/>
    <s v="9UWSHX76ASN040349"/>
    <s v="W"/>
    <s v="HD"/>
    <s v="286004E850"/>
    <s v="MUFFLER COMPLETE-CTR"/>
    <s v="          "/>
    <e v="#N/A"/>
    <s v="28650R00"/>
    <s v="ZZ3"/>
    <s v="B33"/>
    <s v="2024/10/14"/>
    <s v="2025/12/18"/>
    <s v="2024/11/27"/>
    <n v="13"/>
    <n v="18148"/>
    <s v="            "/>
    <n v="100"/>
    <n v="18.18"/>
    <n v="18.18"/>
    <n v="367165"/>
    <n v="2175"/>
    <n v="0"/>
    <n v="369340"/>
    <s v="봉고3 1톤/1.4톤"/>
    <s v="2024-10"/>
    <s v="단품불량"/>
    <s v="누기"/>
    <n v="20000"/>
    <n v="20000"/>
    <n v="18"/>
    <n v="15"/>
    <s v="B05"/>
    <s v="BRAZIL"/>
    <x v="1"/>
    <x v="0"/>
    <s v="컨버터"/>
    <s v="PU SDPF"/>
    <x v="1"/>
    <s v="2026년"/>
    <s v="1분기"/>
  </r>
  <r>
    <s v="기아"/>
    <s v="E"/>
    <s v="2026031WA"/>
    <s v="K"/>
    <s v="R151"/>
    <n v="2"/>
    <s v="2026/02"/>
    <s v="A02VE84504260000147"/>
    <s v="KNAF4417VP5165998"/>
    <s v="W"/>
    <s v="DJ"/>
    <s v="28710M6940"/>
    <s v="MUFFLER ASSY-RR"/>
    <s v="          "/>
    <s v="[C]CHECK EXHAUST LEAK IN WELDS [R]REMOVEDAND REPLACED REAR MUFFLER AND GASKET. [T]FOUND IMPROPER WELDING OF EXHAUST MUFFLER CAUSING HOLE"/>
    <s v="28700R00"/>
    <s v="ZZ4"/>
    <s v="A12"/>
    <s v="2023/01/30"/>
    <s v="2026/02/17"/>
    <s v="2023/06/28"/>
    <n v="32"/>
    <n v="50694"/>
    <s v="            "/>
    <n v="100"/>
    <n v="18.18"/>
    <n v="18.18"/>
    <n v="59629"/>
    <n v="7754"/>
    <n v="0"/>
    <n v="67383"/>
    <s v="BD 18"/>
    <s v="2023-01"/>
    <s v="재질불량"/>
    <s v="녹, 부식"/>
    <n v="60000"/>
    <n v="55000"/>
    <n v="36"/>
    <n v="33"/>
    <s v="A02"/>
    <s v="AUSTRALIA"/>
    <x v="4"/>
    <x v="0"/>
    <s v="머플러"/>
    <m/>
    <x v="9"/>
    <s v="2026년"/>
    <s v="1분기"/>
  </r>
  <r>
    <s v="현대"/>
    <s v="D"/>
    <s v="2026031WW"/>
    <s v="H"/>
    <s v="R151"/>
    <n v="1"/>
    <s v="2026/03"/>
    <s v="M010002026200275700"/>
    <s v="KMHHE811GTU218730"/>
    <s v="W"/>
    <s v="1Y"/>
    <s v="2853008490"/>
    <s v="CONVERTER ASSY-W/UP CATALYTIC"/>
    <s v="          "/>
    <s v="[C]1.현상 : -신차출고 고객인도후 엔진경고등 점등 2.점검내용 및 원인 : -시스템진단 (P04200 촉매-정화능력 저하 (뱅크1)) -관련현상으로 협력업체 방문 진단점검후 센터로 입고 -머플러 탈착 캐터리틱 컨버터 파손 확인 3.조치내용 : -촉매,산속센서 교환,시운전 4.요망사항 : -특이사항없슴"/>
    <s v="TDRVM01A"/>
    <m/>
    <s v="W11"/>
    <s v="2026/02/03"/>
    <s v="2026/02/26"/>
    <s v="2026/02/20"/>
    <n v="1"/>
    <n v="373"/>
    <s v="            "/>
    <n v="100"/>
    <n v="27.72"/>
    <n v="27.72"/>
    <n v="110220"/>
    <n v="23728"/>
    <n v="0"/>
    <n v="133948"/>
    <s v="SX2(코나 후속) 하이브리드 23"/>
    <s v="2026-02"/>
    <e v="#N/A"/>
    <s v="경고등 점등"/>
    <n v="10000"/>
    <n v="5000"/>
    <n v="6"/>
    <n v="3"/>
    <s v="M01"/>
    <s v="한국"/>
    <x v="0"/>
    <x v="0"/>
    <s v="컨버터"/>
    <s v="카파(KIA)"/>
    <x v="7"/>
    <s v="2026년"/>
    <s v="1분기"/>
  </r>
  <r>
    <s v="현대"/>
    <s v="D"/>
    <s v="2026031WW"/>
    <s v="H"/>
    <s v="R151"/>
    <n v="2"/>
    <s v="2026/03"/>
    <s v="P020002026200371600"/>
    <s v="KMTG341ABPU118679"/>
    <s v="W"/>
    <s v="G9"/>
    <s v="285302C840"/>
    <s v="CONVERTER ASSY-W/UP CATALYTIC"/>
    <s v="          "/>
    <s v="[C]1.현상 : 시동 불가로 협력사(덕천서부) 견인 입고 2.점검내용 및 원인 : 2-1 : 자기진단시 P042000 촉매 정화 성능 이상 '과거' 표출 2-2 : 크랭킹은 되나 시동이 걸리지 않음 확인 2-3 : 연료 레일 확인 시 목료레일 정상으로 표출됨 연료 정상 2-4 : 점화 확인 시 PCB블록 센서5 20A 퓨즈 단선 확인 2-5 : 시동 후 촉매 정화 '임시' 표출 확인 2-6 : 촉매 확인 시 촉매 전단 깨짐 확인 -&gt; 촉매 교환 시 배기매니폴더 와 촉매 사이 너트 탈거 되지 않고 쩔어붙음 -&gt; 배니매니폴도와 촉매 둘다 동시에 교환 진행 2-7 : 시동 안걸린 상태에서 배터리 크랭킹 과다로 인하여 배터리 방전 으로 교환 진행 2-8 : 시운전 전 총 주행거리는 스마트보증 키로수 참조 , 시운전 후 사진은 첨부 3.조치내용 : 3-1 : PCB 센서5 퓨즈 교환 후 -&gt; 시동 3-2 : 배기매니폴더 및 촉매 교환 후 정상 4.요망사항 : 품질 향상 요망"/>
    <s v="TDRVP02B"/>
    <m/>
    <s v="I11"/>
    <s v="2022/12/12"/>
    <s v="2026/03/17"/>
    <s v="2022/12/20"/>
    <n v="39"/>
    <n v="12517"/>
    <s v="            "/>
    <n v="100"/>
    <n v="27.72"/>
    <n v="27.72"/>
    <n v="334437"/>
    <n v="109563"/>
    <n v="0"/>
    <n v="444000"/>
    <s v="IK 17"/>
    <s v="2022-12"/>
    <e v="#N/A"/>
    <s v="작동불량"/>
    <n v="20000"/>
    <n v="15000"/>
    <n v="42"/>
    <n v="42"/>
    <s v="P02"/>
    <s v="한국"/>
    <x v="0"/>
    <x v="0"/>
    <s v="컨버터"/>
    <s v="쎄타"/>
    <x v="0"/>
    <s v="2026년"/>
    <s v="1분기"/>
  </r>
  <r>
    <s v="현대"/>
    <s v="D"/>
    <s v="2026031WW"/>
    <s v="H"/>
    <s v="R151"/>
    <n v="3"/>
    <s v="2026/03"/>
    <s v="G1M0112026200040800"/>
    <s v="KMHB5516BRW130536"/>
    <s v="W"/>
    <s v="AO"/>
    <s v="28710O6500"/>
    <s v="MUFFLER ASSY-RR"/>
    <s v="          "/>
    <s v="[C]1.현상 : 중간 소음기 배기가스 누기 2.점검내용 및 원인 : 중간 소음기 연결부 용접이상 3.조치내용 : 머플러 어셈블리 교환 4.요망사항 : ......"/>
    <s v="58700A00"/>
    <m/>
    <s v="B33"/>
    <s v="2024/06/24"/>
    <s v="2026/03/11"/>
    <s v="2024/07/01"/>
    <n v="21"/>
    <n v="7610"/>
    <s v="            "/>
    <n v="100"/>
    <n v="27.72"/>
    <n v="27.72"/>
    <n v="71845"/>
    <n v="26528"/>
    <n v="0"/>
    <n v="98373"/>
    <s v="AX (경 SUV)-광주형 22"/>
    <s v="2024-06"/>
    <e v="#N/A"/>
    <s v="누기"/>
    <n v="10000"/>
    <n v="10000"/>
    <n v="24"/>
    <n v="24"/>
    <s v="G1M"/>
    <s v="한국"/>
    <x v="4"/>
    <x v="0"/>
    <s v="머플러"/>
    <m/>
    <x v="10"/>
    <s v="2026년"/>
    <s v="1분기"/>
  </r>
  <r>
    <s v="현대"/>
    <s v="E"/>
    <s v="2026031WW"/>
    <s v="H"/>
    <s v="R151"/>
    <n v="1"/>
    <s v="2026/03"/>
    <s v="C17AA002863601004  "/>
    <s v="KMHHB8115RU062563"/>
    <s v="W"/>
    <s v="1Y"/>
    <s v="2853008500"/>
    <s v="CONVERTER ASSY-W/UP CATALYTIC"/>
    <s v="          "/>
    <s v="[C]TESTIGO DE MOTOR ENCENDIDO, EL CLIENTE NOTA TIRONES SIEMPRE CIRCULANDO. [R]SE DETERMINA QUE EL GPF ESTA COMPLETAMENTE OBSTRUIDO HACIENDO QUE TODO EL HUMO DEL ESCAPE SE VAYA POR LA EGR. SUSTIUIR CATALIZADOR Y GPF. [T]DIAGNOSIS CON GDS, EN ANTERIOR REPARACIÓN DE OTRA CONCESIÓN SE LE SUSTITUYO EGR Y CATALIZADOR. EL VEHÍCULO CUANDO ENTRA EL MOTOR DE COMBUSTIÓN DA UNOS TIRONES BRUTALES SIENDO IMPOSIBLE CIRCULAR CON EL. SE OBSERVA MUHCA CARBONILLA EN TAN POCOS KILÓMETROS. INCIDENCIA TÉCNICA 2562296."/>
    <s v="28530R7E"/>
    <s v="ZZ4"/>
    <s v="W11"/>
    <s v="2024/04/11"/>
    <s v="2026/02/12"/>
    <s v="2024/06/28"/>
    <n v="20"/>
    <n v="35312"/>
    <s v="            "/>
    <n v="100"/>
    <n v="19.8"/>
    <n v="19.8"/>
    <n v="100525"/>
    <n v="261590"/>
    <n v="0"/>
    <n v="362115"/>
    <s v="SX2(코나 후속) 하이브리드 23"/>
    <s v="2024-04"/>
    <s v="재질불량"/>
    <s v="경고등 점등"/>
    <n v="40000"/>
    <n v="40000"/>
    <n v="24"/>
    <n v="21"/>
    <s v="C17"/>
    <s v="SPAIN"/>
    <x v="0"/>
    <x v="0"/>
    <s v="컨버터"/>
    <s v="카파(KIA)"/>
    <x v="7"/>
    <s v="2026년"/>
    <s v="1분기"/>
  </r>
  <r>
    <s v="현대"/>
    <s v="E"/>
    <s v="2026031WW"/>
    <s v="H"/>
    <s v="R151"/>
    <n v="2"/>
    <s v="2026/03"/>
    <s v="C17AA004699287  000"/>
    <s v="KMHHA8114SU104276"/>
    <s v="W"/>
    <s v="1Y"/>
    <s v="2853008501"/>
    <s v="CONVERTER ASSY W/UP CATALYTIC"/>
    <s v="          "/>
    <s v="[C]TESTIGO MOTOR [R]SUSTITUIR CATALIZADOR Y PRUEBA. [T]CONTROL DIAGNOSTICO. DTC: P042000 EFICACIA DEL SISTEMA CATALIZADOR. ES LA SEGUNDA VEZ QUE VIENE EL EN LA PRIMARA SE LE CAMBIO LA SONDA LAMBDA 2, PERO AL TIEMPO VOLVIO CON EL TESTIGO. HEMOS DESMONTADO EL CATALIZADOR Y HAY RESTOS DE LA CERAMICA, SALE COMO POLVO DEL INTERIOR. PROBLEMA INTERNO DEL CATAL"/>
    <s v="28530R00"/>
    <s v="ZZ3"/>
    <s v="W17"/>
    <s v="2024/10/17"/>
    <s v="2026/02/12"/>
    <s v="2024/12/30"/>
    <n v="14"/>
    <n v="11457"/>
    <s v="            "/>
    <n v="100"/>
    <n v="19.8"/>
    <n v="19.8"/>
    <n v="54980"/>
    <n v="25556"/>
    <n v="0"/>
    <n v="80536"/>
    <s v="SX2(코나 후속) 하이브리드 23"/>
    <s v="2024-10"/>
    <s v="단품불량"/>
    <s v="경고등 점등"/>
    <n v="20000"/>
    <n v="15000"/>
    <n v="18"/>
    <n v="15"/>
    <s v="C17"/>
    <s v="SPAIN"/>
    <x v="0"/>
    <x v="0"/>
    <s v="컨버터"/>
    <s v="카파(KIA)"/>
    <x v="7"/>
    <s v="2026년"/>
    <s v="1분기"/>
  </r>
  <r>
    <s v="현대"/>
    <s v="E"/>
    <s v="2026031WW"/>
    <s v="H"/>
    <s v="R151"/>
    <n v="3"/>
    <s v="2026/03"/>
    <s v="C14AC12117251218001"/>
    <s v="KMHHC8119SU126316"/>
    <s v="W"/>
    <s v="1Y"/>
    <s v="2853008501"/>
    <s v="CONVERTER ASSY W/UP CATALYTIC"/>
    <s v="          "/>
    <s v="[C]Auto gaat alleen maar op EV modus, niet naar HEV modus. Accu lampje gaat rood branden en de motor slaat niet in. Na korte tijd op ready gaat de auto vanzelf weer op IG ON stand, de auto is niet rijbaar. [R]Motor vervangen, Alles vervangen wat nodig was en meerdere keren. Proefgereden, alles werkt weer naar behoren. [T]Auto uitgelezen, geen foutcodes. Bougies/bobines gecontroleerd deze zijn in orde ondanks dat er geen ontsteking is, de zekering is heel en er is spanning op de stekkers van de bobines er is ook druk op de brandstofleiding. Hotline bericht aangemaakt (2510411), er is compressie in de motor en bij ver [L]23-12: De cilinderkop en de onder blok van de auto zijn ook beschadigd zie foto’s die zijn mee gestuurd of in de (werkorder 4227171) Dus een deel reparatie is niet mogelijk. Hierbij stuur ik ook een stukje van de hotline bericht (2510411) en daar staat ook dat de motor niet te redden is. (zie bijlag [D]- 22j12: PWA info Z toevoegen, wat is de oorzaak, is dit garantie en niet verwijtbaar, is kan (of niet?) met deel reparatie, zuigers, onder-blok. shortblock etc. volstaan worden? Zie TSB (REVISED) [SERVICE PRECAUTION] GUIDE TO REQUIREMENTS FOR ENGINE REPAIR DOCUMENTATION English HSE24-12-C222-ALL | Service InformationPublished Date 2025-07-04 als handvat in het denken. - HMNL"/>
    <s v="21101R00"/>
    <s v="ZZ3"/>
    <s v="W11"/>
    <s v="2025/01/21"/>
    <s v="2025/09/08"/>
    <s v="2025/04/18"/>
    <n v="5"/>
    <n v="14863"/>
    <s v="            "/>
    <n v="100"/>
    <n v="19.8"/>
    <n v="19.8"/>
    <n v="413127"/>
    <n v="313979"/>
    <n v="0"/>
    <n v="727106"/>
    <s v="SX2(코나 후속) 하이브리드 23"/>
    <s v="2025-01"/>
    <s v="단품불량"/>
    <s v="경고등 점등"/>
    <n v="20000"/>
    <n v="15000"/>
    <n v="6"/>
    <n v="6"/>
    <s v="C14"/>
    <s v="NETHERLANDS"/>
    <x v="0"/>
    <x v="0"/>
    <s v="컨버터"/>
    <s v="카파(KIA)"/>
    <x v="7"/>
    <s v="2026년"/>
    <s v="1분기"/>
  </r>
  <r>
    <s v="현대"/>
    <s v="E"/>
    <s v="2026031WW"/>
    <s v="H"/>
    <s v="R151"/>
    <n v="4"/>
    <s v="2026/03"/>
    <s v="B28AAVA70201234L000"/>
    <s v="KMTG34LA9MU070680"/>
    <s v="W"/>
    <s v="G9"/>
    <s v="285302C910"/>
    <s v="CONVERTER ASSY-W/UP CATALYTIC"/>
    <s v="          "/>
    <s v="[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
    <s v="SLOANAZZ"/>
    <s v="ZZ3"/>
    <s v="W17"/>
    <s v="2020/07/11"/>
    <s v="2026/01/08"/>
    <s v="2021/05/15"/>
    <n v="56"/>
    <n v="67198"/>
    <s v="            "/>
    <n v="100"/>
    <n v="19.8"/>
    <n v="19.8"/>
    <n v="0"/>
    <n v="0"/>
    <n v="255879"/>
    <n v="255879"/>
    <s v="IK 17"/>
    <s v="2020-07"/>
    <s v="단품불량"/>
    <s v="경고등 점등"/>
    <n v="70000"/>
    <n v="70000"/>
    <n v="60"/>
    <n v="57"/>
    <s v="B28"/>
    <s v="U.S.A"/>
    <x v="0"/>
    <x v="0"/>
    <s v="컨버터"/>
    <s v="쎄타"/>
    <x v="0"/>
    <s v="2026년"/>
    <s v="1분기"/>
  </r>
  <r>
    <s v="현대"/>
    <s v="E"/>
    <s v="2026031WW"/>
    <s v="H"/>
    <s v="R151"/>
    <n v="5"/>
    <s v="2026/03"/>
    <s v="B28AAVA702201234000"/>
    <s v="KMTG34LA9MU070680"/>
    <s v="W"/>
    <s v="G9"/>
    <s v="285302C910"/>
    <s v="CONVERTER ASSY-W/UP CATALYTIC"/>
    <s v="          "/>
    <s v="[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
    <s v="28530R00"/>
    <s v="ZZ3"/>
    <s v="W17"/>
    <s v="2020/07/11"/>
    <s v="2026/01/07"/>
    <s v="2021/05/15"/>
    <n v="56"/>
    <n v="67198"/>
    <s v="            "/>
    <n v="100"/>
    <n v="19.8"/>
    <n v="19.8"/>
    <n v="215847"/>
    <n v="101612"/>
    <n v="0"/>
    <n v="317459"/>
    <s v="IK 17"/>
    <s v="2020-07"/>
    <s v="단품불량"/>
    <s v="경고등 점등"/>
    <n v="70000"/>
    <n v="70000"/>
    <n v="60"/>
    <n v="57"/>
    <s v="B28"/>
    <s v="U.S.A"/>
    <x v="0"/>
    <x v="0"/>
    <s v="컨버터"/>
    <s v="쎄타"/>
    <x v="0"/>
    <s v="2026년"/>
    <s v="1분기"/>
  </r>
  <r>
    <s v="현대"/>
    <s v="E"/>
    <s v="2026031WW"/>
    <s v="H"/>
    <s v="R151"/>
    <n v="6"/>
    <s v="2026/03"/>
    <s v="B28AACA75050658A000"/>
    <s v="KMTG34TA2NU096314"/>
    <s v="W"/>
    <s v="G9"/>
    <s v="285302C910"/>
    <s v="CONVERTER ASSY-W/UP CATALYTIC"/>
    <s v="          "/>
    <s v="[C]CUSTOMER STATES CHECK ENGINE LIGHT IS ON VEHICLE SEEMS TO BE DRIVING OK AT THIS TIME PLEASE INSPECTAND ADVISE [R]REPLACED CATALYTIC CONVERTER ASSEMBLY WITH STUDS AND NUTS REFILLED COOLANT AND RAN REFILL PROCEDUREROAD TEST CODE DID NOT RETURN AT THIS TIME [T]TECHNICIAN RETRIEVED FAULT CODE WITHIN VEHICLE FOR HISTORY P042000 CATALYST SYSTEM EFFICIENCY BELOWTHRESHOLD BANK 1 BEGAN DIAGNOSIS BY MONITORING OPERATION OF UPSTREAM AND DOWNSTREAM 02 SENSORS ERROR"/>
    <s v="28530R00"/>
    <s v="ZZ2"/>
    <s v="W17"/>
    <s v="2021/11/25"/>
    <s v="2026/01/31"/>
    <s v="2021/12/31"/>
    <n v="50"/>
    <n v="60723"/>
    <s v="            "/>
    <n v="100"/>
    <n v="19.8"/>
    <n v="19.8"/>
    <n v="218030"/>
    <n v="167920"/>
    <n v="0"/>
    <n v="385950"/>
    <s v="IK 17"/>
    <s v="2021-11"/>
    <s v="파손"/>
    <s v="경고등 점등"/>
    <n v="70000"/>
    <n v="65000"/>
    <n v="54"/>
    <n v="51"/>
    <s v="B28"/>
    <s v="U.S.A"/>
    <x v="0"/>
    <x v="0"/>
    <s v="컨버터"/>
    <s v="쎄타"/>
    <x v="0"/>
    <s v="2026년"/>
    <s v="1분기"/>
  </r>
  <r>
    <s v="현대"/>
    <s v="E"/>
    <s v="2026031WW"/>
    <s v="H"/>
    <s v="R151"/>
    <n v="7"/>
    <s v="2026/03"/>
    <s v="B28AAOH706920350000"/>
    <s v="KMTG34TA7NU098351"/>
    <s v="W"/>
    <s v="G9"/>
    <s v="285302C910"/>
    <s v="CONVERTER ASSY-W/UP CATALYTIC"/>
    <s v="          "/>
    <s v="[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
    <s v="28530R00"/>
    <s v="ZZ3"/>
    <s v="W17"/>
    <s v="2021/12/27"/>
    <s v="2026/01/16"/>
    <s v="2022/07/30"/>
    <n v="42"/>
    <n v="80581"/>
    <s v="            "/>
    <n v="100"/>
    <n v="19.8"/>
    <n v="19.8"/>
    <n v="216170"/>
    <n v="86191"/>
    <n v="0"/>
    <n v="302361"/>
    <s v="IK 17"/>
    <s v="2021-12"/>
    <s v="단품불량"/>
    <s v="경고등 점등"/>
    <n v="90000"/>
    <n v="85000"/>
    <n v="48"/>
    <n v="45"/>
    <s v="B28"/>
    <s v="U.S.A"/>
    <x v="0"/>
    <x v="0"/>
    <s v="컨버터"/>
    <s v="쎄타"/>
    <x v="0"/>
    <s v="2026년"/>
    <s v="1분기"/>
  </r>
  <r>
    <s v="현대"/>
    <s v="E"/>
    <s v="2026031WW"/>
    <s v="H"/>
    <s v="R151"/>
    <n v="8"/>
    <s v="2026/03"/>
    <s v="B28AAOH70620350R000"/>
    <s v="KMTG34TA7NU098351"/>
    <s v="W"/>
    <s v="G9"/>
    <s v="285302C910"/>
    <s v="CONVERTER ASSY-W/UP CATALYTIC"/>
    <s v="          "/>
    <s v="[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
    <s v="SLOANAZZ"/>
    <s v="ZZ3"/>
    <s v="W17"/>
    <s v="2021/12/27"/>
    <s v="2026/01/19"/>
    <s v="2022/07/30"/>
    <n v="42"/>
    <n v="80581"/>
    <s v="            "/>
    <n v="100"/>
    <n v="19.8"/>
    <n v="19.8"/>
    <n v="0"/>
    <n v="0"/>
    <n v="79109"/>
    <n v="79109"/>
    <s v="IK 17"/>
    <s v="2021-12"/>
    <s v="단품불량"/>
    <s v="경고등 점등"/>
    <n v="90000"/>
    <n v="85000"/>
    <n v="48"/>
    <n v="45"/>
    <s v="B28"/>
    <s v="U.S.A"/>
    <x v="0"/>
    <x v="0"/>
    <s v="컨버터"/>
    <s v="쎄타"/>
    <x v="0"/>
    <s v="2026년"/>
    <s v="1분기"/>
  </r>
  <r>
    <s v="현대"/>
    <s v="E"/>
    <s v="2026031WW"/>
    <s v="H"/>
    <s v="R151"/>
    <n v="9"/>
    <s v="2026/03"/>
    <s v="B28AAAZ70925546C000"/>
    <s v="KMTG34TA5PU128322"/>
    <s v="W"/>
    <s v="G9"/>
    <s v="285302C910"/>
    <s v="CONVERTER ASSY-W/UP CATALYTIC"/>
    <s v="          "/>
    <s v="[C]CUSTOMER STATES CEL IS ON SOP HERE [R]28530R00 18 28530RQ0 30 VERIFIED CUSTOMER CONCERN SCANNED FOR FAULTS AND FOUND CODE P042000 CATALYST SYSTEM EFFICIENCY BELOW THRESHOLD REPLACED CATALYST CASE ASSEMBLY VERIFIED REPAIR WITH TEST DRIVE CEL NO LONGER ACTIVE STUI PHOTOS SENT [T]FOUND CATALYST SYSTEM EFFICIENCY BELOW THRESHOLD"/>
    <s v="28530R00"/>
    <s v="ZZ3"/>
    <s v="W17"/>
    <s v="2023/05/24"/>
    <s v="2026/01/21"/>
    <s v="2023/07/18"/>
    <n v="31"/>
    <n v="74728"/>
    <s v="            "/>
    <n v="100"/>
    <n v="19.8"/>
    <n v="19.8"/>
    <n v="218030"/>
    <n v="103466"/>
    <n v="0"/>
    <n v="321496"/>
    <s v="IK 17"/>
    <s v="2023-05"/>
    <s v="단품불량"/>
    <s v="경고등 점등"/>
    <n v="80000"/>
    <n v="75000"/>
    <n v="36"/>
    <n v="33"/>
    <s v="B28"/>
    <s v="U.S.A"/>
    <x v="0"/>
    <x v="0"/>
    <s v="컨버터"/>
    <s v="쎄타"/>
    <x v="0"/>
    <s v="2026년"/>
    <s v="1분기"/>
  </r>
  <r>
    <s v="현대"/>
    <s v="E"/>
    <s v="2026031WW"/>
    <s v="H"/>
    <s v="R151"/>
    <n v="10"/>
    <s v="2026/03"/>
    <s v="B28AATX20221265B000"/>
    <s v="KMHLW4AKXNU005964"/>
    <s v="W"/>
    <s v="IB"/>
    <s v="285302GLB0"/>
    <s v="CONVERTER ASSY-W/UP CATALYTIC"/>
    <s v="          "/>
    <s v="[C]DIAG customer states vehicle check engine light came on last night. States vehicle kept shutting off when coming to a stop [R]replaced catalytic converter, cleared DTC and road tested vehicle to verify correction. no further issues found at this time. 28530R00 1.70hrs [T]customer concern identified, found vehicle to shut off at idle at times. found DTC p0420. inspectedcatalyst honeycomb and found to be separating."/>
    <s v="28530R00"/>
    <s v="ZZ3"/>
    <s v="I11"/>
    <s v="2022/04/25"/>
    <s v="2026/02/04"/>
    <s v="2022/07/21"/>
    <n v="43"/>
    <n v="96458"/>
    <s v="            "/>
    <n v="100"/>
    <n v="19.8"/>
    <n v="19.8"/>
    <n v="181104"/>
    <n v="110752"/>
    <n v="0"/>
    <n v="291856"/>
    <s v="CN7 고성능차 21"/>
    <s v="2022-04"/>
    <s v="단품불량"/>
    <s v="작동불량"/>
    <n v="100000"/>
    <n v="100000"/>
    <n v="48"/>
    <n v="45"/>
    <s v="B28"/>
    <s v="U.S.A"/>
    <x v="0"/>
    <x v="0"/>
    <s v="컨버터"/>
    <s v="쎄타"/>
    <x v="0"/>
    <s v="2026년"/>
    <s v="1분기"/>
  </r>
  <r>
    <s v="현대"/>
    <s v="E"/>
    <s v="2026031WW"/>
    <s v="H"/>
    <s v="R151"/>
    <n v="11"/>
    <s v="2026/03"/>
    <s v="B28AAID02184264A000"/>
    <s v="KMHLW4AK1PU013602"/>
    <s v="W"/>
    <s v="IB"/>
    <s v="285302GLB0"/>
    <s v="CONVERTER ASSY-W/UP CATALYTIC"/>
    <s v="          "/>
    <s v="[C]CUSTOMER STATES CHECK ENGINE LIGHT ON AND VEHICLE RUNNING ROUGH, CHECK AND ADVISE. [R]during removal of catalytic converter for replacement found nut seized to turbocharger stud causingturbocharger stud to break off in turbocharger. replaced catalytic converter and turbocharger as consequential damage to catalytic converter replacement. cleared dtcs and test drove vehicle. no dtcs re [T]verified check engine light on dash. scanned codes found p0507 and p0420. removed upstream oxygen sensor and inspected catalytic converter. found converter deteriorated internally. during removal of c"/>
    <s v="28530R00"/>
    <s v="ZZ3"/>
    <s v="W11"/>
    <s v="2023/01/09"/>
    <s v="2025/12/01"/>
    <s v="2023/03/15"/>
    <n v="33"/>
    <n v="45709"/>
    <s v="            "/>
    <n v="100"/>
    <n v="19.8"/>
    <n v="19.8"/>
    <n v="372134"/>
    <n v="414670"/>
    <n v="36566"/>
    <n v="823370"/>
    <s v="CN7 고성능차 21"/>
    <s v="2023-01"/>
    <s v="단품불량"/>
    <s v="경고등 점등"/>
    <n v="50000"/>
    <n v="50000"/>
    <n v="36"/>
    <n v="36"/>
    <s v="B28"/>
    <s v="U.S.A"/>
    <x v="0"/>
    <x v="0"/>
    <s v="컨버터"/>
    <s v="쎄타"/>
    <x v="0"/>
    <s v="2026년"/>
    <s v="1분기"/>
  </r>
  <r>
    <s v="현대"/>
    <s v="E"/>
    <s v="2026031WW"/>
    <s v="H"/>
    <s v="R151"/>
    <n v="12"/>
    <s v="2026/03"/>
    <s v="B28AAOH07352067B000"/>
    <s v="KMHLW4AK2PU018985"/>
    <s v="W"/>
    <s v="IB"/>
    <s v="285302GLB0"/>
    <s v="CONVERTER ASSY-W/UP CATALYTIC"/>
    <s v="          "/>
    <s v="[C]CUSTOMER STATES CHECK ENGINE LIGHT IS ON, CHECK AND ADVISE [R]REPLACED CATALYTIC CONVERTER, TEST DROVE VEHICLE NO CHECK ENGINE LIGHT AT THIS TIME. PERFORMED MPI,VEHICLE IS OPERATING AS DESIGNED. [T]VERIFIED CC CEL ON, SCANNED FOR CODES AND FOUND P04200 FOUND CATALYTIC CONVERTER TO BE INTERNALLY CLOGGED DUE TO MATERIAL DEFECT. PHOTOS SUBMITTED TO STUI."/>
    <s v="28530R00"/>
    <s v="ZZ3"/>
    <s v="W17"/>
    <s v="2023/11/10"/>
    <s v="2025/11/10"/>
    <s v="2023/12/26"/>
    <n v="23"/>
    <n v="33362"/>
    <s v="            "/>
    <n v="100"/>
    <n v="19.8"/>
    <n v="19.8"/>
    <n v="181104"/>
    <n v="91450"/>
    <n v="23905"/>
    <n v="296459"/>
    <s v="CN7 고성능차 21"/>
    <s v="2023-11"/>
    <s v="단품불량"/>
    <s v="경고등 점등"/>
    <n v="40000"/>
    <n v="35000"/>
    <n v="24"/>
    <n v="24"/>
    <s v="B28"/>
    <s v="U.S.A"/>
    <x v="0"/>
    <x v="0"/>
    <s v="컨버터"/>
    <s v="쎄타"/>
    <x v="0"/>
    <s v="2026년"/>
    <s v="1분기"/>
  </r>
  <r>
    <s v="현대"/>
    <s v="E"/>
    <s v="2026031WW"/>
    <s v="H"/>
    <s v="R151"/>
    <n v="13"/>
    <s v="2026/03"/>
    <s v="C27VA0723 KM2000058"/>
    <s v="KNAE551CDP6123047"/>
    <s v="W"/>
    <s v="J5"/>
    <s v="285303LWM0"/>
    <s v="CONVERTER ASSY-W/UP CAT,RH"/>
    <s v="          "/>
    <s v="[C]Ponownie zapalił się check engine. [R]Weryfikacja, wymiana katalizatora na nowy, kasowanie DTC, jazda testowa. Usterka usunięta. [T]Potwierdzam zgłoszenie klienta. Diagnostyka KDS - odczyt i analiza DTC. Błąd P042000 sprawność reaktora katalitycznego poniżej wartości progowej - CVN potwierdzony. Brak wypadania zapłonów, ciśnienie paliwa - brak uwag. Brak nieszczelności w układzie dolotowym i wydechowym. Zdemontowano katalizator [L]Zlecenia zostały zafakturowane i rozliczone w AS, doradca nie kliknął zakończenia w samym zgłoszeniu. Dzisiaj je zakończyłem także w ciągu kilkunastu godzin w ATT informacja się zaktualizuje. Czekamy w takim razie na informację. [D]Brak odpowiedzi ze strony Niemieckiej, nie będziemy trzymali samochodu dla tej naprawy.KM Dziękuję, cofam PWA informacyjnie- wystąpimy do dystrybutora o potwierdzenie tego przeglądu. Dlaczego nadal nie są w ATT te pozycje zamknięte? Proszę wrócić z PWA dam znać po odpowiedzi z DE lub zaakceptuję . Gdyby się jednak okazało że ten wpis nie ma potwierdzenia będziemy sprawę zgłaszali odpowiednim organom. KM"/>
    <s v="28530R1L"/>
    <s v="ZZ3"/>
    <s v="W17"/>
    <s v="2022/04/08"/>
    <s v="2026/01/19"/>
    <s v="2022/07/25"/>
    <n v="42"/>
    <n v="27933"/>
    <s v="            "/>
    <n v="100"/>
    <n v="19.8"/>
    <n v="19.8"/>
    <n v="331541"/>
    <n v="125741"/>
    <n v="0"/>
    <n v="457282"/>
    <s v="CK 17"/>
    <s v="2022-04"/>
    <s v="단품불량"/>
    <s v="경고등 점등"/>
    <n v="30000"/>
    <n v="30000"/>
    <n v="48"/>
    <n v="45"/>
    <s v="C27"/>
    <s v="POLAND"/>
    <x v="0"/>
    <x v="0"/>
    <s v="컨버터"/>
    <s v="람다"/>
    <x v="11"/>
    <s v="2026년"/>
    <s v="1분기"/>
  </r>
  <r>
    <s v="현대"/>
    <s v="E"/>
    <s v="2026031WW"/>
    <s v="H"/>
    <s v="R151"/>
    <n v="14"/>
    <s v="2026/03"/>
    <s v="B28AACA01I12400A000"/>
    <s v="KMHRC8A30TU453520"/>
    <s v="W"/>
    <s v="SN"/>
    <s v="28760F2000"/>
    <s v="HANGER"/>
    <s v="          "/>
    <e v="#N/A"/>
    <s v="28658R00"/>
    <s v="ZZ1"/>
    <s v="Q53"/>
    <s v="2026/01/12"/>
    <s v="2026/03/03"/>
    <s v="9999/12/31"/>
    <n v="0"/>
    <n v="21"/>
    <s v="            "/>
    <n v="100"/>
    <n v="19.8"/>
    <n v="19.8"/>
    <n v="0"/>
    <n v="28594"/>
    <n v="0"/>
    <n v="28594"/>
    <s v="QX 19 (CB급 SUV)"/>
    <s v="2026-01"/>
    <s v="설계문제"/>
    <s v="소음"/>
    <n v="10000"/>
    <n v="5000"/>
    <n v="6"/>
    <n v="3"/>
    <s v="B28"/>
    <s v="U.S.A"/>
    <x v="5"/>
    <x v="0"/>
    <s v="머플러"/>
    <m/>
    <x v="12"/>
    <s v="2026년"/>
    <s v="1분기"/>
  </r>
  <r>
    <s v="현대"/>
    <s v="E"/>
    <s v="2026031WW"/>
    <s v="H"/>
    <s v="R151"/>
    <n v="15"/>
    <s v="2026/03"/>
    <s v="C06AB00380202020058"/>
    <s v="KMHHC8113RU075051"/>
    <s v="W"/>
    <s v="1Y"/>
    <s v="289G008030"/>
    <s v="CONVERTER ASSY-GPF"/>
    <s v="          "/>
    <s v="[C]voyant moteur allumé [R]REMPLACEMENT DU CATALYSEUR ESSAI DU VEHICULE OK [T]DTC P047100 PAS DE TSB CONTROLE DU CAPTEUR DE PRESSION RAS CONTROLE REFROIDISSEUR EGR RAS CONTROLE DU CATALYSEUR CATALYSEUR A REMPLACER"/>
    <s v="28950R00"/>
    <s v="ZZ3"/>
    <s v="W17"/>
    <s v="2024/05/31"/>
    <s v="2025/12/31"/>
    <s v="2024/10/29"/>
    <n v="15"/>
    <n v="4053"/>
    <s v="            "/>
    <n v="100"/>
    <n v="19.8"/>
    <n v="19.8"/>
    <n v="51701"/>
    <n v="21688"/>
    <n v="0"/>
    <n v="73389"/>
    <s v="SX2(코나 후속) 하이브리드 23"/>
    <s v="2024-05"/>
    <s v="단품불량"/>
    <s v="경고등 점등"/>
    <n v="10000"/>
    <n v="5000"/>
    <n v="18"/>
    <n v="18"/>
    <s v="C06"/>
    <s v="FRANCE"/>
    <x v="7"/>
    <x v="0"/>
    <s v="컨버터"/>
    <s v="카파UCC"/>
    <x v="13"/>
    <s v="2026년"/>
    <s v="1분기"/>
  </r>
  <r>
    <s v="HMB"/>
    <s v="E"/>
    <s v="202603CWW"/>
    <s v="H"/>
    <s v="R151"/>
    <n v="1"/>
    <s v="2026/03"/>
    <s v="B27AB80092251230010"/>
    <s v="9BHCP51AANP295260"/>
    <s v="W"/>
    <s v="GH"/>
    <s v="2851004510"/>
    <s v="MANIFOLD CATALYTIC ASSY-EXHAUST"/>
    <s v="          "/>
    <e v="#N/A"/>
    <s v="28511R5T"/>
    <s v="ZZ3"/>
    <s v="I14"/>
    <s v="2022/02/17"/>
    <s v="2025/12/23"/>
    <s v="2022/03/28"/>
    <n v="45"/>
    <n v="54183"/>
    <s v="            "/>
    <n v="100"/>
    <n v="19.8"/>
    <n v="19.8"/>
    <n v="139100"/>
    <n v="12306"/>
    <n v="0"/>
    <n v="151406"/>
    <s v="BR2 19"/>
    <s v="2022-02"/>
    <s v="단품불량"/>
    <s v="작동불량"/>
    <n v="60000"/>
    <n v="55000"/>
    <n v="48"/>
    <n v="48"/>
    <s v="B27"/>
    <s v="URUGUAY"/>
    <x v="0"/>
    <x v="0"/>
    <s v="컨버터"/>
    <s v="카파(HMB)"/>
    <x v="14"/>
    <s v="2026년"/>
    <s v="1분기"/>
  </r>
  <r>
    <s v="WIA"/>
    <s v="D"/>
    <s v="2026031WW"/>
    <s v="K"/>
    <s v="R151"/>
    <n v="40"/>
    <s v="2026/03"/>
    <s v="DK02802026W00111100"/>
    <s v="KNACG911BPT368496"/>
    <s v="W"/>
    <s v="A3"/>
    <s v="2853004GJ1"/>
    <s v="CONVERTER ASSY-W/UP CATALYTIC"/>
    <m/>
    <m/>
    <s v="28530RQ0"/>
    <s v="ALL"/>
    <s v="W11"/>
    <s v="20230821"/>
    <s v="20260320"/>
    <s v="20230829"/>
    <n v="31"/>
    <n v="44909"/>
    <m/>
    <n v="100"/>
    <n v="25.44"/>
    <n v="25.44"/>
    <n v="123111"/>
    <n v="36977"/>
    <n v="0"/>
    <n v="160088"/>
    <s v="레이 11"/>
    <s v="2023-08"/>
    <e v="#N/A"/>
    <s v="경고등 점등"/>
    <n v="50000"/>
    <n v="45000"/>
    <n v="36"/>
    <n v="33"/>
    <s v="DK0"/>
    <s v="한국"/>
    <x v="0"/>
    <x v="0"/>
    <s v="컨버터"/>
    <s v="카파(WIA)"/>
    <x v="15"/>
    <s v="2026년"/>
    <s v="1분기"/>
  </r>
  <r>
    <s v="WIA"/>
    <s v="D"/>
    <s v="2026031WW"/>
    <s v="K"/>
    <s v="R151"/>
    <n v="41"/>
    <s v="2026/03"/>
    <s v="AX27902026W00007200"/>
    <s v="KNACJ911BPT369991"/>
    <s v="W"/>
    <s v="A3"/>
    <s v="2853004GJ1"/>
    <s v="CONVERTER ASSY-W/UP CATALYTIC"/>
    <m/>
    <m/>
    <s v="28530RQ0"/>
    <s v="ALL"/>
    <s v="W11"/>
    <s v="20230830"/>
    <s v="20260226"/>
    <s v="20230901"/>
    <n v="30"/>
    <n v="19101"/>
    <m/>
    <n v="100"/>
    <n v="25.44"/>
    <n v="25.44"/>
    <n v="119137"/>
    <n v="20784"/>
    <n v="0"/>
    <n v="139921"/>
    <s v="레이 11"/>
    <s v="2023-08"/>
    <e v="#N/A"/>
    <s v="경고등 점등"/>
    <n v="20000"/>
    <n v="20000"/>
    <n v="36"/>
    <n v="33"/>
    <s v="AX2"/>
    <s v="한국"/>
    <x v="0"/>
    <x v="0"/>
    <s v="컨버터"/>
    <s v="카파(WIA)"/>
    <x v="15"/>
    <s v="2026년"/>
    <s v="1분기"/>
  </r>
  <r>
    <s v="WIA"/>
    <s v="E"/>
    <s v="2026031WW"/>
    <s v="K"/>
    <s v="R151"/>
    <n v="66"/>
    <s v="2026/03"/>
    <s v="A02VE82170260000028"/>
    <s v="KNAB3512MMT824882"/>
    <s v="W"/>
    <s v="G6"/>
    <s v="2851003GA1"/>
    <s v="MANIFOLD CATALYTIC ASSY-EXH"/>
    <m/>
    <m/>
    <s v="28511R1K"/>
    <s v="ZZ3"/>
    <s v="W17"/>
    <s v="20210512"/>
    <s v="20251218"/>
    <s v="20210623"/>
    <n v="54"/>
    <n v="39021"/>
    <m/>
    <n v="100"/>
    <n v="18.18"/>
    <n v="18.18"/>
    <n v="176631"/>
    <n v="42963"/>
    <n v="0"/>
    <n v="219594"/>
    <s v="JA 17"/>
    <s v="2021-05"/>
    <s v="단품불량"/>
    <s v="경고등 점등"/>
    <n v="40000"/>
    <n v="40000"/>
    <n v="60"/>
    <n v="57"/>
    <s v="A02"/>
    <s v="AUSTRALIA"/>
    <x v="0"/>
    <x v="0"/>
    <s v="컨버터"/>
    <s v="카파(WIA)"/>
    <x v="15"/>
    <s v="2026년"/>
    <s v="1분기"/>
  </r>
  <r>
    <s v="WIA"/>
    <s v="E"/>
    <s v="2026031WW"/>
    <s v="K"/>
    <s v="R151"/>
    <n v="67"/>
    <s v="2026/03"/>
    <s v="A02VE83167260000005"/>
    <s v="KNAB3512MPT156593"/>
    <s v="W"/>
    <s v="G6"/>
    <s v="2851003GA1"/>
    <s v="MANIFOLD CATALYTIC ASSY-EXH"/>
    <m/>
    <m/>
    <s v="28511R1K"/>
    <s v="ZZ3"/>
    <s v="W11"/>
    <s v="20230623"/>
    <s v="20251223"/>
    <s v="20231028"/>
    <n v="26"/>
    <n v="6773"/>
    <m/>
    <n v="100"/>
    <n v="18.18"/>
    <n v="18.18"/>
    <n v="165681"/>
    <n v="43871"/>
    <n v="0"/>
    <n v="209552"/>
    <s v="JA 17"/>
    <s v="2023-06"/>
    <s v="단품불량"/>
    <s v="경고등 점등"/>
    <n v="10000"/>
    <n v="10000"/>
    <n v="30"/>
    <n v="27"/>
    <s v="A02"/>
    <s v="AUSTRALIA"/>
    <x v="0"/>
    <x v="0"/>
    <s v="컨버터"/>
    <s v="카파(WIA)"/>
    <x v="15"/>
    <s v="2026년"/>
    <s v="1분기"/>
  </r>
  <r>
    <s v="WIA"/>
    <s v="E"/>
    <s v="2026031WW"/>
    <s v="K"/>
    <s v="R151"/>
    <n v="69"/>
    <s v="2026/03"/>
    <s v="C21VA2239 KM2000401"/>
    <s v="KNAB2511LKT389221"/>
    <s v="W"/>
    <s v="G6"/>
    <s v="2853004GG2"/>
    <s v="CONVERTER ASSY-W/UP CATALYTIC"/>
    <m/>
    <m/>
    <s v="28530R1K"/>
    <s v="ZZ3"/>
    <s v="W17"/>
    <s v="20181002"/>
    <s v="20260206"/>
    <s v="20190715"/>
    <n v="79"/>
    <n v="35422"/>
    <m/>
    <n v="100"/>
    <n v="18.18"/>
    <n v="18.18"/>
    <n v="155862"/>
    <n v="31247"/>
    <n v="0"/>
    <n v="187109"/>
    <s v="JA 17"/>
    <s v="2018-10"/>
    <s v="단품불량"/>
    <s v="경고등 점등"/>
    <n v="40000"/>
    <n v="40000"/>
    <s v="≥60"/>
    <s v="≥60"/>
    <s v="C21"/>
    <s v="UK"/>
    <x v="0"/>
    <x v="0"/>
    <s v="컨버터"/>
    <s v="카파(WIA)"/>
    <x v="15"/>
    <s v="2026년"/>
    <s v="1분기"/>
  </r>
  <r>
    <s v="WIA"/>
    <s v="D"/>
    <s v="2026031WW"/>
    <s v="K"/>
    <s v="R151"/>
    <n v="42"/>
    <s v="2026/03"/>
    <s v="MX25602026W00032500"/>
    <s v="KNAB1918BNT861563"/>
    <s v="W"/>
    <s v="G6"/>
    <s v="2853007035"/>
    <s v="CONVERTER ASSY-W/UP CATALYTIC"/>
    <m/>
    <m/>
    <s v="28511RQ0"/>
    <s v="ALL"/>
    <s v="W11"/>
    <s v="20210817"/>
    <s v="20260307"/>
    <s v="20210818"/>
    <n v="55"/>
    <n v="48907"/>
    <m/>
    <n v="100"/>
    <n v="25.44"/>
    <n v="25.44"/>
    <n v="110991"/>
    <n v="23468"/>
    <n v="0"/>
    <n v="134459"/>
    <s v="JA 17"/>
    <s v="2021-08"/>
    <e v="#N/A"/>
    <s v="경고등 점등"/>
    <n v="50000"/>
    <n v="50000"/>
    <n v="60"/>
    <n v="57"/>
    <s v="MX2"/>
    <s v="한국"/>
    <x v="0"/>
    <x v="0"/>
    <s v="컨버터"/>
    <s v="카파(WIA)"/>
    <x v="15"/>
    <s v="2026년"/>
    <s v="1분기"/>
  </r>
  <r>
    <s v="WIA"/>
    <s v="E"/>
    <s v="2026031WW"/>
    <s v="K"/>
    <s v="R151"/>
    <n v="68"/>
    <s v="2026/03"/>
    <s v="C16VCPG011KM2000091"/>
    <s v="KNAB2511AKT381804"/>
    <s v="W"/>
    <s v="G6"/>
    <s v="2853004GG2"/>
    <s v="CONVERTER ASSY-W/UP CATALYTIC"/>
    <m/>
    <m/>
    <s v="28530R1K"/>
    <s v="ZZ5"/>
    <s v="D33"/>
    <s v="20180915"/>
    <s v="20260114"/>
    <s v="20190416"/>
    <n v="81"/>
    <n v="57052"/>
    <m/>
    <n v="100"/>
    <n v="18.18"/>
    <n v="18.18"/>
    <n v="157328"/>
    <n v="9335"/>
    <n v="0"/>
    <n v="166663"/>
    <s v="JA 17"/>
    <s v="2018-09"/>
    <s v="상품성 불만"/>
    <s v="주행 불량"/>
    <n v="60000"/>
    <n v="60000"/>
    <s v="≥60"/>
    <s v="≥60"/>
    <s v="C16"/>
    <s v="PORTUGAL"/>
    <x v="0"/>
    <x v="0"/>
    <s v="컨버터"/>
    <s v="카파(WIA)"/>
    <x v="15"/>
    <s v="2026년"/>
    <s v="1분기"/>
  </r>
  <r>
    <s v="WIA"/>
    <s v="E"/>
    <s v="2026031WW"/>
    <s v="K"/>
    <s v="R151"/>
    <n v="70"/>
    <s v="2026/03"/>
    <s v="C14VC50032KM2000304"/>
    <s v="KNAB2511AKT567656"/>
    <s v="W"/>
    <s v="G6"/>
    <s v="2853004GG2"/>
    <s v="CONVERTER ASSY-W/UP CATALYTIC"/>
    <m/>
    <m/>
    <s v="28530R1K"/>
    <s v="ZZ3"/>
    <s v="W17"/>
    <s v="20190731"/>
    <s v="20260218"/>
    <s v="20200512"/>
    <n v="70"/>
    <n v="62835"/>
    <m/>
    <n v="100"/>
    <n v="18.18"/>
    <n v="18.18"/>
    <n v="185934"/>
    <n v="67843"/>
    <n v="0"/>
    <n v="253777"/>
    <s v="JA 17"/>
    <s v="2019-07"/>
    <s v="단품불량"/>
    <s v="경고등 점등"/>
    <n v="70000"/>
    <n v="65000"/>
    <s v="≥60"/>
    <s v="≥60"/>
    <s v="C14"/>
    <s v="NETHERLANDS"/>
    <x v="0"/>
    <x v="0"/>
    <s v="컨버터"/>
    <s v="카파(WIA)"/>
    <x v="15"/>
    <s v="2026년"/>
    <s v="1분기"/>
  </r>
  <r>
    <s v="WIA"/>
    <s v="E"/>
    <s v="2026031WW"/>
    <s v="K"/>
    <s v="R151"/>
    <n v="71"/>
    <s v="2026/03"/>
    <s v="C06VAFR773KM2600017"/>
    <s v="KNAB2511ALT605308"/>
    <s v="W"/>
    <s v="G6"/>
    <s v="2853004GG2"/>
    <s v="CONVERTER ASSY-W/UP CATALYTIC"/>
    <m/>
    <m/>
    <s v="28530R1K"/>
    <s v="ZZ3"/>
    <s v="W11"/>
    <s v="20191025"/>
    <s v="20260311"/>
    <s v="20200117"/>
    <n v="74"/>
    <n v="61023"/>
    <m/>
    <n v="100"/>
    <n v="18.18"/>
    <n v="18.18"/>
    <n v="153448"/>
    <n v="36681"/>
    <n v="0"/>
    <n v="190129"/>
    <s v="JA 17"/>
    <s v="2019-10"/>
    <s v="단품불량"/>
    <s v="경고등 점등"/>
    <n v="70000"/>
    <n v="65000"/>
    <s v="≥60"/>
    <s v="≥60"/>
    <s v="C06"/>
    <s v="FRANCE"/>
    <x v="0"/>
    <x v="0"/>
    <s v="컨버터"/>
    <s v="카파(WIA)"/>
    <x v="15"/>
    <s v="2026년"/>
    <s v="1분기"/>
  </r>
  <r>
    <s v="WIA"/>
    <s v="E"/>
    <s v="2026031WA"/>
    <s v="K"/>
    <s v="R151"/>
    <n v="138"/>
    <s v="2026/03"/>
    <s v="C21VA2176 KM2000135"/>
    <s v="KNAB3518LNT901817"/>
    <s v="W"/>
    <s v="G6"/>
    <s v="2853007031"/>
    <s v="CONVERTER ASSY-W/UP CATALYTIC"/>
    <m/>
    <m/>
    <s v="28530R1K"/>
    <s v="ZZ4"/>
    <s v="W11"/>
    <s v="20211125"/>
    <s v="20260120"/>
    <s v="20220125"/>
    <n v="48"/>
    <n v="58704"/>
    <m/>
    <n v="100"/>
    <n v="18.18"/>
    <n v="18.18"/>
    <n v="63732"/>
    <n v="32388"/>
    <n v="0"/>
    <n v="96120"/>
    <s v="JA 17"/>
    <s v="2021-11"/>
    <s v="재질불량"/>
    <s v="경고등 점등"/>
    <n v="60000"/>
    <n v="60000"/>
    <n v="54"/>
    <n v="51"/>
    <s v="C21"/>
    <s v="UK"/>
    <x v="0"/>
    <x v="0"/>
    <s v="컨버터"/>
    <s v="카파(WIA)"/>
    <x v="15"/>
    <s v="2026년"/>
    <s v="1분기"/>
  </r>
  <r>
    <s v="WIA"/>
    <s v="E"/>
    <s v="2026031WA"/>
    <s v="K"/>
    <s v="R151"/>
    <n v="139"/>
    <s v="2026/03"/>
    <s v="C14VC50538KM2000151"/>
    <s v="KNAB3518APT035088"/>
    <s v="W"/>
    <s v="G6"/>
    <s v="2853007031"/>
    <s v="CONVERTER ASSY-W/UP CATALYTIC"/>
    <m/>
    <m/>
    <s v="28530R1K"/>
    <s v="ZZ3"/>
    <s v="W17"/>
    <s v="20221019"/>
    <s v="20260209"/>
    <s v="20230125"/>
    <n v="37"/>
    <n v="55810"/>
    <m/>
    <n v="100"/>
    <n v="18.18"/>
    <n v="18.18"/>
    <n v="62441"/>
    <n v="32392"/>
    <n v="0"/>
    <n v="94833"/>
    <s v="JA 17"/>
    <s v="2022-10"/>
    <s v="단품불량"/>
    <s v="경고등 점등"/>
    <n v="60000"/>
    <n v="60000"/>
    <n v="42"/>
    <n v="39"/>
    <s v="C14"/>
    <s v="NETHERLANDS"/>
    <x v="0"/>
    <x v="0"/>
    <s v="컨버터"/>
    <s v="카파(WIA)"/>
    <x v="15"/>
    <s v="2026년"/>
    <s v="1분기"/>
  </r>
  <r>
    <s v="WIA"/>
    <s v="E"/>
    <s v="2026031WA"/>
    <s v="K"/>
    <s v="R151"/>
    <n v="140"/>
    <s v="2026/03"/>
    <s v="C21VA2261 KM2000271"/>
    <s v="KNAB3518YPT104569"/>
    <s v="W"/>
    <s v="G6"/>
    <s v="2853007031"/>
    <s v="CONVERTER ASSY-W/UP CATALYTIC"/>
    <m/>
    <m/>
    <s v="28530R1K"/>
    <s v="ZZ3"/>
    <s v="W17"/>
    <s v="20230314"/>
    <s v="20251113"/>
    <s v="20230629"/>
    <n v="29"/>
    <n v="25170"/>
    <m/>
    <n v="100"/>
    <n v="18.18"/>
    <n v="18.18"/>
    <n v="64257"/>
    <n v="29740"/>
    <n v="0"/>
    <n v="93997"/>
    <s v="JA 17"/>
    <s v="2023-03"/>
    <s v="단품불량"/>
    <s v="경고등 점등"/>
    <n v="30000"/>
    <n v="30000"/>
    <n v="30"/>
    <n v="30"/>
    <s v="C21"/>
    <s v="UK"/>
    <x v="0"/>
    <x v="0"/>
    <s v="컨버터"/>
    <s v="카파(WIA)"/>
    <x v="15"/>
    <s v="2026년"/>
    <s v="1분기"/>
  </r>
  <r>
    <s v="WIA"/>
    <s v="E"/>
    <s v="2026031WA"/>
    <s v="K"/>
    <s v="R151"/>
    <n v="141"/>
    <s v="2026/03"/>
    <s v="C11VC09219KM2000131"/>
    <s v="KNAB2518AST346514"/>
    <s v="W"/>
    <s v="G6"/>
    <s v="2853007031"/>
    <s v="CONVERTER ASSY-W/UP CATALYTIC"/>
    <m/>
    <m/>
    <s v="28530R1K"/>
    <s v="ZZ3"/>
    <s v="I11"/>
    <s v="20250103"/>
    <s v="20260131"/>
    <s v="20250731"/>
    <n v="7"/>
    <n v="7455"/>
    <m/>
    <n v="100"/>
    <n v="18.18"/>
    <n v="18.18"/>
    <n v="88416"/>
    <n v="12555"/>
    <n v="0"/>
    <n v="100971"/>
    <s v="JA 17"/>
    <s v="2025-01"/>
    <s v="단품불량"/>
    <s v="작동불량"/>
    <n v="10000"/>
    <n v="10000"/>
    <n v="12"/>
    <n v="9"/>
    <s v="C11"/>
    <s v="ITALY"/>
    <x v="0"/>
    <x v="0"/>
    <s v="컨버터"/>
    <s v="카파(WIA)"/>
    <x v="15"/>
    <s v="2026년"/>
    <s v="1분기"/>
  </r>
  <r>
    <s v="WIA"/>
    <s v="E"/>
    <s v="2026031WA"/>
    <s v="K"/>
    <s v="R151"/>
    <n v="142"/>
    <s v="2026/03"/>
    <s v="C07VA2694AKM2000052"/>
    <s v="KNAB351AAMT805277"/>
    <s v="W"/>
    <s v="G6"/>
    <s v="2853008220"/>
    <s v="CONVERTER ASSY-W/UP CATALYTIC"/>
    <m/>
    <m/>
    <s v="28530R1K"/>
    <s v="ZZ3"/>
    <s v="W11"/>
    <s v="20210329"/>
    <s v="20251119"/>
    <s v="20210727"/>
    <n v="52"/>
    <n v="93446"/>
    <m/>
    <n v="100"/>
    <n v="18.18"/>
    <n v="18.18"/>
    <n v="212378"/>
    <n v="22844"/>
    <n v="0"/>
    <n v="235222"/>
    <s v="JA 17"/>
    <s v="2021-03"/>
    <s v="단품불량"/>
    <s v="경고등 점등"/>
    <n v="100000"/>
    <n v="95000"/>
    <n v="54"/>
    <n v="54"/>
    <s v="C07"/>
    <s v="GERMANY"/>
    <x v="0"/>
    <x v="0"/>
    <s v="컨버터"/>
    <s v="카파(WIA)"/>
    <x v="15"/>
    <s v="2026년"/>
    <s v="1분기"/>
  </r>
  <r>
    <s v="WIA"/>
    <s v="E"/>
    <s v="2026031WA"/>
    <s v="K"/>
    <s v="R151"/>
    <n v="143"/>
    <s v="2026/03"/>
    <s v="C17VC3A761KM2000107"/>
    <s v="KNADC518AN6632419"/>
    <s v="W"/>
    <s v="H8"/>
    <s v="2853008220"/>
    <s v="CONVERTER ASSY-W/UP CATALYTIC"/>
    <m/>
    <m/>
    <s v="28950R4K"/>
    <s v="ZZ3"/>
    <s v="W17"/>
    <s v="20211111"/>
    <s v="20260206"/>
    <s v="20220131"/>
    <n v="49"/>
    <n v="42880"/>
    <m/>
    <n v="100"/>
    <n v="18.18"/>
    <n v="18.18"/>
    <n v="202254"/>
    <n v="54874"/>
    <n v="0"/>
    <n v="257128"/>
    <s v="YB 17"/>
    <s v="2021-11"/>
    <s v="단품불량"/>
    <s v="경고등 점등"/>
    <n v="50000"/>
    <n v="45000"/>
    <n v="54"/>
    <n v="51"/>
    <s v="C17"/>
    <s v="SPAIN"/>
    <x v="0"/>
    <x v="0"/>
    <s v="컨버터"/>
    <s v="카파(WIA)"/>
    <x v="15"/>
    <s v="2026년"/>
    <s v="1분기"/>
  </r>
  <r>
    <s v="WIA"/>
    <s v="E"/>
    <s v="2026031WA"/>
    <s v="K"/>
    <s v="R151"/>
    <n v="144"/>
    <s v="2026/03"/>
    <s v="C17VC00386KM2000379"/>
    <s v="KNADC518AP6818318"/>
    <s v="W"/>
    <s v="H8"/>
    <s v="2853008220"/>
    <s v="CONVERTER ASSY-W/UP CATALYTIC"/>
    <m/>
    <m/>
    <s v="28950R4K"/>
    <s v="ZZ3"/>
    <s v="W11"/>
    <s v="20230302"/>
    <s v="20260120"/>
    <s v="20230503"/>
    <n v="33"/>
    <n v="41432"/>
    <m/>
    <n v="100"/>
    <n v="18.18"/>
    <n v="18.18"/>
    <n v="202346"/>
    <n v="57837"/>
    <n v="0"/>
    <n v="260183"/>
    <s v="YB 17"/>
    <s v="2023-03"/>
    <s v="단품불량"/>
    <s v="경고등 점등"/>
    <n v="50000"/>
    <n v="45000"/>
    <n v="36"/>
    <n v="36"/>
    <s v="C17"/>
    <s v="SPAIN"/>
    <x v="0"/>
    <x v="0"/>
    <s v="컨버터"/>
    <s v="카파(WIA)"/>
    <x v="15"/>
    <s v="2026년"/>
    <s v="1분기"/>
  </r>
  <r>
    <s v="WIA"/>
    <s v="E"/>
    <s v="2026031WA"/>
    <s v="K"/>
    <s v="R151"/>
    <n v="145"/>
    <s v="2026/03"/>
    <s v="D19VA00017D1720572"/>
    <s v="KNAB251AJPT147417"/>
    <s v="W"/>
    <s v="G6"/>
    <s v="2853008250"/>
    <s v="CONVERTER ASSY-W/UP CATALYTIC"/>
    <m/>
    <m/>
    <s v="28530R1K"/>
    <s v="ZZ3"/>
    <s v="W17"/>
    <s v="20230605"/>
    <s v="20260202"/>
    <s v="20230906"/>
    <n v="29"/>
    <n v="92872"/>
    <m/>
    <n v="100"/>
    <n v="18.18"/>
    <n v="18.18"/>
    <n v="39660"/>
    <n v="2331"/>
    <n v="0"/>
    <n v="41991"/>
    <s v="JA 17"/>
    <s v="2023-06"/>
    <s v="단품불량"/>
    <s v="경고등 점등"/>
    <n v="100000"/>
    <n v="95000"/>
    <n v="30"/>
    <n v="30"/>
    <s v="D19"/>
    <s v="TUNISIA"/>
    <x v="0"/>
    <x v="0"/>
    <s v="컨버터"/>
    <s v="카파(WIA)"/>
    <x v="15"/>
    <s v="2026년"/>
    <s v="1분기"/>
  </r>
  <r>
    <s v="WIA"/>
    <s v="E"/>
    <s v="2026031WA"/>
    <s v="K"/>
    <s v="R151"/>
    <n v="146"/>
    <s v="2026/03"/>
    <s v="D19VA00017D1720656"/>
    <s v="KNAB251AAPT160070"/>
    <s v="W"/>
    <s v="G6"/>
    <s v="2853008250"/>
    <s v="CONVERTER ASSY-W/UP CATALYTIC"/>
    <m/>
    <m/>
    <s v="28530R1K"/>
    <s v="ZZ3"/>
    <s v="W17"/>
    <s v="20230704"/>
    <s v="20260210"/>
    <s v="20230914"/>
    <n v="29"/>
    <n v="88649"/>
    <m/>
    <n v="100"/>
    <n v="18.18"/>
    <n v="18.18"/>
    <n v="39660"/>
    <n v="2331"/>
    <n v="0"/>
    <n v="41991"/>
    <s v="JA 17"/>
    <s v="2023-07"/>
    <s v="단품불량"/>
    <s v="경고등 점등"/>
    <n v="90000"/>
    <n v="90000"/>
    <n v="30"/>
    <n v="30"/>
    <s v="D19"/>
    <s v="TUNISIA"/>
    <x v="0"/>
    <x v="0"/>
    <s v="컨버터"/>
    <s v="카파(WIA)"/>
    <x v="15"/>
    <s v="2026년"/>
    <s v="1분기"/>
  </r>
  <r>
    <s v="WIA"/>
    <s v="E"/>
    <s v="2026031WA"/>
    <s v="K"/>
    <s v="R151"/>
    <n v="147"/>
    <s v="2026/03"/>
    <s v="D19VA00003D367328"/>
    <s v="KNAB251AAST263524"/>
    <s v="W"/>
    <s v="G6"/>
    <s v="2853008250"/>
    <s v="CONVERTER ASSY-W/UP CATALYTIC"/>
    <m/>
    <m/>
    <s v="28530R1K"/>
    <s v="ZZ3"/>
    <s v="W11"/>
    <s v="20240521"/>
    <s v="20260127"/>
    <s v="20240712"/>
    <n v="19"/>
    <n v="55971"/>
    <m/>
    <n v="100"/>
    <n v="18.18"/>
    <n v="18.18"/>
    <n v="39660"/>
    <n v="2331"/>
    <n v="0"/>
    <n v="41991"/>
    <s v="JA 17"/>
    <s v="2024-05"/>
    <s v="단품불량"/>
    <s v="경고등 점등"/>
    <n v="60000"/>
    <n v="60000"/>
    <n v="24"/>
    <n v="21"/>
    <s v="D19"/>
    <s v="TUNISIA"/>
    <x v="0"/>
    <x v="0"/>
    <s v="컨버터"/>
    <s v="카파(WIA)"/>
    <x v="15"/>
    <s v="2026년"/>
    <s v="1분기"/>
  </r>
  <r>
    <s v="WIA"/>
    <s v="E"/>
    <s v="2026031WA"/>
    <s v="K"/>
    <s v="R151"/>
    <n v="148"/>
    <s v="2026/03"/>
    <s v="D19VA00003D367359"/>
    <s v="KNAB251AAST263831"/>
    <s v="W"/>
    <s v="G6"/>
    <s v="2853008250"/>
    <s v="CONVERTER ASSY-W/UP CATALYTIC"/>
    <m/>
    <m/>
    <s v="28530R1K"/>
    <s v="ZZ3"/>
    <s v="W11"/>
    <s v="20240521"/>
    <s v="20260128"/>
    <s v="20240712"/>
    <n v="19"/>
    <n v="40734"/>
    <m/>
    <n v="100"/>
    <n v="18.18"/>
    <n v="18.18"/>
    <n v="39660"/>
    <n v="2331"/>
    <n v="0"/>
    <n v="41991"/>
    <s v="JA 17"/>
    <s v="2024-05"/>
    <s v="단품불량"/>
    <s v="경고등 점등"/>
    <n v="50000"/>
    <n v="45000"/>
    <n v="24"/>
    <n v="21"/>
    <s v="D19"/>
    <s v="TUNISIA"/>
    <x v="0"/>
    <x v="0"/>
    <s v="컨버터"/>
    <s v="카파(WIA)"/>
    <x v="15"/>
    <s v="2026년"/>
    <s v="1분기"/>
  </r>
  <r>
    <s v="WIA"/>
    <s v="E"/>
    <s v="2026031WA"/>
    <s v="K"/>
    <s v="R151"/>
    <n v="149"/>
    <s v="2026/03"/>
    <s v="D19VA00003D367637"/>
    <s v="KNADE518AM6525018"/>
    <s v="W"/>
    <s v="H8"/>
    <s v="2853008250"/>
    <s v="CONVERTER ASSY-W/UP CATALYTIC"/>
    <m/>
    <m/>
    <s v="28530R1K"/>
    <s v="ZZ3"/>
    <s v="W11"/>
    <s v="20210105"/>
    <s v="20260213"/>
    <s v="20210223"/>
    <n v="60"/>
    <n v="78625"/>
    <m/>
    <n v="100"/>
    <n v="18.18"/>
    <n v="18.18"/>
    <n v="39660"/>
    <n v="3367"/>
    <n v="0"/>
    <n v="43027"/>
    <s v="YB 17"/>
    <s v="2021-01"/>
    <s v="단품불량"/>
    <s v="경고등 점등"/>
    <n v="80000"/>
    <n v="80000"/>
    <s v="≥60"/>
    <s v="≥60"/>
    <s v="D19"/>
    <s v="TUNISIA"/>
    <x v="0"/>
    <x v="0"/>
    <s v="컨버터"/>
    <s v="카파(WIA)"/>
    <x v="15"/>
    <s v="2026년"/>
    <s v="1분기"/>
  </r>
  <r>
    <s v="WIA"/>
    <s v="E"/>
    <s v="2026031WA"/>
    <s v="K"/>
    <s v="R151"/>
    <n v="150"/>
    <s v="2026/03"/>
    <s v="D19VA00001D1168403"/>
    <s v="KNADC518AM6548610"/>
    <s v="W"/>
    <s v="H8"/>
    <s v="2853008250"/>
    <s v="CONVERTER ASSY-W/UP CATALYTIC"/>
    <m/>
    <m/>
    <s v="28530R1K"/>
    <s v="ZZ3"/>
    <s v="W11"/>
    <s v="20210304"/>
    <s v="20250610"/>
    <s v="20210527"/>
    <n v="49"/>
    <n v="99915"/>
    <m/>
    <n v="100"/>
    <n v="18.18"/>
    <n v="18.18"/>
    <n v="39660"/>
    <n v="3367"/>
    <n v="0"/>
    <n v="43027"/>
    <s v="YB 17"/>
    <s v="2021-03"/>
    <s v="단품불량"/>
    <s v="경고등 점등"/>
    <n v="100000"/>
    <n v="100000"/>
    <n v="54"/>
    <n v="51"/>
    <s v="D19"/>
    <s v="TUNISIA"/>
    <x v="0"/>
    <x v="0"/>
    <s v="컨버터"/>
    <s v="카파(WIA)"/>
    <x v="15"/>
    <s v="2026년"/>
    <s v="1분기"/>
  </r>
  <r>
    <s v="WIA"/>
    <s v="E"/>
    <s v="2026031WA"/>
    <s v="K"/>
    <s v="R151"/>
    <n v="151"/>
    <s v="2026/03"/>
    <s v="D19VA00008D869435"/>
    <s v="KNADE518AM6565844"/>
    <s v="W"/>
    <s v="H8"/>
    <s v="2853008250"/>
    <s v="CONVERTER ASSY-W/UP CATALYTIC"/>
    <m/>
    <m/>
    <s v="28530R1K"/>
    <s v="ZZ3"/>
    <s v="W11"/>
    <s v="20210409"/>
    <s v="20260205"/>
    <s v="20210602"/>
    <n v="57"/>
    <n v="99432"/>
    <m/>
    <n v="100"/>
    <n v="18.18"/>
    <n v="18.18"/>
    <n v="39660"/>
    <n v="3367"/>
    <n v="0"/>
    <n v="43027"/>
    <s v="YB 17"/>
    <s v="2021-04"/>
    <s v="단품불량"/>
    <s v="경고등 점등"/>
    <n v="100000"/>
    <n v="100000"/>
    <n v="60"/>
    <n v="60"/>
    <s v="D19"/>
    <s v="TUNISIA"/>
    <x v="0"/>
    <x v="0"/>
    <s v="컨버터"/>
    <s v="카파(WIA)"/>
    <x v="15"/>
    <s v="2026년"/>
    <s v="1분기"/>
  </r>
  <r>
    <s v="WIA"/>
    <s v="E"/>
    <s v="2026031WA"/>
    <s v="K"/>
    <s v="R151"/>
    <n v="152"/>
    <s v="2026/03"/>
    <s v="D19VA00020D20540000"/>
    <s v="KNADC518AN6594785"/>
    <s v="W"/>
    <s v="H8"/>
    <s v="2853008250"/>
    <s v="CONVERTER ASSY-W/UP CATALYTIC"/>
    <m/>
    <m/>
    <s v="28530R1K"/>
    <s v="ZZ3"/>
    <s v="W11"/>
    <s v="20210623"/>
    <s v="20260216"/>
    <s v="20210914"/>
    <n v="54"/>
    <n v="92756"/>
    <m/>
    <n v="100"/>
    <n v="18.18"/>
    <n v="18.18"/>
    <n v="39660"/>
    <n v="3367"/>
    <n v="0"/>
    <n v="43027"/>
    <s v="YB 17"/>
    <s v="2021-06"/>
    <s v="단품불량"/>
    <s v="경고등 점등"/>
    <n v="100000"/>
    <n v="95000"/>
    <n v="60"/>
    <n v="57"/>
    <s v="D19"/>
    <s v="TUNISIA"/>
    <x v="0"/>
    <x v="0"/>
    <s v="컨버터"/>
    <s v="카파(WIA)"/>
    <x v="15"/>
    <s v="2026년"/>
    <s v="1분기"/>
  </r>
  <r>
    <s v="WIA"/>
    <s v="E"/>
    <s v="2026031WA"/>
    <s v="K"/>
    <s v="R151"/>
    <n v="153"/>
    <s v="2026/03"/>
    <s v="D19VA00001D1168445"/>
    <s v="KNADC518AN6616961"/>
    <s v="W"/>
    <s v="H8"/>
    <s v="2853008250"/>
    <s v="CONVERTER ASSY-W/UP CATALYTIC"/>
    <m/>
    <m/>
    <s v="28530R1K"/>
    <s v="ZZ3"/>
    <s v="W11"/>
    <s v="20210909"/>
    <s v="20250926"/>
    <s v="20211110"/>
    <n v="47"/>
    <n v="61837"/>
    <m/>
    <n v="100"/>
    <n v="18.18"/>
    <n v="18.18"/>
    <n v="39660"/>
    <n v="3367"/>
    <n v="0"/>
    <n v="43027"/>
    <s v="YB 17"/>
    <s v="2021-09"/>
    <s v="단품불량"/>
    <s v="경고등 점등"/>
    <n v="70000"/>
    <n v="65000"/>
    <n v="48"/>
    <n v="48"/>
    <s v="D19"/>
    <s v="TUNISIA"/>
    <x v="0"/>
    <x v="0"/>
    <s v="컨버터"/>
    <s v="카파(WIA)"/>
    <x v="15"/>
    <s v="2026년"/>
    <s v="1분기"/>
  </r>
  <r>
    <s v="WIA"/>
    <s v="E"/>
    <s v="2026031WA"/>
    <s v="K"/>
    <s v="R151"/>
    <n v="154"/>
    <s v="2026/03"/>
    <s v="D19VA00017D1720549"/>
    <s v="KNADE518AN6618089"/>
    <s v="W"/>
    <s v="H8"/>
    <s v="2853008250"/>
    <s v="CONVERTER ASSY-W/UP CATALYTIC"/>
    <m/>
    <m/>
    <s v="28530R1K"/>
    <s v="ZZ3"/>
    <s v="W17"/>
    <s v="20210913"/>
    <s v="20260130"/>
    <s v="20211209"/>
    <n v="50"/>
    <n v="64980"/>
    <m/>
    <n v="100"/>
    <n v="18.18"/>
    <n v="18.18"/>
    <n v="39660"/>
    <n v="3367"/>
    <n v="0"/>
    <n v="43027"/>
    <s v="YB 17"/>
    <s v="2021-09"/>
    <s v="단품불량"/>
    <s v="경고등 점등"/>
    <n v="70000"/>
    <n v="65000"/>
    <n v="54"/>
    <n v="51"/>
    <s v="D19"/>
    <s v="TUNISIA"/>
    <x v="0"/>
    <x v="0"/>
    <s v="컨버터"/>
    <s v="카파(WIA)"/>
    <x v="15"/>
    <s v="2026년"/>
    <s v="1분기"/>
  </r>
  <r>
    <s v="WIA"/>
    <s v="E"/>
    <s v="2026031WA"/>
    <s v="K"/>
    <s v="R151"/>
    <n v="155"/>
    <s v="2026/03"/>
    <s v="D19VA00017D1720493"/>
    <s v="KNADC518AN6624788"/>
    <s v="W"/>
    <s v="H8"/>
    <s v="2853008250"/>
    <s v="CONVERTER ASSY-W/UP CATALYTIC"/>
    <m/>
    <m/>
    <s v="28530R1K"/>
    <s v="ZZ3"/>
    <s v="W17"/>
    <s v="20211005"/>
    <s v="20260126"/>
    <s v="20220110"/>
    <n v="49"/>
    <n v="98024"/>
    <m/>
    <n v="100"/>
    <n v="18.18"/>
    <n v="18.18"/>
    <n v="39660"/>
    <n v="3367"/>
    <n v="0"/>
    <n v="43027"/>
    <s v="YB 17"/>
    <s v="2021-10"/>
    <s v="단품불량"/>
    <s v="경고등 점등"/>
    <n v="100000"/>
    <n v="100000"/>
    <n v="54"/>
    <n v="51"/>
    <s v="D19"/>
    <s v="TUNISIA"/>
    <x v="0"/>
    <x v="0"/>
    <s v="컨버터"/>
    <s v="카파(WIA)"/>
    <x v="15"/>
    <s v="2026년"/>
    <s v="1분기"/>
  </r>
  <r>
    <s v="WIA"/>
    <s v="E"/>
    <s v="2026031WA"/>
    <s v="K"/>
    <s v="R151"/>
    <n v="156"/>
    <s v="2026/03"/>
    <s v="D19VA00017D1720443"/>
    <s v="KNADC518AN6647105"/>
    <s v="W"/>
    <s v="H8"/>
    <s v="2853008250"/>
    <s v="CONVERTER ASSY-W/UP CATALYTIC"/>
    <m/>
    <m/>
    <s v="28530R1K"/>
    <s v="ZZ3"/>
    <s v="W17"/>
    <s v="20211223"/>
    <s v="20260122"/>
    <s v="20220225"/>
    <n v="47"/>
    <n v="39778"/>
    <m/>
    <n v="100"/>
    <n v="18.18"/>
    <n v="18.18"/>
    <n v="39660"/>
    <n v="3367"/>
    <n v="0"/>
    <n v="43027"/>
    <s v="YB 17"/>
    <s v="2021-12"/>
    <s v="단품불량"/>
    <s v="경고등 점등"/>
    <n v="40000"/>
    <n v="40000"/>
    <n v="48"/>
    <n v="48"/>
    <s v="D19"/>
    <s v="TUNISIA"/>
    <x v="0"/>
    <x v="0"/>
    <s v="컨버터"/>
    <s v="카파(WIA)"/>
    <x v="15"/>
    <s v="2026년"/>
    <s v="1분기"/>
  </r>
  <r>
    <s v="WIA"/>
    <s v="E"/>
    <s v="2026031WA"/>
    <s v="K"/>
    <s v="R151"/>
    <n v="157"/>
    <s v="2026/03"/>
    <s v="D19VA00017D1720604"/>
    <s v="KNADC518AN6648247"/>
    <s v="W"/>
    <s v="H8"/>
    <s v="2853008250"/>
    <s v="CONVERTER ASSY-W/UP CATALYTIC"/>
    <m/>
    <m/>
    <s v="28530R1K"/>
    <s v="ZZ3"/>
    <s v="W17"/>
    <s v="20211229"/>
    <s v="20250715"/>
    <s v="20220318"/>
    <n v="40"/>
    <n v="99156"/>
    <m/>
    <n v="100"/>
    <n v="18.18"/>
    <n v="18.18"/>
    <n v="39660"/>
    <n v="3367"/>
    <n v="0"/>
    <n v="43027"/>
    <s v="YB 17"/>
    <s v="2021-12"/>
    <s v="단품불량"/>
    <s v="경고등 점등"/>
    <n v="100000"/>
    <n v="100000"/>
    <n v="42"/>
    <n v="42"/>
    <s v="D19"/>
    <s v="TUNISIA"/>
    <x v="0"/>
    <x v="0"/>
    <s v="컨버터"/>
    <s v="카파(WIA)"/>
    <x v="15"/>
    <s v="2026년"/>
    <s v="1분기"/>
  </r>
  <r>
    <s v="WIA"/>
    <s v="E"/>
    <s v="2026031WA"/>
    <s v="K"/>
    <s v="R151"/>
    <n v="158"/>
    <s v="2026/03"/>
    <s v="D19VA00001D1168616"/>
    <s v="KNADC518AN6722461"/>
    <s v="W"/>
    <s v="H8"/>
    <s v="2853008250"/>
    <s v="CONVERTER ASSY-W/UP CATALYTIC"/>
    <m/>
    <m/>
    <s v="28530R1K"/>
    <s v="ZZ3"/>
    <s v="W11"/>
    <s v="20220701"/>
    <s v="20250930"/>
    <s v="20220919"/>
    <n v="37"/>
    <n v="38900"/>
    <m/>
    <n v="100"/>
    <n v="18.18"/>
    <n v="18.18"/>
    <n v="39660"/>
    <n v="3367"/>
    <n v="0"/>
    <n v="43027"/>
    <s v="YB 17"/>
    <s v="2022-07"/>
    <s v="단품불량"/>
    <s v="경고등 점등"/>
    <n v="40000"/>
    <n v="40000"/>
    <n v="42"/>
    <n v="39"/>
    <s v="D19"/>
    <s v="TUNISIA"/>
    <x v="0"/>
    <x v="0"/>
    <s v="컨버터"/>
    <s v="카파(WIA)"/>
    <x v="15"/>
    <s v="2026년"/>
    <s v="1분기"/>
  </r>
  <r>
    <s v="WIA"/>
    <s v="E"/>
    <s v="2026031WA"/>
    <s v="K"/>
    <s v="R151"/>
    <n v="159"/>
    <s v="2026/03"/>
    <s v="D19VA00008D872261"/>
    <s v="KNADC518AN6738474"/>
    <s v="W"/>
    <s v="H8"/>
    <s v="2853008250"/>
    <s v="CONVERTER ASSY-W/UP CATALYTIC"/>
    <m/>
    <m/>
    <s v="28530R1K"/>
    <s v="ZZ3"/>
    <s v="W11"/>
    <s v="20220817"/>
    <s v="20260211"/>
    <s v="20221026"/>
    <n v="40"/>
    <n v="76518"/>
    <m/>
    <n v="100"/>
    <n v="18.18"/>
    <n v="18.18"/>
    <n v="39660"/>
    <n v="3367"/>
    <n v="0"/>
    <n v="43027"/>
    <s v="YB 17"/>
    <s v="2022-08"/>
    <s v="단품불량"/>
    <s v="경고등 점등"/>
    <n v="80000"/>
    <n v="80000"/>
    <n v="42"/>
    <n v="42"/>
    <s v="D19"/>
    <s v="TUNISIA"/>
    <x v="0"/>
    <x v="0"/>
    <s v="컨버터"/>
    <s v="카파(WIA)"/>
    <x v="15"/>
    <s v="2026년"/>
    <s v="1분기"/>
  </r>
  <r>
    <s v="WIA"/>
    <s v="E"/>
    <s v="2026031WA"/>
    <s v="K"/>
    <s v="R151"/>
    <n v="160"/>
    <s v="2026/03"/>
    <s v="D19VA00008D865991"/>
    <s v="KNADC518AN6738675"/>
    <s v="W"/>
    <s v="H8"/>
    <s v="2853008250"/>
    <s v="CONVERTER ASSY-W/UP CATALYTIC"/>
    <m/>
    <m/>
    <s v="28530R1K"/>
    <s v="ZZ3"/>
    <s v="W11"/>
    <s v="20220817"/>
    <s v="20250531"/>
    <s v="20221026"/>
    <n v="32"/>
    <n v="90551"/>
    <m/>
    <n v="100"/>
    <n v="18.18"/>
    <n v="18.18"/>
    <n v="39660"/>
    <n v="3367"/>
    <n v="0"/>
    <n v="43027"/>
    <s v="YB 17"/>
    <s v="2022-08"/>
    <s v="단품불량"/>
    <s v="경고등 점등"/>
    <n v="100000"/>
    <n v="95000"/>
    <n v="36"/>
    <n v="33"/>
    <s v="D19"/>
    <s v="TUNISIA"/>
    <x v="0"/>
    <x v="0"/>
    <s v="컨버터"/>
    <s v="카파(WIA)"/>
    <x v="15"/>
    <s v="2026년"/>
    <s v="1분기"/>
  </r>
  <r>
    <s v="WIA"/>
    <s v="E"/>
    <s v="2026031WA"/>
    <s v="K"/>
    <s v="R151"/>
    <n v="161"/>
    <s v="2026/03"/>
    <s v="D19VA00020D20444000"/>
    <s v="KNADC518AN6776641"/>
    <s v="W"/>
    <s v="H8"/>
    <s v="2853008250"/>
    <s v="CONVERTER ASSY-W/UP CATALYTIC"/>
    <m/>
    <m/>
    <s v="28530R1K"/>
    <s v="ZZ3"/>
    <s v="W11"/>
    <s v="20221124"/>
    <s v="20260207"/>
    <s v="20230407"/>
    <n v="35"/>
    <n v="83866"/>
    <m/>
    <n v="100"/>
    <n v="18.18"/>
    <n v="18.18"/>
    <n v="39660"/>
    <n v="3367"/>
    <n v="0"/>
    <n v="43027"/>
    <s v="YB 17"/>
    <s v="2022-11"/>
    <s v="단품불량"/>
    <s v="경고등 점등"/>
    <n v="90000"/>
    <n v="85000"/>
    <n v="36"/>
    <n v="36"/>
    <s v="D19"/>
    <s v="TUNISIA"/>
    <x v="0"/>
    <x v="0"/>
    <s v="컨버터"/>
    <s v="카파(WIA)"/>
    <x v="15"/>
    <s v="2026년"/>
    <s v="1분기"/>
  </r>
  <r>
    <s v="WIA"/>
    <s v="E"/>
    <s v="2026031WA"/>
    <s v="K"/>
    <s v="R151"/>
    <n v="162"/>
    <s v="2026/03"/>
    <s v="D19VA00017D1720642"/>
    <s v="KNADC518AP6782151"/>
    <s v="W"/>
    <s v="H8"/>
    <s v="2853008250"/>
    <s v="CONVERTER ASSY-W/UP CATALYTIC"/>
    <m/>
    <m/>
    <s v="28530R1K"/>
    <s v="ZZ3"/>
    <s v="W17"/>
    <s v="20221207"/>
    <s v="20260209"/>
    <s v="20230303"/>
    <n v="36"/>
    <n v="75968"/>
    <m/>
    <n v="100"/>
    <n v="18.18"/>
    <n v="18.18"/>
    <n v="39660"/>
    <n v="3367"/>
    <n v="0"/>
    <n v="43027"/>
    <s v="YB 17"/>
    <s v="2022-12"/>
    <s v="단품불량"/>
    <s v="경고등 점등"/>
    <n v="80000"/>
    <n v="80000"/>
    <n v="42"/>
    <n v="39"/>
    <s v="D19"/>
    <s v="TUNISIA"/>
    <x v="0"/>
    <x v="0"/>
    <s v="컨버터"/>
    <s v="카파(WIA)"/>
    <x v="15"/>
    <s v="2026년"/>
    <s v="1분기"/>
  </r>
  <r>
    <s v="WIA"/>
    <s v="E"/>
    <s v="2026031WW"/>
    <s v="K"/>
    <s v="R151"/>
    <n v="333"/>
    <s v="2026/03"/>
    <s v="C21VA2212 KM2000175"/>
    <s v="KNAB3519LMT789094"/>
    <s v="W"/>
    <s v="G6"/>
    <s v="2853007301"/>
    <s v="CONVERTER ASSY-W/UP CATALYTIC"/>
    <m/>
    <m/>
    <s v="28530R1K"/>
    <s v="ZZ3"/>
    <s v="W17"/>
    <s v="20210210"/>
    <s v="20260223"/>
    <s v="20210422"/>
    <n v="59"/>
    <n v="53574"/>
    <m/>
    <n v="100"/>
    <n v="18.18"/>
    <n v="18.18"/>
    <n v="249322"/>
    <n v="39056"/>
    <n v="0"/>
    <n v="288378"/>
    <s v="JA 17"/>
    <s v="2021-02"/>
    <s v="단품불량"/>
    <s v="경고등 점등"/>
    <n v="60000"/>
    <n v="55000"/>
    <n v="60"/>
    <n v="60"/>
    <s v="C21"/>
    <s v="UK"/>
    <x v="0"/>
    <x v="0"/>
    <s v="컨버터"/>
    <s v="카파(WIA)"/>
    <x v="15"/>
    <s v="2026년"/>
    <s v="1분기"/>
  </r>
  <r>
    <s v="WIA"/>
    <s v="D"/>
    <s v="2026031WW"/>
    <s v="K"/>
    <s v="R151"/>
    <n v="165"/>
    <s v="2026/03"/>
    <s v="JK03002026W00045200"/>
    <s v="KNANC813BRS419163"/>
    <s v="W"/>
    <s v="HS"/>
    <s v="28610R0100"/>
    <s v="MUFFLER ASSY-FR"/>
    <m/>
    <m/>
    <s v="28610R00"/>
    <s v="ALL"/>
    <s v="B33"/>
    <s v="20240111"/>
    <s v="20260320"/>
    <s v="20240116"/>
    <n v="27"/>
    <n v="20720"/>
    <m/>
    <n v="100"/>
    <n v="25.44"/>
    <n v="25.44"/>
    <n v="16926"/>
    <n v="6360"/>
    <n v="0"/>
    <n v="23286"/>
    <s v="KA4 (YP 카니발 후속) 20"/>
    <s v="2024-01"/>
    <e v="#N/A"/>
    <s v="누기"/>
    <n v="30000"/>
    <n v="25000"/>
    <n v="30"/>
    <n v="30"/>
    <s v="JK0"/>
    <s v="한국"/>
    <x v="8"/>
    <x v="0"/>
    <s v="머플러"/>
    <m/>
    <x v="4"/>
    <s v="2026년"/>
    <s v="1분기"/>
  </r>
  <r>
    <s v="기아"/>
    <s v="D"/>
    <s v="2026041WW"/>
    <s v="K"/>
    <s v="R151"/>
    <n v="1"/>
    <s v="2026/04"/>
    <s v="2040002026W00217000"/>
    <s v="KNAE351ABLS075555"/>
    <s v="W"/>
    <s v="J5"/>
    <s v="285302C840"/>
    <s v="CONVERTER ASSY-W/UP CATALYTIC"/>
    <s v="          "/>
    <s v="[C]1.현상 : 냉간시 주행시 배기가스 다량 발생 주장 2.점검내용 및 원인 : 점검결과 산소센서 데이터및 배기장치 흑색 배연흔적 확인 dpf내 흑점 확인 3.조치내용 : DPF문제로 결론 DPF교환 진행함"/>
    <s v="28530RQ0"/>
    <m/>
    <s v="I14"/>
    <s v="2019/09/09"/>
    <s v="2026/03/31"/>
    <s v="2019/10/14"/>
    <n v="78"/>
    <n v="50441"/>
    <s v="            "/>
    <n v="100"/>
    <n v="25.44"/>
    <n v="25.44"/>
    <n v="159603"/>
    <n v="57367"/>
    <n v="0"/>
    <n v="216970"/>
    <s v="CK 17"/>
    <s v="2019-09"/>
    <e v="#N/A"/>
    <s v="작동불량"/>
    <n v="60000"/>
    <n v="55000"/>
    <s v="≥60"/>
    <s v="≥60"/>
    <s v="204"/>
    <s v="한국"/>
    <x v="0"/>
    <x v="1"/>
    <s v="컨버터"/>
    <s v="쎄타"/>
    <x v="0"/>
    <s v="2026년"/>
    <s v="2분기"/>
  </r>
  <r>
    <s v="기아"/>
    <s v="D"/>
    <s v="2026041WW"/>
    <s v="K"/>
    <s v="R151"/>
    <n v="124"/>
    <s v="2026/04"/>
    <s v="GK17202026W00071900"/>
    <s v="KNARH81GBRA251631"/>
    <s v="W"/>
    <s v="HC"/>
    <s v="28600P4630"/>
    <s v="MUFFLER COMPLETE-CTR"/>
    <s v="          "/>
    <s v="[C]1.현상 : 엔진경고등 점등 2.점검내용 및 원인 : KDS진단시 P047100 배기가스 압력센서 성능 이상 검출 촉매 열화로 인한 중앙 머플러 비정상 소손발생 3.조치내용 : 중앙 머플러 교환"/>
    <s v="28650R1H"/>
    <m/>
    <s v="W11"/>
    <s v="2023/11/08"/>
    <s v="2026/04/22"/>
    <s v="2023/11/13"/>
    <n v="30"/>
    <n v="15865"/>
    <s v="            "/>
    <n v="100"/>
    <n v="25.44"/>
    <n v="25.44"/>
    <n v="68872"/>
    <n v="15111"/>
    <n v="0"/>
    <n v="83983"/>
    <s v="MQ4 20 HEV"/>
    <s v="2023-11"/>
    <e v="#N/A"/>
    <s v="경고등 점등"/>
    <n v="20000"/>
    <n v="20000"/>
    <n v="36"/>
    <n v="33"/>
    <s v="GK1"/>
    <s v="한국"/>
    <x v="1"/>
    <x v="1"/>
    <s v="머플러"/>
    <m/>
    <x v="8"/>
    <s v="2026년"/>
    <s v="2분기"/>
  </r>
  <r>
    <s v="기아"/>
    <s v="D"/>
    <s v="2026041WW"/>
    <s v="K"/>
    <s v="R151"/>
    <n v="125"/>
    <s v="2026/04"/>
    <s v="MX90202026W00008000"/>
    <s v="KNARH81GDSA348525"/>
    <s v="W"/>
    <s v="HC"/>
    <s v="28600P4630"/>
    <s v="MUFFLER COMPLETE-CTR"/>
    <s v="          "/>
    <s v="[C]1.현상 : 엔진 부조 및 출력 저하 발생으로 입고 2.점검내용 및 원인 : 센터 머플러 막힘으로 엔진 부조 및 출력 저하 발 3.조치내용 : 센터 머플러 교환"/>
    <s v="28655R1H"/>
    <m/>
    <s v="DB1"/>
    <s v="2024/10/26"/>
    <s v="2026/04/01"/>
    <s v="2024/10/29"/>
    <n v="18"/>
    <n v="22801"/>
    <s v="            "/>
    <n v="100"/>
    <n v="25.44"/>
    <n v="25.44"/>
    <n v="69549"/>
    <n v="9158"/>
    <n v="0"/>
    <n v="78707"/>
    <s v="MQ4 20 HEV"/>
    <s v="2024-10"/>
    <e v="#N/A"/>
    <s v="엔진 출력부족"/>
    <n v="30000"/>
    <n v="25000"/>
    <n v="24"/>
    <n v="21"/>
    <s v="MX9"/>
    <s v="한국"/>
    <x v="1"/>
    <x v="1"/>
    <s v="머플러"/>
    <m/>
    <x v="8"/>
    <s v="2026년"/>
    <s v="2분기"/>
  </r>
  <r>
    <s v="기아"/>
    <s v="D"/>
    <s v="2026041WW"/>
    <s v="K"/>
    <s v="R151"/>
    <n v="126"/>
    <s v="2026/04"/>
    <s v="FK01302026W00122600"/>
    <s v="KNACP81EGRA096186"/>
    <s v="W"/>
    <s v="0T"/>
    <s v="28601AT100"/>
    <s v="MUFFLER COMPLETE-CTR &amp; SENSOR"/>
    <s v="          "/>
    <s v="[C]1.현상 : 냉각수 과다소모발생으로 입고 2.점검내용 및 원인 : 엔진 육안점검시 누수없음 센터머플러 불량으로 부동액 소모발생판단 3.조치내용 : 센터머플러교환조치함"/>
    <s v="28650R00"/>
    <m/>
    <s v="L31"/>
    <s v="2023/03/24"/>
    <s v="2026/04/08"/>
    <s v="2023/03/27"/>
    <n v="37"/>
    <n v="48002"/>
    <s v="            "/>
    <n v="100"/>
    <n v="25.44"/>
    <n v="25.44"/>
    <n v="46798"/>
    <n v="5838"/>
    <n v="0"/>
    <n v="52636"/>
    <s v="SG2 (니로 후속) 21"/>
    <s v="2023-03"/>
    <e v="#N/A"/>
    <s v="냉각수 문제"/>
    <n v="50000"/>
    <n v="50000"/>
    <n v="42"/>
    <n v="39"/>
    <s v="FK0"/>
    <s v="한국"/>
    <x v="2"/>
    <x v="1"/>
    <s v="머플러"/>
    <m/>
    <x v="2"/>
    <s v="2026년"/>
    <s v="2분기"/>
  </r>
  <r>
    <s v="기아"/>
    <s v="D"/>
    <s v="2026041WW"/>
    <s v="K"/>
    <s v="R151"/>
    <n v="127"/>
    <s v="2026/04"/>
    <s v="CK03202026W00079900"/>
    <s v="KNARL81BGMA040525"/>
    <s v="W"/>
    <s v="GZ"/>
    <s v="28607P2570"/>
    <s v="MUFFLER COMPLETE-CHMBR &amp; CONV"/>
    <s v="          "/>
    <s v="[C]1.현상 : 엔진 경고등 점등 발생으로 입고됨 2.점검내용 및 원인 : 센터컨버터 머플러 불량으로 인해 엔진 경고등 점등 발생으로 컨버터 머플러 아세이 교환후 출고 조치함 3.조치내용 : 컨버터 머플러 아세이 교환후 출고"/>
    <s v="28620R00"/>
    <m/>
    <s v="W11"/>
    <s v="2020/07/31"/>
    <s v="2026/04/09"/>
    <s v="2020/08/03"/>
    <n v="69"/>
    <n v="94206"/>
    <s v="            "/>
    <n v="100"/>
    <n v="25.44"/>
    <n v="25.44"/>
    <n v="55693"/>
    <n v="8395"/>
    <n v="0"/>
    <n v="64088"/>
    <s v="MQ4 20"/>
    <s v="2020-07"/>
    <e v="#N/A"/>
    <s v="경고등 점등"/>
    <n v="100000"/>
    <n v="95000"/>
    <s v="≥60"/>
    <s v="≥60"/>
    <s v="CK0"/>
    <s v="한국"/>
    <x v="3"/>
    <x v="1"/>
    <s v="컨버터"/>
    <s v="MQ4 DPF"/>
    <x v="3"/>
    <s v="2026년"/>
    <s v="2분기"/>
  </r>
  <r>
    <s v="기아"/>
    <s v="D"/>
    <s v="2026041WW"/>
    <s v="K"/>
    <s v="R151"/>
    <n v="128"/>
    <s v="2026/04"/>
    <s v="2030002026W00400600"/>
    <s v="KNANC81BBMS003754"/>
    <s v="W"/>
    <s v="HS"/>
    <s v="28607R0500"/>
    <s v="MUFFLER COMPLETE-CHMBR &amp; CONV"/>
    <s v="          "/>
    <s v="[C]1.현상 : 주행중 백연 및 흑연 발생 및 엔진 이상 소음 고객 주장 (연료 파이프 연료 누유로 타이밍 커버에 연료 들어가 이상 소음으로 주장) 2.점검내용 및 원인 : KDS 점검시 이상 없음, 엔진 시동시 배기가스 색상 특이사항 없음, 이전 타 정비소에서 엔진오일 교환시 연료 파이프 부분 누유로 크리닝 했다고 주장하며 현재로는 누유되지 않음, 발전기 V 벨트 탈거시 해당 엔진 소음 사라지며 V 벨트 회전할때 베어링 돌아갈때 나는 소리로 확인 3.조치내용 : 매연 현상 없고 및 고객이 주장하는 엔진 타이밍 벨트 소리는 V벨트 돌아갈때 풀리류 노후로 인한 소음으로 확인시켜줌"/>
    <s v="99NSTZ0T"/>
    <m/>
    <s v="I73"/>
    <s v="2020/08/21"/>
    <s v="2026/04/09"/>
    <s v="2020/08/24"/>
    <n v="68"/>
    <n v="96188"/>
    <s v="            "/>
    <n v="100"/>
    <n v="25.44"/>
    <n v="25.44"/>
    <n v="0"/>
    <n v="41976"/>
    <n v="0"/>
    <n v="41976"/>
    <s v="KA4 (YP 카니발 후속) 20"/>
    <s v="2020-08"/>
    <e v="#N/A"/>
    <s v="배기가스 문제"/>
    <n v="100000"/>
    <n v="100000"/>
    <s v="≥60"/>
    <s v="≥60"/>
    <s v="203"/>
    <s v="한국"/>
    <x v="3"/>
    <x v="1"/>
    <s v="컨버터"/>
    <s v="KA4 DPF"/>
    <x v="4"/>
    <s v="2026년"/>
    <s v="2분기"/>
  </r>
  <r>
    <s v="기아"/>
    <s v="D"/>
    <s v="2026041WW"/>
    <s v="K"/>
    <s v="R151"/>
    <n v="129"/>
    <s v="2026/04"/>
    <s v="KK00202026W00065100"/>
    <s v="KNANE81BBMS036843"/>
    <s v="W"/>
    <s v="HS"/>
    <s v="28607R0500"/>
    <s v="MUFFLER COMPLETE-CHMBR &amp; CONV"/>
    <s v="          "/>
    <s v="[C]1.현상 : 엔진경고등 점등으로 입고 2.점검내용 및 원인 : DTC: P20EE00 SCR NOx 정화 효율 낮음 과거 고장 표출 리어 프론트 NOx센서 교환 후 동일 코드 발생함. 챔버&amp;컴버트 머플러 이상으로 경고등 발생된것으로 판단됨. 3.조치내용 : 교환 후 고장코드 미발생함."/>
    <s v="28650R00"/>
    <m/>
    <s v="W11"/>
    <s v="2020/11/17"/>
    <s v="2026/04/24"/>
    <s v="2020/11/18"/>
    <n v="66"/>
    <n v="106555"/>
    <s v="            "/>
    <n v="100"/>
    <n v="25.44"/>
    <n v="25.44"/>
    <n v="53973"/>
    <n v="7428"/>
    <n v="0"/>
    <n v="61401"/>
    <s v="KA4 (YP 카니발 후속) 20"/>
    <s v="2020-11"/>
    <e v="#N/A"/>
    <s v="경고등 점등"/>
    <s v="≥100000"/>
    <s v="≥100000"/>
    <s v="≥60"/>
    <s v="≥60"/>
    <s v="KK0"/>
    <s v="한국"/>
    <x v="3"/>
    <x v="1"/>
    <s v="컨버터"/>
    <s v="KA4 DPF"/>
    <x v="4"/>
    <s v="2026년"/>
    <s v="2분기"/>
  </r>
  <r>
    <s v="기아"/>
    <s v="D"/>
    <s v="2026041WW"/>
    <s v="K"/>
    <s v="R151"/>
    <n v="130"/>
    <s v="2026/04"/>
    <s v="MK06202026W00089700"/>
    <s v="KNANE81BBMS037411"/>
    <s v="W"/>
    <s v="HS"/>
    <s v="28607R0500"/>
    <s v="MUFFLER COMPLETE-CHMBR &amp; CONV"/>
    <s v="          "/>
    <s v="[C]1.현상 : 엔진 경고등 점등으로 입고 2.점검내용 및 원인 : KDS 고장 진단시(P20EE00 SCR NOX 정화효율 낮음) SCR 촉매확인시 흑점 발생 3.조치내용 : SCR 촉매 교환 117누3425"/>
    <s v="28620R00"/>
    <m/>
    <s v="W11"/>
    <s v="2020/11/17"/>
    <s v="2026/04/21"/>
    <s v="2020/11/25"/>
    <n v="65"/>
    <n v="83722"/>
    <s v="            "/>
    <n v="100"/>
    <n v="25.44"/>
    <n v="25.44"/>
    <n v="53973"/>
    <n v="9667"/>
    <n v="0"/>
    <n v="63640"/>
    <s v="KA4 (YP 카니발 후속) 20"/>
    <s v="2020-11"/>
    <e v="#N/A"/>
    <s v="경고등 점등"/>
    <n v="90000"/>
    <n v="85000"/>
    <s v="≥60"/>
    <s v="≥60"/>
    <s v="MK0"/>
    <s v="한국"/>
    <x v="3"/>
    <x v="1"/>
    <s v="컨버터"/>
    <s v="KA4 DPF"/>
    <x v="4"/>
    <s v="2026년"/>
    <s v="2분기"/>
  </r>
  <r>
    <s v="기아"/>
    <s v="D"/>
    <s v="2026041WW"/>
    <s v="K"/>
    <s v="R151"/>
    <n v="131"/>
    <s v="2026/04"/>
    <s v="HK05702026W00075400"/>
    <s v="KNANE81BBNS188796"/>
    <s v="W"/>
    <s v="HS"/>
    <s v="28607R0550"/>
    <s v="MUFFLER COMPLETE-CHMBR &amp; CONV"/>
    <s v="          "/>
    <s v="[C]1.현상 : 엔진경고등 점등으로 입고 2.점검내용 및 원인 : 차량 진단기기 점검시 P20EE00 SCR NOX 정화 효율 낮음 고장코드 확인 머플러 챔버&amp;컨버터 불량으로 인한 경고등 점등 확인 3.조치내용 : 머플러 챔버&amp;컨버터 교체"/>
    <s v="28610R00"/>
    <m/>
    <s v="W11"/>
    <s v="2022/03/28"/>
    <s v="2026/04/20"/>
    <s v="2022/03/30"/>
    <n v="49"/>
    <n v="48797"/>
    <s v="            "/>
    <n v="100"/>
    <n v="25.44"/>
    <n v="25.44"/>
    <n v="50618"/>
    <n v="6411"/>
    <n v="0"/>
    <n v="57029"/>
    <s v="KA4 (YP 카니발 후속) 20"/>
    <s v="2022-03"/>
    <e v="#N/A"/>
    <s v="경고등 점등"/>
    <n v="50000"/>
    <n v="50000"/>
    <n v="54"/>
    <n v="51"/>
    <s v="HK0"/>
    <s v="한국"/>
    <x v="3"/>
    <x v="1"/>
    <s v="컨버터"/>
    <s v="KA4 DPF"/>
    <x v="4"/>
    <s v="2026년"/>
    <s v="2분기"/>
  </r>
  <r>
    <s v="기아"/>
    <s v="D"/>
    <s v="2026041WW"/>
    <s v="K"/>
    <s v="R151"/>
    <n v="132"/>
    <s v="2026/04"/>
    <s v="JK42302026W00149100"/>
    <s v="KNANB81BBPS217132"/>
    <s v="W"/>
    <s v="HS"/>
    <s v="28607R0550"/>
    <s v="MUFFLER COMPLETE-CHMBR &amp; CONV"/>
    <s v="          "/>
    <s v="[C]1.현상 : &gt; 엔진 경고등 점등으로 입고 2.점검내용 및 원인 : &gt; 점검 결과 리어 녹스 센서 교체 후에도 P2C7A00 암모니아 흡장량 진단 이상 고장코드 표출 &gt; SCR 어셈블리 내부 불량으로 판단됨 3.조치내용 : &gt; SCR 어셈블리 교환 후 정상 출고함"/>
    <s v="28620R00"/>
    <m/>
    <s v="I14"/>
    <s v="2022/06/22"/>
    <s v="2026/04/28"/>
    <s v="2022/06/29"/>
    <n v="46"/>
    <n v="43991"/>
    <s v="            "/>
    <n v="100"/>
    <n v="25.44"/>
    <n v="25.44"/>
    <n v="50424"/>
    <n v="9731"/>
    <n v="0"/>
    <n v="60155"/>
    <s v="KA4 (YP 카니발 후속) 20"/>
    <s v="2022-06"/>
    <e v="#N/A"/>
    <s v="작동불량"/>
    <n v="50000"/>
    <n v="45000"/>
    <n v="48"/>
    <n v="48"/>
    <s v="JK4"/>
    <s v="한국"/>
    <x v="3"/>
    <x v="1"/>
    <s v="컨버터"/>
    <s v="KA4 DPF"/>
    <x v="4"/>
    <s v="2026년"/>
    <s v="2분기"/>
  </r>
  <r>
    <s v="기아"/>
    <s v="D"/>
    <s v="2026041WW"/>
    <s v="K"/>
    <s v="R151"/>
    <n v="133"/>
    <s v="2026/04"/>
    <s v="GX14402026W00017200"/>
    <s v="KNANE81BBPS234338"/>
    <s v="W"/>
    <s v="HS"/>
    <s v="28607R0550"/>
    <s v="MUFFLER COMPLETE-CHMBR &amp; CONV"/>
    <s v="          "/>
    <s v="[C]1.현상 : 엔진경고등점등으로 입고 2.점검내용 및 원인 : DCT코드 확인시 P200300 DPF효율저하 확인됨 프론트머플러 및 센터머플러 탈거 확인시 컨버터정상이며 센터머플러 내부소손 확인됨 3.조치내용 : 부품교체후 정상 확인후 출고"/>
    <s v="28650R00"/>
    <m/>
    <s v="W11"/>
    <s v="2022/08/24"/>
    <s v="2026/04/02"/>
    <s v="2022/09/07"/>
    <n v="43"/>
    <n v="73928"/>
    <s v="            "/>
    <n v="100"/>
    <n v="25.44"/>
    <n v="25.44"/>
    <n v="50461"/>
    <n v="4681"/>
    <n v="0"/>
    <n v="55142"/>
    <s v="KA4 (YP 카니발 후속) 20"/>
    <s v="2022-08"/>
    <e v="#N/A"/>
    <s v="경고등 점등"/>
    <n v="80000"/>
    <n v="75000"/>
    <n v="48"/>
    <n v="45"/>
    <s v="GX1"/>
    <s v="한국"/>
    <x v="3"/>
    <x v="1"/>
    <s v="컨버터"/>
    <s v="KA4 DPF"/>
    <x v="4"/>
    <s v="2026년"/>
    <s v="2분기"/>
  </r>
  <r>
    <s v="기아"/>
    <s v="D"/>
    <s v="2026041WW"/>
    <s v="K"/>
    <s v="R151"/>
    <n v="134"/>
    <s v="2026/04"/>
    <s v="GX03202026W00044800"/>
    <s v="KNANC81BBPS254146"/>
    <s v="W"/>
    <s v="HS"/>
    <s v="28607R0550"/>
    <s v="MUFFLER COMPLETE-CHMBR &amp; CONV"/>
    <s v="          "/>
    <s v="[C]1.현상 : 주행중 경고등 점등 발생 2.점검내용 및 원인 : 이전 경고등문제로 2025년 타지점에서 NOX후단센서 교환 이력 있음 스캔툴 진단점검 중앙 머플러탈거후 뒤쪽 확인시 검댕이.그을림 현상 있음(일부가루.이물질있음) 3.조치내용 : 챔버&amp;컨버터 어셈블리 교환"/>
    <s v="28650R00"/>
    <m/>
    <s v="W17"/>
    <s v="2022/11/11"/>
    <s v="2026/04/22"/>
    <s v="2022/11/22"/>
    <n v="42"/>
    <n v="106934"/>
    <s v="            "/>
    <n v="100"/>
    <n v="25.44"/>
    <n v="25.44"/>
    <n v="50073"/>
    <n v="4579"/>
    <n v="0"/>
    <n v="54652"/>
    <s v="KA4 (YP 카니발 후속) 20"/>
    <s v="2022-11"/>
    <e v="#N/A"/>
    <s v="경고등 점등"/>
    <s v="≥100000"/>
    <s v="≥100000"/>
    <n v="48"/>
    <n v="45"/>
    <s v="GX0"/>
    <s v="한국"/>
    <x v="3"/>
    <x v="1"/>
    <s v="컨버터"/>
    <s v="KA4 DPF"/>
    <x v="4"/>
    <s v="2026년"/>
    <s v="2분기"/>
  </r>
  <r>
    <s v="기아"/>
    <s v="D"/>
    <s v="2026041WW"/>
    <s v="K"/>
    <s v="R151"/>
    <n v="135"/>
    <s v="2026/04"/>
    <s v="MX00402026W00021900"/>
    <s v="KNANC81BBPS320147"/>
    <s v="W"/>
    <s v="HS"/>
    <s v="28607R0550"/>
    <s v="MUFFLER COMPLETE-CHMBR &amp; CONV"/>
    <s v="          "/>
    <s v="[C]1.현상 : 엔진경고등 점등되어 입고함 2.점검내용 및 원인 : P248300 SCR 전단온도센서 회로 작동범위 성능 잉상 3.조치내용 : DPF강제 재생 후 출고함"/>
    <s v="28610R00"/>
    <m/>
    <s v="W17"/>
    <s v="2023/04/13"/>
    <s v="2026/04/15"/>
    <s v="2023/04/17"/>
    <n v="36"/>
    <n v="109121"/>
    <s v="            "/>
    <n v="100"/>
    <n v="25.44"/>
    <n v="25.44"/>
    <n v="50073"/>
    <n v="4274"/>
    <n v="0"/>
    <n v="54347"/>
    <s v="KA4 (YP 카니발 후속) 20"/>
    <s v="2023-04"/>
    <e v="#N/A"/>
    <s v="경고등 점등"/>
    <s v="≥100000"/>
    <s v="≥100000"/>
    <n v="42"/>
    <n v="39"/>
    <s v="MX0"/>
    <s v="한국"/>
    <x v="3"/>
    <x v="1"/>
    <s v="컨버터"/>
    <s v="KA4 DPF"/>
    <x v="4"/>
    <s v="2026년"/>
    <s v="2분기"/>
  </r>
  <r>
    <s v="기아"/>
    <s v="D"/>
    <s v="2026041WW"/>
    <s v="K"/>
    <s v="R151"/>
    <n v="136"/>
    <s v="2026/04"/>
    <s v="MX00402026W00021200"/>
    <s v="KNANC81BBPS320147"/>
    <s v="W"/>
    <s v="HS"/>
    <s v="28607R0550"/>
    <s v="MUFFLER COMPLETE-CHMBR &amp; CONV"/>
    <s v="          "/>
    <s v="[C]1.현상 : 엔진경고등 점등되어 입고함 2.점검내용 및 원인 : P248300 SCR 전단온도센서 회로 작동범위 성능 잉상 3.조치내용 : DPF강제 재생 후 출고함"/>
    <s v="28950A00"/>
    <m/>
    <s v="W17"/>
    <s v="2023/04/13"/>
    <s v="2026/04/13"/>
    <s v="2023/04/17"/>
    <n v="36"/>
    <n v="109093"/>
    <s v="            "/>
    <n v="100"/>
    <n v="25.44"/>
    <n v="25.44"/>
    <n v="0"/>
    <n v="5342"/>
    <n v="0"/>
    <n v="5342"/>
    <s v="KA4 (YP 카니발 후속) 20"/>
    <s v="2023-04"/>
    <e v="#N/A"/>
    <s v="경고등 점등"/>
    <s v="≥100000"/>
    <s v="≥100000"/>
    <n v="42"/>
    <n v="39"/>
    <s v="MX0"/>
    <s v="한국"/>
    <x v="3"/>
    <x v="1"/>
    <s v="컨버터"/>
    <s v="KA4 DPF"/>
    <x v="4"/>
    <s v="2026년"/>
    <s v="2분기"/>
  </r>
  <r>
    <s v="기아"/>
    <s v="D"/>
    <s v="2026041WW"/>
    <s v="K"/>
    <s v="R151"/>
    <n v="138"/>
    <s v="2026/04"/>
    <s v="2090002026W00842800"/>
    <s v="KNARM81FGTA417246"/>
    <s v="W"/>
    <s v="GZ"/>
    <s v="28650P2960"/>
    <s v="MUFFLER ASSY-CTR"/>
    <s v="          "/>
    <s v="[C]1.현상 : 정차시 배기구에서 헬리콥터 소음 저속 주행중 배기구에서 걸리는 소음과 타는 냄새 2.점검내용 및 원인 : 시스템 점검시 고장 코드 없음 고객 동승하여 시운전 점검시 이음 현상 확인 가속중 특정 RPM에서 떨림음 발생. 배기파이프 불어내기 작업 후에도 소음 지속 발생됨 무부하 가속시 1,900RPM 부근에서 소음 발생 차량 하부에서 점검시 센터파이프 사이렌서 내부 소음으로 판단됨 3.조치내용 : 배기파이프 내부 불량에 의한 소음으로 배기파이프 교환함"/>
    <s v="28650R00"/>
    <m/>
    <s v="Q71"/>
    <s v="2026/03/25"/>
    <s v="2026/04/10"/>
    <s v="2026/03/30"/>
    <n v="1"/>
    <n v="264"/>
    <s v="            "/>
    <n v="100"/>
    <n v="25.44"/>
    <n v="25.44"/>
    <n v="70924"/>
    <n v="4198"/>
    <n v="0"/>
    <n v="75122"/>
    <s v="MQ4 20"/>
    <s v="2026-03"/>
    <e v="#N/A"/>
    <s v="소음"/>
    <n v="10000"/>
    <n v="5000"/>
    <n v="6"/>
    <n v="3"/>
    <s v="209"/>
    <s v="한국"/>
    <x v="1"/>
    <x v="1"/>
    <s v="머플러"/>
    <m/>
    <x v="3"/>
    <s v="2026년"/>
    <s v="2분기"/>
  </r>
  <r>
    <s v="기아"/>
    <s v="D"/>
    <s v="2026041WW"/>
    <s v="K"/>
    <s v="R151"/>
    <n v="139"/>
    <s v="2026/04"/>
    <s v="2540002026W00751800"/>
    <s v="KNACG811BRT379677"/>
    <s v="W"/>
    <s v="A3"/>
    <s v="28710A3550"/>
    <s v="MUFFLER ASSY-RR"/>
    <s v="          "/>
    <s v="[C]1.현상 : 리어 머플러 이음발생으로 입고 점검의뢰함. 2.점검내용 및 원인 : 리어 머플러 이음발생 점검및 하체 점검함. 3.조치내용 : 리어 머플러 이음발생으로 교환처리함."/>
    <s v="28700R00"/>
    <m/>
    <s v="Q55"/>
    <s v="2023/11/27"/>
    <s v="2026/04/21"/>
    <s v="2023/11/29"/>
    <n v="29"/>
    <n v="9517"/>
    <s v="            "/>
    <n v="100"/>
    <n v="25.44"/>
    <n v="25.44"/>
    <n v="20353"/>
    <n v="5597"/>
    <n v="0"/>
    <n v="25950"/>
    <s v="레이 11"/>
    <s v="2023-11"/>
    <e v="#N/A"/>
    <s v="소음"/>
    <n v="10000"/>
    <n v="10000"/>
    <n v="30"/>
    <n v="30"/>
    <s v="254"/>
    <s v="한국"/>
    <x v="4"/>
    <x v="1"/>
    <s v="머플러"/>
    <m/>
    <x v="5"/>
    <s v="2026년"/>
    <s v="2분기"/>
  </r>
  <r>
    <s v="기아"/>
    <s v="D"/>
    <s v="2026041WW"/>
    <s v="K"/>
    <s v="R151"/>
    <n v="140"/>
    <s v="2026/04"/>
    <s v="2150002026W00376600"/>
    <s v="KNACR81EGRA179362"/>
    <s v="W"/>
    <s v="0T"/>
    <s v="28710AT100"/>
    <s v="MUFFLER ASSY-RR"/>
    <s v="          "/>
    <s v="[C]1.현상 : 가속시 주행중 웅웅하는 물림음 발생됨 2.점검내용 및 원인 : 주해ㅐㅇ중 가속시 아이들시 우웅우웅하는 울림 및 떨림음발생됨 주행소음점검 아이들 우우웅하는 이음점검 리어머플러내부 음으로 판단됨 3.조치내용 : 리어머플러 교환"/>
    <s v="99NGOZ0T"/>
    <m/>
    <s v="Q74"/>
    <s v="2024/03/07"/>
    <s v="2026/04/09"/>
    <s v="2024/03/11"/>
    <n v="25"/>
    <n v="59292"/>
    <s v="            "/>
    <n v="100"/>
    <n v="25.44"/>
    <n v="25.44"/>
    <n v="23661"/>
    <n v="11194"/>
    <n v="0"/>
    <n v="34855"/>
    <s v="SG2 (니로 후속) 21"/>
    <s v="2024-03"/>
    <e v="#N/A"/>
    <s v="소음"/>
    <n v="60000"/>
    <n v="60000"/>
    <n v="30"/>
    <n v="27"/>
    <s v="215"/>
    <s v="한국"/>
    <x v="4"/>
    <x v="1"/>
    <s v="머플러"/>
    <m/>
    <x v="2"/>
    <s v="2026년"/>
    <s v="2분기"/>
  </r>
  <r>
    <s v="기아"/>
    <s v="D"/>
    <s v="2026041WW"/>
    <s v="K"/>
    <s v="R151"/>
    <n v="141"/>
    <s v="2026/04"/>
    <s v="2070002026W00455000"/>
    <s v="KNANE81BBSS451169"/>
    <s v="W"/>
    <s v="HS"/>
    <s v="28780R0000"/>
    <s v="HANGER"/>
    <s v="          "/>
    <s v="[C]1.현상 : 주행중 가감속시나 엔진부하시 차체진동이 너무 심하다함. 2.점검내용 및 원인 : 시스템점검및 주행진동및 차체진동점검,엔진 진동및 마운트류점검,흡배기장치및 재안착,마운트류재조정,배기관 위치조정및 시운전점검등 3.조치내용 : 주행 떨림점검및 차체진동 점검결과 엔진부하시 차체진동이 주행중 너무 심한편이여서 마운트류재조정후 미개선되어 행거 개선품교환후 개선되어 설명후 출고함."/>
    <s v="99VGOZ0T"/>
    <m/>
    <s v="V96"/>
    <s v="2024/04/16"/>
    <s v="2026/04/09"/>
    <s v="2024/05/07"/>
    <n v="24"/>
    <n v="25148"/>
    <s v="            "/>
    <n v="100"/>
    <n v="25.44"/>
    <n v="25.44"/>
    <n v="755"/>
    <n v="25186"/>
    <n v="0"/>
    <n v="25941"/>
    <s v="KA4 (YP 카니발 후속) 20"/>
    <s v="2024-04"/>
    <e v="#N/A"/>
    <s v="떨림"/>
    <n v="30000"/>
    <n v="30000"/>
    <n v="30"/>
    <n v="27"/>
    <s v="207"/>
    <s v="한국"/>
    <x v="5"/>
    <x v="1"/>
    <s v="머플러"/>
    <m/>
    <x v="4"/>
    <s v="2026년"/>
    <s v="2분기"/>
  </r>
  <r>
    <s v="기아"/>
    <s v="D"/>
    <s v="2026041WA"/>
    <s v="K"/>
    <s v="R151"/>
    <n v="1"/>
    <s v="2026/02"/>
    <s v="2070002026W00184600"/>
    <s v="KNANE81BBPS380128"/>
    <s v="W"/>
    <s v="HS"/>
    <s v="28780L6000"/>
    <s v="HANGER"/>
    <s v="          "/>
    <s v="[C]1.현상 : 차량 부밍및 진동발생으로 의뢰 2.점검내용 및 원인 : 냉간및 d레인지시 진동 공명발생 확인 에어크리너통 접촉성 확인. 인터쿨러및 머플러 브라켓 확인 머플러 행거 교환진행함 3.조치내용 : 머플러행거 교환"/>
    <s v="28658R00"/>
    <m/>
    <s v="I12"/>
    <s v="2023/08/28"/>
    <s v="2026/02/10"/>
    <s v="2023/09/19"/>
    <n v="29"/>
    <n v="44539"/>
    <s v="            "/>
    <n v="100"/>
    <n v="25.44"/>
    <n v="25.44"/>
    <n v="755"/>
    <n v="4198"/>
    <n v="0"/>
    <n v="4953"/>
    <s v="KA4 (YP 카니발 후속) 20"/>
    <s v="2023-08"/>
    <e v="#N/A"/>
    <s v="작동불량"/>
    <n v="50000"/>
    <n v="45000"/>
    <n v="30"/>
    <n v="30"/>
    <s v="207"/>
    <s v="한국"/>
    <x v="5"/>
    <x v="1"/>
    <s v="머플러"/>
    <m/>
    <x v="4"/>
    <s v="2026년"/>
    <s v="2분기"/>
  </r>
  <r>
    <s v="기아"/>
    <s v="D"/>
    <s v="2026041WA"/>
    <s v="K"/>
    <s v="R151"/>
    <n v="2"/>
    <s v="2026/02"/>
    <s v="DK02802026W00057500"/>
    <s v="KNANE81BBSS483132"/>
    <s v="W"/>
    <s v="HS"/>
    <s v="28780L6000"/>
    <s v="HANGER"/>
    <s v="          "/>
    <s v="[C]1.현상 : 정차시 차량 떨림 문제로 입고 2.점검내용 및 원인 : 시운전 점검시 차체하부에서 떨림 올라옴, 소음기 파이프에서 떨림 발생하여 전달 판단 머플러행거 재질불량으로 변형되어 주행시 마찰소음발생판단 3.조치내용 : 소음기고행거 교체후 정상출고"/>
    <s v="28658R00"/>
    <m/>
    <s v="V82"/>
    <s v="2024/07/13"/>
    <s v="2026/02/02"/>
    <s v="2024/07/15"/>
    <n v="19"/>
    <n v="41800"/>
    <s v="            "/>
    <n v="100"/>
    <n v="25.44"/>
    <n v="25.44"/>
    <n v="1018"/>
    <n v="5838"/>
    <n v="0"/>
    <n v="6856"/>
    <s v="KA4 (YP 카니발 후속) 20"/>
    <s v="2024-07"/>
    <e v="#N/A"/>
    <s v="떨림"/>
    <n v="50000"/>
    <n v="45000"/>
    <n v="24"/>
    <n v="21"/>
    <s v="DK0"/>
    <s v="한국"/>
    <x v="5"/>
    <x v="1"/>
    <s v="머플러"/>
    <m/>
    <x v="4"/>
    <s v="2026년"/>
    <s v="2분기"/>
  </r>
  <r>
    <s v="기아"/>
    <s v="D"/>
    <s v="2026041WA"/>
    <s v="K"/>
    <s v="R151"/>
    <n v="3"/>
    <s v="2026/02"/>
    <s v="2070002026W00220800"/>
    <s v="KNANE81BBSS555781"/>
    <s v="W"/>
    <s v="HS"/>
    <s v="28780L6000"/>
    <s v="HANGER"/>
    <s v="          "/>
    <s v="[C]1.현상 : 주행 중 및 정차시 부밍음 발생으로 입고 2.점검내용 및 원인 : 엔진 진동 발생에 비례하여 부밍음 발생 확인됨. 3.조치내용 : 머플러행거 교환"/>
    <s v="28658R00"/>
    <m/>
    <s v="V73"/>
    <s v="2025/04/16"/>
    <s v="2026/02/23"/>
    <s v="2025/04/16"/>
    <n v="11"/>
    <n v="14518"/>
    <s v="            "/>
    <n v="100"/>
    <n v="25.44"/>
    <n v="25.44"/>
    <n v="755"/>
    <n v="4198"/>
    <n v="0"/>
    <n v="4953"/>
    <s v="KA4 (YP 카니발 후속) 20"/>
    <s v="2025-04"/>
    <e v="#N/A"/>
    <s v="떨림"/>
    <n v="20000"/>
    <n v="15000"/>
    <n v="12"/>
    <n v="12"/>
    <s v="207"/>
    <s v="한국"/>
    <x v="5"/>
    <x v="1"/>
    <s v="머플러"/>
    <m/>
    <x v="4"/>
    <s v="2026년"/>
    <s v="2분기"/>
  </r>
  <r>
    <s v="기아"/>
    <s v="E"/>
    <s v="2026041WW"/>
    <s v="K"/>
    <s v="R151"/>
    <n v="1"/>
    <s v="2026/04"/>
    <s v="D05VA7777733669 000"/>
    <s v="KNCSJY71AS7832954"/>
    <s v="W"/>
    <s v="HD"/>
    <s v="0K60A40100J"/>
    <s v="M/SILENCER ASSY"/>
    <s v="          "/>
    <s v="[C]CHECK THE LOUD NOISE WHILE ACCELERATE. [R]REPLACED DEFECTIVE PARTS [T]AFTER CHECKING FOUND MUFFLER ASSY-MAIN DEFECTIVE"/>
    <s v="28650R00"/>
    <s v="ZZ3"/>
    <s v="Q55"/>
    <s v="2024/12/12"/>
    <s v="2026/04/08"/>
    <s v="2025/04/02"/>
    <n v="13"/>
    <n v="6903"/>
    <s v="            "/>
    <n v="100"/>
    <n v="18.18"/>
    <n v="18.18"/>
    <n v="7902"/>
    <n v="2147"/>
    <n v="0"/>
    <n v="10049"/>
    <s v="봉고3 1톤/1.4톤"/>
    <s v="2024-12"/>
    <s v="단품불량"/>
    <s v="소음"/>
    <n v="10000"/>
    <n v="10000"/>
    <n v="18"/>
    <n v="15"/>
    <s v="D05"/>
    <s v="IRAQ"/>
    <x v="4"/>
    <x v="1"/>
    <s v="머플러"/>
    <m/>
    <x v="1"/>
    <s v="2026년"/>
    <s v="2분기"/>
  </r>
  <r>
    <s v="기아"/>
    <s v="E"/>
    <s v="2026041WW"/>
    <s v="K"/>
    <s v="R151"/>
    <n v="2"/>
    <s v="2026/04"/>
    <s v="B28VAMA026268817000"/>
    <s v="KNDPRCA65J7372788"/>
    <s v="W"/>
    <s v="D9"/>
    <s v="285102G520"/>
    <s v="MODULE ASSY-WCC"/>
    <s v="          "/>
    <s v="[D]CONDITION: Customer States THAT THE CHECK ENGINE LIGHT IS ON AND THERE IS AN AWFUL SMELL COMING FROM EXHAUST CHECK AND ADVISE *$199 diag unless under warranty CAUSE: Scan for code and got P209600-Post Cat Fuel Trim System too lean (Bank 1) History code. tech cleared code and took on test drive. light and code came back. tech ran pinpoint test and found that the Catalyst conver is failing and 02 sensors are bad due to consequential damage from the Cat, Both will need to be replaced. will be cover under the 8/80. CORRECTION: under warranty, tech replaced Catalyst converter and 02 sensors. cleared codes and took on multiple road tests. codes nor light came back. vehicle operating as designed now. under warranty, tech replaced Catalyst converter and 02 sensors. cleared codes and took on multiple road tests. codes nor light came back. vehicle operating as designed now."/>
    <s v="28511R1A"/>
    <s v="ZZ3"/>
    <s v="W17"/>
    <s v="2017/08/10"/>
    <s v="2026/02/19"/>
    <s v="2018/05/14"/>
    <n v="94"/>
    <n v="77646"/>
    <s v="            "/>
    <n v="100"/>
    <n v="18.18"/>
    <n v="18.18"/>
    <n v="194656"/>
    <n v="45647"/>
    <n v="0"/>
    <n v="240303"/>
    <s v="스포티지(후속) 16"/>
    <s v="2017-08"/>
    <s v="단품불량"/>
    <s v="경고등 점등"/>
    <n v="80000"/>
    <n v="80000"/>
    <s v="≥60"/>
    <s v="≥60"/>
    <s v="B28"/>
    <s v="U.S.A"/>
    <x v="0"/>
    <x v="1"/>
    <s v="컨버터"/>
    <s v="쎄타"/>
    <x v="0"/>
    <s v="2026년"/>
    <s v="2분기"/>
  </r>
  <r>
    <s v="기아"/>
    <s v="E"/>
    <s v="2026041WW"/>
    <s v="K"/>
    <s v="R151"/>
    <n v="3"/>
    <s v="2026/04"/>
    <s v="B28VAMA0392659224-B"/>
    <s v="KNDPRCA66K7538964"/>
    <s v="W"/>
    <s v="D9"/>
    <s v="285102G520"/>
    <s v="MODULE ASSY-WCC"/>
    <s v="          "/>
    <s v="[D]CONDITION: CUSTOMER STATES CEL IS BACK ON PREVIOUSLY IN FOR SAME CONCERN REFERENCE RO?S 58404 AND 59142 CUSTOMER WAS ADVISED TO RETURN VEHICLE TO HAVE TECHLINE. CASE OPENED?.PLEASE CHECK AND ADVISE CAUSE: CONFIRMED CHECK ENGINE LIGHT IS ON. FOUND CODES P219600 AND P209600. SMOKED INTAKE SYSTEM AND FOUND NO LEAKS. SMOKED EXHAUST SYSTEM AND FOUND EXCESSIVE SMOKE COMING FROM THE WASTE GAKET LEVER BUSHING. ALSO FOUND SMOKE COMING FROM WHERE THE COVERTER MEETS THE EXHAUST MANIFOLD/TURBO ASSEMBLY. WHERE THEY MEET SEEMS TO BE WARPED FROM HEAT. RECOMMEND TO REPLACE EXHAUST MANIFOLD/TURBO ASSEMBLY ANDCATALYTIC CONVERTER. CORRECTION: REMOVED AND REPLACED BOTH CATALYTIC CONVERTER AND TURBO ASSEMBLY RESET ADAPTIVE VALUES AND PERFORMED TEST DRIVE AND CODES HAVE NOT RETURNED."/>
    <s v="28511R1A"/>
    <s v="ZZ1"/>
    <s v="W17"/>
    <s v="2018/06/29"/>
    <s v="2026/02/25"/>
    <s v="2018/10/12"/>
    <n v="89"/>
    <n v="55442"/>
    <s v="            "/>
    <n v="100"/>
    <n v="18.18"/>
    <n v="18.18"/>
    <n v="182593"/>
    <n v="46227"/>
    <n v="0"/>
    <n v="228820"/>
    <s v="스포티지(후속) 16"/>
    <s v="2018-06"/>
    <s v="설계문제"/>
    <s v="경고등 점등"/>
    <n v="60000"/>
    <n v="60000"/>
    <s v="≥60"/>
    <s v="≥60"/>
    <s v="B28"/>
    <s v="U.S.A"/>
    <x v="0"/>
    <x v="1"/>
    <s v="컨버터"/>
    <s v="쎄타"/>
    <x v="0"/>
    <s v="2026년"/>
    <s v="2분기"/>
  </r>
  <r>
    <s v="기아"/>
    <s v="E"/>
    <s v="2026041WW"/>
    <s v="K"/>
    <s v="R151"/>
    <n v="48"/>
    <s v="2026/04"/>
    <s v="B28VANV0122635094-A"/>
    <s v="KNDCP3LE7T5330484"/>
    <s v="W"/>
    <s v="0T"/>
    <s v="2853008450"/>
    <s v="CONVERTER ASSY-W/UP CATALYTIC"/>
    <s v="경고등 점등"/>
    <s v="[D]CUSTOMER STATES CHECK ENGINE LIGHT IS ON---CHECK AND ADVISE. NEED PWA BEFORE REPAIR. FOUNDDTC P0420 STORED. FOUND CATALYST BEGINNING TO DETERIORATE. REPLACED CATALYS AND RELATED GASKETS. PER DPSM AUTHORIZATION."/>
    <s v="28950R00"/>
    <s v="ZZ7"/>
    <s v="W17"/>
    <s v="2025/09/17"/>
    <s v="2026/03/17"/>
    <s v="2025/11/20"/>
    <n v="4"/>
    <n v="9320"/>
    <s v="            "/>
    <n v="100"/>
    <n v="18.18"/>
    <n v="18.18"/>
    <n v="192053"/>
    <n v="66842"/>
    <n v="0"/>
    <n v="258895"/>
    <s v="SG2 (니로 후속) 21"/>
    <s v="2025-09"/>
    <s v="조립불량,연결불량"/>
    <s v="경고등 점등"/>
    <n v="10000"/>
    <n v="10000"/>
    <n v="6"/>
    <n v="6"/>
    <s v="B28"/>
    <s v="U.S.A"/>
    <x v="0"/>
    <x v="1"/>
    <s v="컨버터"/>
    <s v="카파(KIA)"/>
    <x v="7"/>
    <s v="2026년"/>
    <s v="2분기"/>
  </r>
  <r>
    <s v="기아"/>
    <s v="E"/>
    <s v="2026041WW"/>
    <s v="K"/>
    <s v="R151"/>
    <n v="49"/>
    <s v="2026/04"/>
    <s v="C07VA2640AKM2000086"/>
    <s v="KNACS81FGP5025585"/>
    <s v="W"/>
    <s v="0T"/>
    <s v="2853008460"/>
    <s v="CONVERTER ASSY-W/UP CATALYTIC"/>
    <s v="경고등 점등"/>
    <s v="[C]Motorüberwachung leuchtet Motor keine leistung [R]Katalysator bestellt und erneuert. [T]KDA Test durchgeführt Fehlermeldung Wirkungsgrad Unter Grenzwert Katalysator. Regenerierung nicht möglich 3 mal nach dem starten abgebrochen. Lambdasonden auf Schäden geprüft nichts sichtbar. [L]Reparatur nicht früher möglich da Kunde Krankenhaus Aufenthalt"/>
    <s v="28950R00"/>
    <s v="ZZ4"/>
    <s v="W11"/>
    <s v="2022/06/13"/>
    <s v="2026/03/09"/>
    <s v="2022/09/08"/>
    <n v="43"/>
    <n v="69901"/>
    <s v="            "/>
    <n v="100"/>
    <n v="18.18"/>
    <n v="18.18"/>
    <n v="42797"/>
    <n v="33273"/>
    <n v="0"/>
    <n v="76070"/>
    <s v="SG2 (니로 후속) 21"/>
    <s v="2022-06"/>
    <s v="재질불량"/>
    <s v="경고등 점등"/>
    <n v="70000"/>
    <n v="70000"/>
    <n v="48"/>
    <n v="45"/>
    <s v="C07"/>
    <s v="GERMANY"/>
    <x v="0"/>
    <x v="1"/>
    <s v="컨버터"/>
    <s v="카파(KIA)"/>
    <x v="7"/>
    <s v="2026년"/>
    <s v="2분기"/>
  </r>
  <r>
    <s v="기아"/>
    <s v="E"/>
    <s v="2026041WW"/>
    <s v="K"/>
    <s v="R151"/>
    <n v="50"/>
    <s v="2026/04"/>
    <s v="D06VBIS190KM2000438"/>
    <s v="KNACS81FGP5072857"/>
    <s v="W"/>
    <s v="0T"/>
    <s v="2853008460"/>
    <s v="CONVERTER ASSY-W/UP CATALYTIC"/>
    <s v="경고등 점등"/>
    <s v="[C]לקוח מתלונן כי מנורת מנוע דולקת [R]בוצעה החלפה ממיר קטליטי+אטמים [T]P042000 בבדיקת בסורק תקלות נמצא קוד תקלה נמצא כי יעלות ממיר נמוכה כי ממיר מתפורר"/>
    <s v="28950R00"/>
    <s v="ZZ3"/>
    <s v="W17"/>
    <s v="2022/12/09"/>
    <s v="2026/04/15"/>
    <s v="2023/11/16"/>
    <n v="29"/>
    <n v="107082"/>
    <s v="            "/>
    <n v="100"/>
    <n v="18.18"/>
    <n v="18.18"/>
    <n v="56343"/>
    <n v="10466"/>
    <n v="0"/>
    <n v="66809"/>
    <s v="SG2 (니로 후속) 21"/>
    <s v="2022-12"/>
    <s v="단품불량"/>
    <s v="경고등 점등"/>
    <s v="≥100000"/>
    <s v="≥100000"/>
    <n v="30"/>
    <n v="30"/>
    <s v="D06"/>
    <s v="ISRAEL"/>
    <x v="0"/>
    <x v="1"/>
    <s v="컨버터"/>
    <s v="카파(KIA)"/>
    <x v="7"/>
    <s v="2026년"/>
    <s v="2분기"/>
  </r>
  <r>
    <s v="기아"/>
    <s v="E"/>
    <s v="2026041WW"/>
    <s v="K"/>
    <s v="R151"/>
    <n v="51"/>
    <s v="2026/04"/>
    <s v="B28VACA2832619713-1"/>
    <s v="KNAE25LA5J6033668"/>
    <s v="W"/>
    <s v="J5"/>
    <s v="285302C910"/>
    <s v="CONVERTER ASSY-W/UP CATALYTIC"/>
    <s v="          "/>
    <s v="[D]CUSTOMER STATES CHECK ENGINE LIGHT TURNED ON AND OFF. CHECK AND ADVISE CHECKED AND VERIFIED SCANNED ALL SYSTEMS DTC P042000 CAT CONVERTER EFFICENCY BELOW THRESHOLD******** VERIFIED CONCERN, SCANNED VEHICLE AND FOUND CODE P042000 CATALYST SYSTEM EFFICIENCY BELOW THRESHOLD. DETERMINED UPPER CATALYTIC CONVERTER NEEDS REPLACEMENT. REPLACED CATALYTIC CONVERTER AND TEST DROVE VEHICLE AND NO CHECK ENGINE CODES WERE ON, SCANNED VEHICLE AND NO CODES WERE EVIDENT. NO FURTHER ACTIONNEEDED."/>
    <s v="28530R1A"/>
    <s v="ZZ7"/>
    <s v="W17"/>
    <s v="2018/03/16"/>
    <s v="2026/03/07"/>
    <s v="2018/09/30"/>
    <n v="90"/>
    <n v="118970"/>
    <s v="            "/>
    <n v="100"/>
    <n v="18.18"/>
    <n v="18.18"/>
    <n v="509953"/>
    <n v="97091"/>
    <n v="0"/>
    <n v="607044"/>
    <s v="CK 17"/>
    <s v="2018-03"/>
    <s v="조립불량,연결불량"/>
    <s v="경고등 점등"/>
    <s v="≥100000"/>
    <s v="≥100000"/>
    <s v="≥60"/>
    <s v="≥60"/>
    <s v="B28"/>
    <s v="U.S.A"/>
    <x v="0"/>
    <x v="1"/>
    <s v="컨버터"/>
    <s v="쎄타"/>
    <x v="0"/>
    <s v="2026년"/>
    <s v="2분기"/>
  </r>
  <r>
    <s v="기아"/>
    <s v="E"/>
    <s v="2026041WW"/>
    <s v="K"/>
    <s v="R151"/>
    <n v="52"/>
    <s v="2026/04"/>
    <s v="B28VATN0352629374-A"/>
    <s v="KNAE25LA7K6059609"/>
    <s v="W"/>
    <s v="J5"/>
    <s v="285302C910"/>
    <s v="CONVERTER ASSY-W/UP CATALYTIC"/>
    <s v="          "/>
    <s v="[D]CUSTOMER STATES THAT CAR HAS MUTIPLE WARNING LIGHTS ON DASH, PLEASE CHECK AND ADVISE. TECH INSPECTED FOUND P0420 P0299 P0172 CAT BELOW THRESOLD HOLD FOUND CLOGGED AND MELTED DOWN PWA REQUESTED FOR CAT CONVERTER REPLACED CONVERTER RECHECK ALL GOOD AT THIS TIME"/>
    <s v="28530R4A"/>
    <s v="ZZ3"/>
    <s v="I3T"/>
    <s v="2019/01/08"/>
    <s v="2026/03/30"/>
    <s v="2019/09/21"/>
    <n v="79"/>
    <n v="92091"/>
    <s v="            "/>
    <n v="100"/>
    <n v="18.18"/>
    <n v="18.18"/>
    <n v="510397"/>
    <n v="144912"/>
    <n v="0"/>
    <n v="655309"/>
    <s v="CK 17"/>
    <s v="2019-01"/>
    <s v="단품불량"/>
    <s v="경고등 점등"/>
    <n v="100000"/>
    <n v="95000"/>
    <s v="≥60"/>
    <s v="≥60"/>
    <s v="B28"/>
    <s v="U.S.A"/>
    <x v="0"/>
    <x v="1"/>
    <s v="컨버터"/>
    <s v="쎄타"/>
    <x v="0"/>
    <s v="2026년"/>
    <s v="2분기"/>
  </r>
  <r>
    <s v="기아"/>
    <s v="E"/>
    <s v="2026041WW"/>
    <s v="K"/>
    <s v="R151"/>
    <n v="53"/>
    <s v="2026/04"/>
    <s v="B28VAAZ0422644358-1"/>
    <s v="KNAE15LA9M6089975"/>
    <s v="W"/>
    <s v="J5"/>
    <s v="285302C910"/>
    <s v="CONVERTER ASSY-W/UP CATALYTIC"/>
    <s v="          "/>
    <s v="[D]customer states check engine light is on, please check and advise. verified customers concern. scanned for dtcs and found p0420 for catalyst efficiency. removed the lower exhaust pipe and found loose catalyst material in it. replaced catalytic converter, gaskets and all is working as designed at this time."/>
    <s v="28530R1A"/>
    <s v="ZZ3"/>
    <s v="W17"/>
    <s v="2020/08/13"/>
    <s v="2026/02/27"/>
    <s v="2020/11/11"/>
    <n v="64"/>
    <n v="68126"/>
    <s v="            "/>
    <n v="100"/>
    <n v="18.18"/>
    <n v="18.18"/>
    <n v="510212"/>
    <n v="71127"/>
    <n v="0"/>
    <n v="581339"/>
    <s v="CK 17"/>
    <s v="2020-08"/>
    <s v="단품불량"/>
    <s v="경고등 점등"/>
    <n v="70000"/>
    <n v="70000"/>
    <s v="≥60"/>
    <s v="≥60"/>
    <s v="B28"/>
    <s v="U.S.A"/>
    <x v="0"/>
    <x v="1"/>
    <s v="컨버터"/>
    <s v="쎄타"/>
    <x v="0"/>
    <s v="2026년"/>
    <s v="2분기"/>
  </r>
  <r>
    <s v="기아"/>
    <s v="E"/>
    <s v="2026041WW"/>
    <s v="K"/>
    <s v="R151"/>
    <n v="54"/>
    <s v="2026/04"/>
    <s v="B28VAFL1512632991-D"/>
    <s v="KNDPR3A64L7813748"/>
    <s v="W"/>
    <s v="D9"/>
    <s v="285302GSG0"/>
    <s v="CONVERTER ASSY-W/UP CATALYTIC"/>
    <s v="          "/>
    <s v="[D]CONDITION: *Diagnostic Fee May Apply if Repair is Not Warranty Related (DIAG) [CHECK ENGINE LIGHT ITS ON.] CAUSE: E CORRECTION: 42105 28511RQ0 Diagnostic Tool OperationCASE ASSY-CATALYST0.20H 28530R1ACatalyst Case Assy (Warm Up Catalyst)(Theta Engine), R&amp;1.30H INSPECTED AND FOUND THE DTC P209600 POST CATALYST FUEL TRIM SYSTEM TOO LEAN (BANK 1). THEN THE CATALYTIC CONVERTER WAS REPLACED, BUT THE NUTS CONNECTING IT TO THE TURBO WERE DEFECTIVE AND SEIZED. THEY GOT STUCK AND WOULDN?T LOOSEN EASILY,WHICH MADE THE JOB MORE DIFFICULT AND TIME-CONSUMING. NOW THE SYSTEM IS OPERATING AS DESIGNED. Rosa Martinez on 2026-03-24 12:28 PM with following comments CUSTOMER PROVIDED WITH RENTAL DURING DIAG FOR REPAIR, TIME TO RELASER SEIZED BOLTS TURBOCHARGER, PARTS ORDERED AND TIME FOR REPAIR. Rosa Martinez on 2026-03-24 12:35 PM with following comments CUSTOMER PROVIDED WITH RENTAL DURING DIAG FOR REPAIR, TIME TO RELASER SEIZED BOLTS TURBOCHARGER, PARTS ORDERED AND TIME FOR REPAIR. straig"/>
    <s v="28530R1A"/>
    <s v="ZZ3"/>
    <s v="W17"/>
    <s v="2020/02/07"/>
    <s v="2026/03/12"/>
    <s v="2020/08/23"/>
    <n v="67"/>
    <n v="67368"/>
    <s v="            "/>
    <n v="100"/>
    <n v="18.18"/>
    <n v="18.18"/>
    <n v="231309"/>
    <n v="196302"/>
    <n v="0"/>
    <n v="427611"/>
    <s v="스포티지(후속) 16"/>
    <s v="2020-02"/>
    <s v="단품불량"/>
    <s v="경고등 점등"/>
    <n v="70000"/>
    <n v="70000"/>
    <s v="≥60"/>
    <s v="≥60"/>
    <s v="B28"/>
    <s v="U.S.A"/>
    <x v="0"/>
    <x v="1"/>
    <s v="컨버터"/>
    <s v="쎄타"/>
    <x v="0"/>
    <s v="2026년"/>
    <s v="2분기"/>
  </r>
  <r>
    <s v="기아"/>
    <s v="E"/>
    <s v="2026041WW"/>
    <s v="K"/>
    <s v="R151"/>
    <n v="55"/>
    <s v="2026/04"/>
    <s v="B28VAFL1512632991-N"/>
    <s v="KNDPR3A64L7813748"/>
    <s v="W"/>
    <s v="D9"/>
    <s v="285302GSG0"/>
    <s v="CONVERTER ASSY-W/UP CATALYTIC"/>
    <s v="          "/>
    <s v="[D]CONDITION: *Diagnostic Fee May Apply if Repair is Not Warranty Related (DIAG) [CHECK ENGINE LIGHT ITS ON.] CAUSE: E CORRECTION: 42105 28511RQ0 Diagnostic Tool OperationCASE ASSY-CATALYST0.20H 28530R1ACatalyst Case Assy (Warm Up Catalyst)(Theta Engine), R&amp;1.30H INSPECTED AND FOUND THE DTC P209600 POST CATALYST FUEL TRIM SYSTEM TOO LEAN (BANK 1). THEN THE CATALYTIC CONVERTER WAS REPLACED, BUT THE NUTS CONNECTING IT TO THE TURBO WERE DEFECTIVE AND SEIZED. THEY GOT STUCK AND WOULDN?T LOOSEN EASILY,WHICH MADE THE JOB MORE DIFFICULT AND TIME-CONSUMING. NOW THE SYSTEM IS OPERATING AS DESIGNED. Rosa Martinez on 2026-03-24 12:28 PM with following comments CUSTOMER PROVIDED WITH RENTAL DURING DIAG FOR REPAIR, TIME TO RELASER SEIZED BOLTS TURBOCHARGER, PARTS ORDERED AND TIME FOR REPAIR. Rosa Martinez on 2026-03-24 12:35 PM with following comments CUSTOMER PROVIDED WITH RENTAL DURING DIAG FOR REPAIR, TIME TO RELASER SEIZED BOLTS TURBOCHARGER, PARTS ORDERED AND TIME FOR REPAIR. straig"/>
    <s v="28530RZZ"/>
    <s v="ZZ3"/>
    <s v="W17"/>
    <s v="2020/02/07"/>
    <s v="2026/03/12"/>
    <s v="2020/08/23"/>
    <n v="67"/>
    <n v="67368"/>
    <s v="            "/>
    <n v="100"/>
    <n v="18.18"/>
    <n v="18.18"/>
    <n v="0"/>
    <n v="0"/>
    <n v="96608"/>
    <n v="96608"/>
    <s v="스포티지(후속) 16"/>
    <s v="2020-02"/>
    <s v="단품불량"/>
    <s v="경고등 점등"/>
    <n v="70000"/>
    <n v="70000"/>
    <s v="≥60"/>
    <s v="≥60"/>
    <s v="B28"/>
    <s v="U.S.A"/>
    <x v="0"/>
    <x v="1"/>
    <s v="컨버터"/>
    <s v="쎄타"/>
    <x v="0"/>
    <s v="2026년"/>
    <s v="2분기"/>
  </r>
  <r>
    <s v="기아"/>
    <s v="E"/>
    <s v="2026041WW"/>
    <s v="K"/>
    <s v="R151"/>
    <n v="56"/>
    <s v="2026/04"/>
    <s v="B28VAIL0742632462-4"/>
    <s v="KNDPR3A60L7827274"/>
    <s v="W"/>
    <s v="D9"/>
    <s v="285302GSG0"/>
    <s v="CONVERTER ASSY-W/UP CATALYTIC"/>
    <s v="          "/>
    <s v="[A]Refer to Original claim 32462 4v01. [M] [S]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
    <s v="28530R1A"/>
    <s v="ZZ1"/>
    <s v="I3A"/>
    <s v="2020/03/18"/>
    <s v="2026/02/18"/>
    <s v="2020/05/23"/>
    <n v="69"/>
    <n v="121824"/>
    <s v="            "/>
    <n v="100"/>
    <n v="18.18"/>
    <n v="18.18"/>
    <n v="250206"/>
    <n v="131282"/>
    <n v="0"/>
    <n v="381488"/>
    <s v="스포티지(후속) 16"/>
    <s v="2020-03"/>
    <s v="설계문제"/>
    <s v="경고등 점등"/>
    <s v="≥100000"/>
    <s v="≥100000"/>
    <s v="≥60"/>
    <s v="≥60"/>
    <s v="B28"/>
    <s v="U.S.A"/>
    <x v="0"/>
    <x v="1"/>
    <s v="컨버터"/>
    <s v="쎄타"/>
    <x v="0"/>
    <s v="2026년"/>
    <s v="2분기"/>
  </r>
  <r>
    <s v="기아"/>
    <s v="E"/>
    <s v="2026041WW"/>
    <s v="K"/>
    <s v="R151"/>
    <n v="57"/>
    <s v="2026/04"/>
    <s v="B28VANY1572681877-2"/>
    <s v="KNDPRCA63L7635265"/>
    <s v="W"/>
    <s v="D9"/>
    <s v="285302GSH0"/>
    <s v="CONVERTER ASSY-W/UP CATALYTIC"/>
    <s v="          "/>
    <s v="[A]Chargeback due to not receiving MPR 04/22/2026R2-MPR REVERSAL REQUESTED BY: BRENT SUMMERS CHARGEBACK REVERSED - CURCIOA 05/12/26"/>
    <s v="28530R1A"/>
    <s v="ZZ3"/>
    <s v="W17"/>
    <s v="2019/01/11"/>
    <s v="2026/01/24"/>
    <s v="2019/05/25"/>
    <n v="80"/>
    <n v="68818"/>
    <s v="            "/>
    <n v="100"/>
    <n v="18.18"/>
    <n v="18.18"/>
    <n v="229870"/>
    <n v="84934"/>
    <n v="0"/>
    <n v="314804"/>
    <s v="스포티지(후속) 16"/>
    <s v="2019-01"/>
    <s v="단품불량"/>
    <s v="경고등 점등"/>
    <n v="70000"/>
    <n v="70000"/>
    <s v="≥60"/>
    <s v="≥60"/>
    <s v="B28"/>
    <s v="U.S.A"/>
    <x v="0"/>
    <x v="1"/>
    <s v="컨버터"/>
    <s v="쎄타"/>
    <x v="0"/>
    <s v="2026년"/>
    <s v="2분기"/>
  </r>
  <r>
    <s v="기아"/>
    <s v="E"/>
    <s v="2026041WW"/>
    <s v="K"/>
    <s v="R151"/>
    <n v="58"/>
    <s v="2026/04"/>
    <s v="B28VACA3262508871-1"/>
    <s v="KNDPRCA69L7749402"/>
    <s v="W"/>
    <s v="D9"/>
    <s v="285302GSH0"/>
    <s v="CONVERTER ASSY-W/UP CATALYTIC"/>
    <s v="          "/>
    <s v="[A]Chargeback due to not receiving MPR 05/16/2026"/>
    <s v="28511R1A"/>
    <s v="ZZ4"/>
    <s v="B15"/>
    <s v="2019/08/29"/>
    <s v="2025/05/21"/>
    <s v="2020/07/05"/>
    <n v="59"/>
    <n v="110317"/>
    <s v="            "/>
    <n v="100"/>
    <n v="18.18"/>
    <n v="18.18"/>
    <n v="223576"/>
    <n v="37457"/>
    <n v="0"/>
    <n v="261033"/>
    <s v="스포티지(후속) 16"/>
    <s v="2019-08"/>
    <s v="재질불량"/>
    <s v="조립 불량"/>
    <s v="≥100000"/>
    <s v="≥100000"/>
    <n v="60"/>
    <n v="60"/>
    <s v="B28"/>
    <s v="U.S.A"/>
    <x v="0"/>
    <x v="1"/>
    <s v="컨버터"/>
    <s v="쎄타"/>
    <x v="0"/>
    <s v="2026년"/>
    <s v="2분기"/>
  </r>
  <r>
    <s v="기아"/>
    <s v="E"/>
    <s v="2026041WW"/>
    <s v="K"/>
    <s v="R151"/>
    <n v="59"/>
    <s v="2026/04"/>
    <s v="B28VAMA056260127K-A"/>
    <s v="KNDPRCA62L7765229"/>
    <s v="W"/>
    <s v="D9"/>
    <s v="285302GSH0"/>
    <s v="CONVERTER ASSY-W/UP CATALYTIC"/>
    <s v="          "/>
    <s v="[D]CUSTOMERT STATES THAT THE CEL IS ON, PLEASE CHECK AND ADVISE Foundvehicle with check engine light scanned vehicle vehicle codes are cat converter, and oxygen sensors. Recommend replacing the cat in the oxygen sensors."/>
    <s v="28530R1A"/>
    <s v="ZZ3"/>
    <s v="W17"/>
    <s v="2019/10/08"/>
    <s v="2026/02/14"/>
    <s v="2020/02/22"/>
    <n v="72"/>
    <n v="120626"/>
    <s v="            "/>
    <n v="100"/>
    <n v="18.18"/>
    <n v="18.18"/>
    <n v="240780"/>
    <n v="66493"/>
    <n v="0"/>
    <n v="307273"/>
    <s v="스포티지(후속) 16"/>
    <s v="2019-10"/>
    <s v="단품불량"/>
    <s v="경고등 점등"/>
    <s v="≥100000"/>
    <s v="≥100000"/>
    <s v="≥60"/>
    <s v="≥60"/>
    <s v="B28"/>
    <s v="U.S.A"/>
    <x v="0"/>
    <x v="1"/>
    <s v="컨버터"/>
    <s v="쎄타"/>
    <x v="0"/>
    <s v="2026년"/>
    <s v="2분기"/>
  </r>
  <r>
    <s v="기아"/>
    <s v="E"/>
    <s v="2026041WW"/>
    <s v="K"/>
    <s v="R151"/>
    <n v="60"/>
    <s v="2026/04"/>
    <s v="B28VAIL0882627165-B"/>
    <s v="KNDPRCA62L7816454"/>
    <s v="W"/>
    <s v="D9"/>
    <s v="285302GSH0"/>
    <s v="CONVERTER ASSY-W/UP CATALYTIC"/>
    <s v="          "/>
    <s v="[D]CUSTOMER STATES CHECK ENGINE LIGHT IS ON, NO DIFFERENCE IN DRIVABILITY. Verified customer concern. Used a KDS scan tool to check for DTCs. DTC P0420 Catalyst System Efficiency Below Threshold (Bank 1) is present. Found Check Engine warning light present. Replaced and installedBank 1 Catalytic Converter per manufacturer specifications and verified repairs performed correctedthe customer concern. Vehicle now operating to manufacturer sspecifications.28530R1A 1.3 28530RQ0 .2"/>
    <s v="28530R1A"/>
    <s v="ZZ3"/>
    <s v="W17"/>
    <s v="2020/02/20"/>
    <s v="2026/04/08"/>
    <s v="2020/05/15"/>
    <n v="71"/>
    <n v="87984"/>
    <s v="            "/>
    <n v="100"/>
    <n v="18.18"/>
    <n v="18.18"/>
    <n v="230124"/>
    <n v="107643"/>
    <n v="0"/>
    <n v="337767"/>
    <s v="스포티지(후속) 16"/>
    <s v="2020-02"/>
    <s v="단품불량"/>
    <s v="경고등 점등"/>
    <n v="90000"/>
    <n v="90000"/>
    <s v="≥60"/>
    <s v="≥60"/>
    <s v="B28"/>
    <s v="U.S.A"/>
    <x v="0"/>
    <x v="1"/>
    <s v="컨버터"/>
    <s v="쎄타"/>
    <x v="0"/>
    <s v="2026년"/>
    <s v="2분기"/>
  </r>
  <r>
    <s v="기아"/>
    <s v="E"/>
    <s v="2026041WW"/>
    <s v="K"/>
    <s v="R151"/>
    <n v="62"/>
    <s v="2026/04"/>
    <s v="D26VBTR151KM2000059"/>
    <s v="KNCSJX760R7764870"/>
    <s v="W"/>
    <s v="HD"/>
    <s v="286004E560"/>
    <s v="MUFFLER COMPLETE-CTR"/>
    <s v="          "/>
    <s v="[C]ARIZA LAMBASI YANIYOR KONTROL [R]ARACIN DPF PARTİKÜL FİLTRESİ YENİSİYLE DEGİŞTİ [T]YAPILAN KONTROLLER SONUCUNDA ARACIN MOTOR ARIZA LAMBASININ YANDIGI GÖRÜLDÜ. ARACIN KDS CİHAZINA BAGLANDI . ARACIN ARIZA KODUNA GÖRE KONTROLLERİ YAPILDI. İNCELEMELER SONUCUNDA ARACIN DPF PARTİKÜL FİLTRESİNİN ARIZALI OLDUGU TESPİT EDİLDİ. ARACA DPF JENERASYONU YAPILMAMAKTADİR HATA VERMEKTEDİR. ARAC İL [D]Claime DPF''in iç, dış ve lot numarası fotoğraflarını ekleyiniz."/>
    <s v="28650R00"/>
    <s v="ZZ6"/>
    <s v="W17"/>
    <s v="2024/01/09"/>
    <s v="2026/03/02"/>
    <s v="2024/04/30"/>
    <n v="23"/>
    <n v="53958"/>
    <s v="            "/>
    <n v="100"/>
    <n v="18.18"/>
    <n v="18.18"/>
    <n v="169173"/>
    <n v="4455"/>
    <n v="0"/>
    <n v="173628"/>
    <s v="봉고3 1톤/1.4톤"/>
    <s v="2024-01"/>
    <s v="외부환경 영향 불량"/>
    <s v="경고등 점등"/>
    <n v="60000"/>
    <n v="55000"/>
    <n v="24"/>
    <n v="24"/>
    <s v="D26"/>
    <s v="TURKEY"/>
    <x v="1"/>
    <x v="1"/>
    <s v="컨버터"/>
    <s v="PU SDPF"/>
    <x v="1"/>
    <s v="2026년"/>
    <s v="2분기"/>
  </r>
  <r>
    <s v="기아"/>
    <s v="E"/>
    <s v="2026041WW"/>
    <s v="K"/>
    <s v="R151"/>
    <n v="65"/>
    <s v="2026/04"/>
    <s v="A02VE85165260000042"/>
    <s v="KNAF251CMR5200752"/>
    <s v="W"/>
    <s v="DJ"/>
    <s v="28600M6690"/>
    <s v="MUFFLER COMPLETE-CTR"/>
    <s v="          "/>
    <s v="[C]Check and report rattle from under vehicle when accelerating [R]Carried out replacement of center muffler and gaskets [T]Due to internal baffles loose"/>
    <s v="28650R00"/>
    <s v="ZZ4"/>
    <s v="Q55"/>
    <s v="2024/06/04"/>
    <s v="2026/04/07"/>
    <s v="2024/11/11"/>
    <n v="17"/>
    <n v="13041"/>
    <s v="            "/>
    <n v="100"/>
    <n v="18.18"/>
    <n v="18.18"/>
    <n v="41432"/>
    <n v="8504"/>
    <n v="0"/>
    <n v="49936"/>
    <s v="BD 18"/>
    <s v="2024-06"/>
    <s v="재질불량"/>
    <s v="소음"/>
    <n v="20000"/>
    <n v="15000"/>
    <n v="18"/>
    <n v="18"/>
    <s v="A02"/>
    <s v="AUSTRALIA"/>
    <x v="1"/>
    <x v="1"/>
    <s v="머플러"/>
    <m/>
    <x v="9"/>
    <s v="2026년"/>
    <s v="2분기"/>
  </r>
  <r>
    <s v="기아"/>
    <s v="E"/>
    <s v="2026041WW"/>
    <s v="K"/>
    <s v="R151"/>
    <n v="66"/>
    <s v="2026/04"/>
    <s v="D15VKSAE02027844000"/>
    <s v="KNARG81G6R5322457"/>
    <s v="W"/>
    <s v="HC"/>
    <s v="28600P4610"/>
    <s v="MUFFLER COMPLETE-CTR"/>
    <s v="소음"/>
    <s v="[C]CHECK ENGINE NOISE WHILE ACCELRATION. [R]REPLACED DEFFECTIVE PART. [T]CHECK AND FOUND CENTRE MUFLER ASSY INTERCOMPONNET WEAR OUT DUE WHILE ACCELRATER THE ENGINE IT IS MAKING NOISE."/>
    <s v="28650R1H"/>
    <s v="ZZ2"/>
    <s v="Q51"/>
    <s v="2024/07/09"/>
    <s v="2026/01/04"/>
    <s v="2024/09/30"/>
    <n v="16"/>
    <n v="51202"/>
    <s v="            "/>
    <n v="100"/>
    <n v="18.18"/>
    <n v="18.18"/>
    <n v="32342"/>
    <n v="11746"/>
    <n v="0"/>
    <n v="44088"/>
    <s v="MQ4 20 HEV"/>
    <s v="2024-07"/>
    <s v="파손"/>
    <s v="소음"/>
    <n v="60000"/>
    <n v="55000"/>
    <n v="18"/>
    <n v="18"/>
    <s v="D15"/>
    <s v="SAUDI ARA"/>
    <x v="1"/>
    <x v="1"/>
    <s v="머플러"/>
    <m/>
    <x v="8"/>
    <s v="2026년"/>
    <s v="2분기"/>
  </r>
  <r>
    <s v="기아"/>
    <s v="E"/>
    <s v="2026041WW"/>
    <s v="K"/>
    <s v="R151"/>
    <n v="77"/>
    <s v="2026/04"/>
    <s v="B28VACA1072635636-1"/>
    <s v="KNDRMDJH7S5389605"/>
    <s v="W"/>
    <s v="HC"/>
    <s v="28600P4740"/>
    <s v="MUFFLER COMPLETE-CTR"/>
    <s v="출력부족"/>
    <s v="[D]CUSTOMER STATES CAR BEGAN WITH PROBLEMS ON 1/22 CAR WAS WORKED BY KIA KEARNY MESA. CUSTOMER STATES SHE LEFT PAPER WORK FOR THE SERVICE ON TOP OF THE DASH. STATES WHILE DRIVING TO WORK CAR LOST POWER TO ACCELERATE ON FREEWAY. VEHICLE HAD ODOR COMING IN AND CAR WILL NOT SPEED UP FROM STOP LIKE IT SHOULD EITHER. STATES BOTH CATS GOT REPLACED CHECK AND ADVISE LACK OF ACCELERATION VERIFIED CUSTOMERS CONCERN DURING TEST DRIVE FOUND VEHICLE HAD A LACK OF POWER AND CHECK ENGINE LIGHT CAME ON. SCANNED FOR CODES AND FOUND CODE P042000 CATALYST SYSTEM EFFICIENCYBELOW THRESHOLD. UPON FURTHER INSPECTION FOUND DOWNSTREAM CATALYTIC CONVERTER COMING APART. OPENED TECHLINE CASE # 25896585.THEY ADVISE IN REPLACING CATALYTIC CONVERTER. REPLACED CATALYTIC CONVERTER AND WHILE REPLACING DOWNSTREAM CAT ALSO NOTICED UPSTREAM CAT COMING APART SEE LINE E FOR UPSTREAM CAT REPAIR-PWA#CA1072610077"/>
    <s v="28655R1H"/>
    <s v="ZZ3"/>
    <s v="V91"/>
    <s v="2025/03/11"/>
    <s v="2026/02/13"/>
    <s v="2025/04/30"/>
    <n v="10"/>
    <n v="40360"/>
    <s v="            "/>
    <n v="100"/>
    <n v="18.18"/>
    <n v="18.18"/>
    <n v="110792"/>
    <n v="46533"/>
    <n v="0"/>
    <n v="157325"/>
    <s v="MQ4 20 HEV"/>
    <s v="2025-03"/>
    <s v="단품불량"/>
    <s v="떨림"/>
    <n v="50000"/>
    <n v="45000"/>
    <n v="12"/>
    <n v="12"/>
    <s v="B28"/>
    <s v="U.S.A"/>
    <x v="1"/>
    <x v="1"/>
    <s v="머플러"/>
    <m/>
    <x v="8"/>
    <s v="2026년"/>
    <s v="2분기"/>
  </r>
  <r>
    <s v="기아"/>
    <s v="E"/>
    <s v="2026041WW"/>
    <s v="K"/>
    <s v="R151"/>
    <n v="78"/>
    <s v="2026/04"/>
    <s v="B28VAWA0082613709-A"/>
    <s v="KNDCR3LE5P5033004"/>
    <s v="W"/>
    <s v="0T"/>
    <s v="28601AT600"/>
    <s v="MUFFLER COMPLETE-CTR &amp; SENSOR"/>
    <s v="          "/>
    <s v="[D]CONDITION: CUST STATES THEY THINK THE BATTERY IS LEAKING, THERE IS A SMELL IN THE VEHICLE MAKING THEM SICK. CHECK AND ADVISE CAUSE: HEAT EXCHANGER IS LEAKING COOLANT DUE TOO INTERNAL FAILURE CORRECTION: 48732 TECH INSPECTED COOLANT LEVEL LOW. INSPECTED VEHICLE AND FOUND HEAT EXCHANGER IS LEAKING COOLANT AND NEEDS REPLACED. REPLACED HEAT EXCHANGER AND FILLED WITH PROPER FLUIDS. TEST DROVE TO CONFIRM REPAIR. 28607R00 1.0"/>
    <s v="28607R00"/>
    <s v="ZZ3"/>
    <s v="L31"/>
    <s v="2022/07/08"/>
    <s v="2026/03/31"/>
    <s v="2023/02/02"/>
    <n v="38"/>
    <n v="77971"/>
    <s v="            "/>
    <n v="100"/>
    <n v="18.18"/>
    <n v="18.18"/>
    <n v="64223"/>
    <n v="47177"/>
    <n v="0"/>
    <n v="111400"/>
    <s v="SG2 (니로 후속) 21"/>
    <s v="2022-07"/>
    <s v="단품불량"/>
    <s v="냉각수 문제"/>
    <n v="80000"/>
    <n v="80000"/>
    <n v="42"/>
    <n v="39"/>
    <s v="B28"/>
    <s v="U.S.A"/>
    <x v="2"/>
    <x v="1"/>
    <s v="머플러"/>
    <m/>
    <x v="2"/>
    <s v="2026년"/>
    <s v="2분기"/>
  </r>
  <r>
    <s v="기아"/>
    <s v="E"/>
    <s v="2026041WW"/>
    <s v="K"/>
    <s v="R151"/>
    <n v="79"/>
    <s v="2026/04"/>
    <s v="B28VAWA0082613709-N"/>
    <s v="KNDCR3LE5P5033004"/>
    <s v="W"/>
    <s v="0T"/>
    <s v="28601AT600"/>
    <s v="MUFFLER COMPLETE-CTR &amp; SENSOR"/>
    <s v="          "/>
    <s v="[D]CONDITION: CUST STATES THEY THINK THE BATTERY IS LEAKING, THERE IS A SMELL IN THE VEHICLE MAKING THEM SICK. CHECK AND ADVISE CAUSE: HEAT EXCHANGER IS LEAKING COOLANT DUE TOO INTERNAL FAILURE CORRECTION: 48732 TECH INSPECTED COOLANT LEVEL LOW. INSPECTED VEHICLE AND FOUND HEAT EXCHANGER IS LEAKING COOLANT AND NEEDS REPLACED. REPLACED HEAT EXCHANGER AND FILLED WITH PROPER FLUIDS. TEST DROVE TO CONFIRM REPAIR. 28607R00 1.0"/>
    <s v="28607RZZ"/>
    <s v="ZZ3"/>
    <s v="L31"/>
    <s v="2022/07/08"/>
    <s v="2026/03/31"/>
    <s v="2023/02/02"/>
    <n v="38"/>
    <n v="77971"/>
    <s v="            "/>
    <n v="100"/>
    <n v="18.18"/>
    <n v="18.18"/>
    <n v="0"/>
    <n v="0"/>
    <n v="36228"/>
    <n v="36228"/>
    <s v="SG2 (니로 후속) 21"/>
    <s v="2022-07"/>
    <s v="단품불량"/>
    <s v="냉각수 문제"/>
    <n v="80000"/>
    <n v="80000"/>
    <n v="42"/>
    <n v="39"/>
    <s v="B28"/>
    <s v="U.S.A"/>
    <x v="2"/>
    <x v="1"/>
    <s v="머플러"/>
    <m/>
    <x v="2"/>
    <s v="2026년"/>
    <s v="2분기"/>
  </r>
  <r>
    <s v="기아"/>
    <s v="E"/>
    <s v="2026041WW"/>
    <s v="K"/>
    <s v="R151"/>
    <n v="80"/>
    <s v="2026/04"/>
    <s v="B28VAPA0502652831-3"/>
    <s v="KNDCT3LE0P5047796"/>
    <s v="W"/>
    <s v="0T"/>
    <s v="28601AT600"/>
    <s v="MUFFLER COMPLETE-CTR &amp; SENSOR"/>
    <s v="          "/>
    <s v="[D]CUSTOMER STATES THE VEHICLE IS OVERHEATING AND ALSO HAS MESSAGE ON DASH FOR THAT- VERIFIED CONCERN-FOUND COOLANT LEAKING FROM MUFFLER/HEAT EXCHANGER ASSY-REMOVED AND REPLACED MUFFLER AND ALL NECESSARY 1 TIME USE GASKETS AND BOLTS-FILLED COOLANT AND RECHECKED-OK AT THIS TIME"/>
    <s v="28610R00"/>
    <s v="ZZ3"/>
    <s v="E81"/>
    <s v="2022/09/08"/>
    <s v="2026/04/01"/>
    <s v="2023/03/11"/>
    <n v="37"/>
    <n v="70398"/>
    <s v="            "/>
    <n v="100"/>
    <n v="18.18"/>
    <n v="18.18"/>
    <n v="62179"/>
    <n v="28966"/>
    <n v="0"/>
    <n v="91145"/>
    <s v="SG2 (니로 후속) 21"/>
    <s v="2022-09"/>
    <s v="단품불량"/>
    <s v="냉각수 문제"/>
    <n v="80000"/>
    <n v="75000"/>
    <n v="42"/>
    <n v="39"/>
    <s v="B28"/>
    <s v="U.S.A"/>
    <x v="2"/>
    <x v="1"/>
    <s v="머플러"/>
    <m/>
    <x v="2"/>
    <s v="2026년"/>
    <s v="2분기"/>
  </r>
  <r>
    <s v="기아"/>
    <s v="E"/>
    <s v="2026041WW"/>
    <s v="K"/>
    <s v="R151"/>
    <n v="81"/>
    <s v="2026/04"/>
    <s v="B28VAAZ0472673483-A"/>
    <s v="KNDCR3LE5P5071011"/>
    <s v="W"/>
    <s v="0T"/>
    <s v="28601AT600"/>
    <s v="MUFFLER COMPLETE-CTR &amp; SENSOR"/>
    <s v="          "/>
    <s v="[D]CONDITION: CUSTOMER STATES THERE IS A BURNING SMELL COMING FROM THE FRONT END. SMELLS LIKE COOLANT IS BURNING OFF. HAS NOT NOTICED ANY LEAKS. IS CONCERNED THERE MAY BE A LEAK. CHECK AND ADVISE. INSTALL SPECIAL ORDER PARTS PER PREV RO# 573327 CAUSE: CUSTOMER STATES COOLANT BURNING SMELL COMING FROM VEHICLE WHILE ICE ENGINE IS RUNNING CORRECTION: 24049 CUSTOMER STATES COOLANT BURNING SMELL COMING FROM VEHICLE WHILE ICE ENGINE IS RUNNING VERIFIED THE CUSTOMER S CONCERN OF COOLANT BURNING SMELL. PERFORMED A HEAT EXCHANGER EXAMINATION AND DIAGNOSTIC FINDING THE FOUND COOLANT LEAKING PAST VALVE IN HEAT EXCHANGER INTO EXAHUST CAUSING COOLANT TO BURN IN EXHAUST . FURTHER EXAMINATION FOUND THE HEAT EXCHANGER IS LEAKING AND IS DISTORTED. ACCESSED, REMOVED AND REPLACED THE HEAT EXCHANGER WITH ALL OTHER RELATED NEW SEALS GASKETS AND/OR NON-REUSABLE HARDWARE AND REINSTALLED ALL COMPONENTS REMOVED FOR REPAIRS IN THE REVERSE ORDER OF REMOVAL. REFILLED THE COOLING SYSTEM AND VERIFIED NO AIR POCKETS IN"/>
    <s v="28607R00"/>
    <s v="ZZ3"/>
    <s v="S12"/>
    <s v="2022/12/01"/>
    <s v="2026/03/24"/>
    <s v="2023/02/19"/>
    <n v="38"/>
    <n v="38478"/>
    <s v="            "/>
    <n v="100"/>
    <n v="18.18"/>
    <n v="18.18"/>
    <n v="64772"/>
    <n v="45808"/>
    <n v="0"/>
    <n v="110580"/>
    <s v="SG2 (니로 후속) 21"/>
    <s v="2022-12"/>
    <s v="단품불량"/>
    <s v="냄새과다"/>
    <n v="40000"/>
    <n v="40000"/>
    <n v="42"/>
    <n v="39"/>
    <s v="B28"/>
    <s v="U.S.A"/>
    <x v="2"/>
    <x v="1"/>
    <s v="머플러"/>
    <m/>
    <x v="2"/>
    <s v="2026년"/>
    <s v="2분기"/>
  </r>
  <r>
    <s v="기아"/>
    <s v="E"/>
    <s v="2026041WW"/>
    <s v="K"/>
    <s v="R151"/>
    <n v="82"/>
    <s v="2026/04"/>
    <s v="C07VA2170AKM2000247"/>
    <s v="KNARH81BHP5237099"/>
    <s v="W"/>
    <s v="GZ"/>
    <s v="28607P2580"/>
    <s v="MUFFLER COMPLETE-CHMBR &amp; CONV"/>
    <s v="          "/>
    <s v="[C]Motorkontrollleuchte bleibt an [R]SCR-Katalysator erneuert [T]Fehlerspeicher ausgelesen, Verkabelung und Stecker geprüft - i.O., SCR-Katalysator endoskopiert, interner Schaden im SCR-Katalysator [D]24.04. Hier können maximal 2 Tage Ersatzwagen übernommen werden."/>
    <s v="28620R00"/>
    <s v="ZZ2"/>
    <s v="W11"/>
    <s v="2023/07/18"/>
    <s v="2026/04/20"/>
    <s v="2023/09/29"/>
    <n v="31"/>
    <n v="28949"/>
    <s v="            "/>
    <n v="100"/>
    <n v="18.18"/>
    <n v="18.18"/>
    <n v="93921"/>
    <n v="16823"/>
    <n v="27659"/>
    <n v="138403"/>
    <s v="MQ4 20"/>
    <s v="2023-07"/>
    <s v="파손"/>
    <s v="경고등 점등"/>
    <n v="30000"/>
    <n v="30000"/>
    <n v="36"/>
    <n v="33"/>
    <s v="C07"/>
    <s v="GERMANY"/>
    <x v="3"/>
    <x v="1"/>
    <s v="컨버터"/>
    <s v="MQ4 DPF"/>
    <x v="3"/>
    <s v="2026년"/>
    <s v="2분기"/>
  </r>
  <r>
    <s v="기아"/>
    <s v="E"/>
    <s v="2026041WW"/>
    <s v="K"/>
    <s v="R151"/>
    <n v="83"/>
    <s v="2026/04"/>
    <s v="C26VAHG990KM2000095"/>
    <s v="KNARH81BHS5272888"/>
    <s v="W"/>
    <s v="GZ"/>
    <s v="28607P2580"/>
    <s v="MUFFLER COMPLETE-CHMBR &amp; CONV"/>
    <s v="          "/>
    <s v="[C]Ellenőrizze a karbamid rendszer hibaüzenet a műszerfalon, mil lámpa világít [R]katalizátor és nox csere elvégzése [T]Több DTC hiba a katalizátor és nox hibás működésre hibás működésére, katalizátor hatás fog alacsony, cseréje szükséges, 3-as nox érzékelő 46ppm-t mutat miközben a 2-es 12ppm-t, az 1-es meg 4 ppm-t. 3-as nox csere és katalizátor csere szükséges [L]potolva a friss munkalap. FS0413 [D]ok.HG0319 A munkalapról hiányzik az átadás dokumentációja, kérlek pótold. 0410SZE"/>
    <s v="29650R0A"/>
    <s v="ZZ3"/>
    <s v="W11"/>
    <s v="2024/01/18"/>
    <s v="2026/03/18"/>
    <s v="2024/05/10"/>
    <n v="23"/>
    <n v="74186"/>
    <s v="            "/>
    <n v="100"/>
    <n v="18.18"/>
    <n v="18.18"/>
    <n v="117480"/>
    <n v="16517"/>
    <n v="0"/>
    <n v="133997"/>
    <s v="MQ4 20"/>
    <s v="2024-01"/>
    <s v="단품불량"/>
    <s v="경고등 점등"/>
    <n v="80000"/>
    <n v="75000"/>
    <n v="24"/>
    <n v="24"/>
    <s v="C26"/>
    <s v="HUNGARY"/>
    <x v="3"/>
    <x v="1"/>
    <s v="컨버터"/>
    <s v="MQ4 DPF"/>
    <x v="3"/>
    <s v="2026년"/>
    <s v="2분기"/>
  </r>
  <r>
    <s v="기아"/>
    <s v="E"/>
    <s v="2026041WW"/>
    <s v="K"/>
    <s v="R151"/>
    <n v="84"/>
    <s v="2026/04"/>
    <s v="B22VB00000AU-306099"/>
    <s v="KNAB2512ATT367159"/>
    <s v="W"/>
    <s v="G6"/>
    <s v="28610G6BA0"/>
    <s v="MUFFLER ASSY-FR"/>
    <s v="          "/>
    <s v="[C]Cliente reporta ruido en la parte inferior del auto . [R]Cambio de tuberia de escape . [T]Se procede revisar encontrando que la tuberia de escape tiene degaste prematuro , provocando ruido anomalo ."/>
    <s v="28610R00"/>
    <s v="ZZ2"/>
    <s v="Q55"/>
    <s v="2025/03/06"/>
    <s v="2026/03/31"/>
    <s v="2025/05/29"/>
    <n v="11"/>
    <n v="31674"/>
    <s v="            "/>
    <n v="100"/>
    <n v="18.18"/>
    <n v="18.18"/>
    <n v="13842"/>
    <n v="3456"/>
    <n v="0"/>
    <n v="17298"/>
    <s v="JA 17"/>
    <s v="2025-03"/>
    <s v="파손"/>
    <s v="소음"/>
    <n v="40000"/>
    <n v="35000"/>
    <n v="12"/>
    <n v="12"/>
    <s v="B22"/>
    <s v="PANAMA"/>
    <x v="8"/>
    <x v="1"/>
    <s v="머플러"/>
    <m/>
    <x v="6"/>
    <s v="2026년"/>
    <s v="2분기"/>
  </r>
  <r>
    <s v="기아"/>
    <s v="E"/>
    <s v="2026041WW"/>
    <s v="K"/>
    <s v="R151"/>
    <n v="85"/>
    <s v="2026/04"/>
    <s v="B22VB00000AU-307457"/>
    <s v="KNAB2512ATT367000"/>
    <s v="W"/>
    <s v="G6"/>
    <s v="28610G6BA0"/>
    <s v="MUFFLER ASSY-FR"/>
    <s v="          "/>
    <s v="[C]Cliente reporta ruido al ir en marcha y acelerarlo . [R]Cambio de tubería de escape . [T]Se procede revisar encontrando que el ruido viene de flexible de la tuberia de escape , degaste prematuro . [L]PEDIDO ESPECIAL 093593 FLEXIBLE"/>
    <s v="28610R00"/>
    <s v="ZZ2"/>
    <s v="Q55"/>
    <s v="2025/03/07"/>
    <s v="2026/02/23"/>
    <s v="2025/06/20"/>
    <n v="9"/>
    <n v="28243"/>
    <s v="            "/>
    <n v="100"/>
    <n v="18.18"/>
    <n v="18.18"/>
    <n v="13842"/>
    <n v="3456"/>
    <n v="0"/>
    <n v="17298"/>
    <s v="JA 17"/>
    <s v="2025-03"/>
    <s v="파손"/>
    <s v="소음"/>
    <n v="30000"/>
    <n v="30000"/>
    <n v="12"/>
    <n v="12"/>
    <s v="B22"/>
    <s v="PANAMA"/>
    <x v="8"/>
    <x v="1"/>
    <s v="머플러"/>
    <m/>
    <x v="6"/>
    <s v="2026년"/>
    <s v="2분기"/>
  </r>
  <r>
    <s v="기아"/>
    <s v="E"/>
    <s v="2026041WW"/>
    <s v="K"/>
    <s v="R151"/>
    <n v="86"/>
    <s v="2026/04"/>
    <s v="E45VAEVA09KM2001638"/>
    <s v="KNAB351AAST339318"/>
    <s v="W"/>
    <s v="G6"/>
    <s v="28641C8427"/>
    <s v="CLAMP-EXHAUST PIPE"/>
    <s v="          "/>
    <e v="#N/A"/>
    <s v="28650R00"/>
    <s v="ZZ3"/>
    <s v="Q75"/>
    <s v="2024/12/13"/>
    <s v="2026/04/09"/>
    <s v="2025/03/21"/>
    <n v="13"/>
    <n v="16314"/>
    <s v="            "/>
    <n v="100"/>
    <n v="18.18"/>
    <n v="18.18"/>
    <n v="33330"/>
    <n v="5807"/>
    <n v="0"/>
    <n v="39137"/>
    <s v="JA 17"/>
    <s v="2024-12"/>
    <s v="단품불량"/>
    <s v="소음"/>
    <n v="20000"/>
    <n v="20000"/>
    <n v="18"/>
    <n v="15"/>
    <s v="E45"/>
    <s v="CANARY IS."/>
    <x v="9"/>
    <x v="1"/>
    <s v="머플러"/>
    <m/>
    <x v="6"/>
    <s v="2026년"/>
    <s v="2분기"/>
  </r>
  <r>
    <s v="기아"/>
    <s v="E"/>
    <s v="2026041WW"/>
    <s v="K"/>
    <s v="R151"/>
    <n v="100"/>
    <s v="2026/04"/>
    <s v="B28VANY073263821002"/>
    <s v="KNDRHDLGXP5188703"/>
    <s v="W"/>
    <s v="HC"/>
    <s v="28650P4600"/>
    <s v="MUFFLER ASSY-CTR"/>
    <s v="경고등 점등"/>
    <s v="[D]customer states check engine light is on. code p006800 check and advise. verified light on and codeactive. viewed freeze frame data and found occured 3 seconds afterstart up and egr temps reading -40 for 3 sensors, seen coolant resivior low, inspected system and found coolant leaking from the exhaust recirc valve. replaced exhaust egr assembly , had to cut off exISting exhaust to save cat converter. added clamp and reinstalled all with new gaskets and then performed coolant bleeding procedure. cleared code retEstED all ok now no further concerns. alldata pays .7- customer was in a sslp loaner during duration of repairs. 12 days at $37.00/day. Muffler was not available from kia. had to get the part from another dealer after waiting for awhile on kia to get us one."/>
    <s v="28610R00"/>
    <s v="ZZ1"/>
    <s v="B23"/>
    <s v="2023/03/29"/>
    <s v="2026/01/02"/>
    <s v="2023/06/05"/>
    <n v="31"/>
    <n v="40931"/>
    <s v="            "/>
    <n v="100"/>
    <n v="18.18"/>
    <n v="18.18"/>
    <n v="53338"/>
    <n v="21978"/>
    <n v="0"/>
    <n v="75316"/>
    <s v="MQ4 20 HEV"/>
    <s v="2023-03"/>
    <s v="설계문제"/>
    <s v="누기"/>
    <n v="50000"/>
    <n v="45000"/>
    <n v="36"/>
    <n v="33"/>
    <s v="B28"/>
    <s v="U.S.A"/>
    <x v="1"/>
    <x v="1"/>
    <s v="머플러"/>
    <m/>
    <x v="8"/>
    <s v="2026년"/>
    <s v="2분기"/>
  </r>
  <r>
    <s v="기아"/>
    <s v="E"/>
    <s v="2026041WW"/>
    <s v="K"/>
    <s v="R151"/>
    <n v="102"/>
    <s v="2026/04"/>
    <s v="B28VA9202 2682554-8"/>
    <s v="KNDRHDLG7P5202119"/>
    <s v="W"/>
    <s v="HC"/>
    <s v="28650P4600"/>
    <s v="MUFFLER ASSY-CTR"/>
    <s v="냉각수 누수"/>
    <s v="[D]CONDITION: CUSTOMER STATES VEHICLE IS OVERHEATING CAUSE: OVERHEATING CORRECTION: 27283 OVERHEATING 160 VERIFIED THE CUSTOMER S CONCERN OF OVER HEATING. RAISED THE VEHICLE AND PERFORMED A VISUAL INSPECTION. FURTHER EXAMINATION FOUND THE HEATER EXHAUST PIPE IS LEAKING. ACCESSED AND CUT TO REMOVED ANDREPLACED HEATER EXHAUST PIPE. THE SYSTEM IS NOW OPERATING AS DESIGNED."/>
    <m/>
    <s v="C99"/>
    <s v="N99"/>
    <s v="2023/05/12"/>
    <s v="2026/03/26"/>
    <s v="2023/09/30"/>
    <n v="30"/>
    <n v="43653"/>
    <s v="            "/>
    <n v="100"/>
    <n v="18.18"/>
    <n v="18.18"/>
    <n v="0"/>
    <n v="0"/>
    <n v="38198"/>
    <n v="38198"/>
    <s v="MQ4 20 HEV"/>
    <s v="2023-05"/>
    <s v="기타"/>
    <e v="#N/A"/>
    <n v="50000"/>
    <n v="45000"/>
    <n v="36"/>
    <n v="33"/>
    <s v="B28"/>
    <s v="U.S.A"/>
    <x v="1"/>
    <x v="1"/>
    <s v="머플러"/>
    <m/>
    <x v="8"/>
    <s v="2026년"/>
    <s v="2분기"/>
  </r>
  <r>
    <s v="기아"/>
    <s v="E"/>
    <s v="2026041WW"/>
    <s v="K"/>
    <s v="R151"/>
    <n v="103"/>
    <s v="2026/04"/>
    <s v="B28VANY1562642293-A"/>
    <s v="KNDRHDLG7P5202119"/>
    <s v="W"/>
    <s v="HC"/>
    <s v="28650P4600"/>
    <s v="MUFFLER ASSY-CTR"/>
    <s v="냉각수 누수"/>
    <s v="[D]CONDITION: CUSTOMER STATES VEHICLE IS OVERHEATING CAUSE: OVERHEATING CORRECTION: 27283 OVERHEATING 160 VERIFIED THE CUSTOMER S CONCERN OF OVER HEATING. RAISED THE VEHICLE AND PERFORMED A VISUAL INSPECTION. FURTHER EXAMINATION FOUND THE HEATER EXHAUST PIPE IS LEAKING. ACCESSED AND CUT TO REMOVED ANDREPLACED HEATER EXHAUST PIPE. THE SYSTEM IS NOW OPERATING AS DESIGNED."/>
    <s v="28650R1H"/>
    <s v="ZZ3"/>
    <s v="Q57"/>
    <s v="2023/05/12"/>
    <s v="2026/03/28"/>
    <s v="2023/09/30"/>
    <n v="30"/>
    <n v="43653"/>
    <s v="            "/>
    <n v="100"/>
    <n v="18.18"/>
    <n v="18.18"/>
    <n v="52757"/>
    <n v="38283"/>
    <n v="0"/>
    <n v="91040"/>
    <s v="MQ4 20 HEV"/>
    <s v="2023-05"/>
    <s v="단품불량"/>
    <s v="소음"/>
    <n v="50000"/>
    <n v="45000"/>
    <n v="36"/>
    <n v="33"/>
    <s v="B28"/>
    <s v="U.S.A"/>
    <x v="1"/>
    <x v="1"/>
    <s v="머플러"/>
    <m/>
    <x v="8"/>
    <s v="2026년"/>
    <s v="2분기"/>
  </r>
  <r>
    <s v="기아"/>
    <s v="E"/>
    <s v="2026041WW"/>
    <s v="K"/>
    <s v="R151"/>
    <n v="104"/>
    <s v="2026/04"/>
    <s v="D26VBTR021KM2001258"/>
    <s v="KNARH81GDP5190790"/>
    <s v="W"/>
    <s v="HC"/>
    <s v="28650P4670"/>
    <s v="MUFFLER ASSY-CTR"/>
    <s v="냉각수 누수"/>
    <e v="#N/A"/>
    <s v="28650R1H"/>
    <s v="ZZ4"/>
    <s v="L31"/>
    <s v="2023/04/04"/>
    <s v="2026/03/12"/>
    <s v="2023/05/31"/>
    <n v="34"/>
    <n v="58764"/>
    <s v="            "/>
    <n v="100"/>
    <n v="18.18"/>
    <n v="18.18"/>
    <n v="62194"/>
    <n v="10023"/>
    <n v="10780"/>
    <n v="82997"/>
    <s v="MQ4 20 HEV"/>
    <s v="2023-04"/>
    <s v="재질불량"/>
    <s v="냉각수 문제"/>
    <n v="60000"/>
    <n v="60000"/>
    <n v="36"/>
    <n v="36"/>
    <s v="D26"/>
    <s v="TURKEY"/>
    <x v="1"/>
    <x v="1"/>
    <s v="머플러"/>
    <m/>
    <x v="8"/>
    <s v="2026년"/>
    <s v="2분기"/>
  </r>
  <r>
    <s v="기아"/>
    <s v="E"/>
    <s v="2026041WW"/>
    <s v="K"/>
    <s v="R151"/>
    <n v="105"/>
    <s v="2026/04"/>
    <s v="E37VASA219KM2000075"/>
    <s v="KNCSHX76LS7821969"/>
    <s v="W"/>
    <s v="HD"/>
    <s v="287004E740"/>
    <s v="MUFFLER ASSY-MAIN"/>
    <s v="          "/>
    <s v="[C]Customer states sounds like exhaust is leaking haroun [R]Remove and replace the exhaust muffler were the seam has opened with a sealed unit [T]Checked and confirmed that the noise is coming from the exhaust muffler were the seam on the box has opened &amp; releasing exhaust fumes and sound//vdn260309003I [L]10000km@10803km(03/01/2026)-20000km@20646km(09/03/2026)"/>
    <s v="28600R00"/>
    <s v="ZZ7"/>
    <s v="H23"/>
    <s v="2024/10/02"/>
    <s v="2026/03/09"/>
    <s v="2025/09/30"/>
    <n v="6"/>
    <n v="20646"/>
    <s v="            "/>
    <n v="100"/>
    <n v="18.18"/>
    <n v="18.18"/>
    <n v="31528"/>
    <n v="7036"/>
    <n v="0"/>
    <n v="38564"/>
    <s v="봉고3 1톤/1.4톤"/>
    <s v="2024-10"/>
    <s v="조립불량,연결불량"/>
    <s v="냄새과다"/>
    <n v="30000"/>
    <n v="25000"/>
    <n v="12"/>
    <n v="9"/>
    <s v="E37"/>
    <s v="SOUTH AFRICA"/>
    <x v="4"/>
    <x v="1"/>
    <s v="머플러"/>
    <m/>
    <x v="1"/>
    <s v="2026년"/>
    <s v="2분기"/>
  </r>
  <r>
    <s v="기아"/>
    <s v="E"/>
    <s v="2026041WW"/>
    <s v="K"/>
    <s v="R151"/>
    <n v="106"/>
    <s v="2026/04"/>
    <s v="A38VA00000MV038953 "/>
    <s v="KNAB2511BRT241272"/>
    <s v="W"/>
    <s v="G6"/>
    <s v="28710G6100"/>
    <s v="MUFFLER ASSY-RR"/>
    <s v="          "/>
    <s v="[C]BRUIT ANORMAL AU ROULAGE PROVENANT DE L'ECHAPPEMENT [R]REMPLACEMENT LIGNE ECHAPPEMENT ARRIERE [T]DEFAUT D'ETANCHEITE LIGNE ECHAPPEMENT ARRIERE"/>
    <s v="28700R00"/>
    <s v="ZZ3"/>
    <s v="B1E"/>
    <s v="2024/03/19"/>
    <s v="2026/04/14"/>
    <s v="2024/05/31"/>
    <n v="23"/>
    <n v="15798"/>
    <s v="            "/>
    <n v="100"/>
    <n v="18.18"/>
    <n v="18.18"/>
    <n v="12044"/>
    <n v="4186"/>
    <n v="0"/>
    <n v="16230"/>
    <s v="JA 17"/>
    <s v="2024-03"/>
    <s v="단품불량"/>
    <s v="조립 불량"/>
    <n v="20000"/>
    <n v="20000"/>
    <n v="24"/>
    <n v="24"/>
    <s v="A38"/>
    <s v="TAHITI"/>
    <x v="4"/>
    <x v="1"/>
    <s v="머플러"/>
    <m/>
    <x v="6"/>
    <s v="2026년"/>
    <s v="2분기"/>
  </r>
  <r>
    <s v="기아"/>
    <s v="E"/>
    <s v="2026041WW"/>
    <s v="K"/>
    <s v="R151"/>
    <n v="107"/>
    <s v="2026/04"/>
    <s v="C17VCB0559KM2000078"/>
    <s v="KNAB2518APT129237"/>
    <s v="W"/>
    <s v="G6"/>
    <s v="28710G6200"/>
    <s v="MUFFLER ASSY-RR"/>
    <s v="          "/>
    <s v="[C]EL CLIENTE COMENTA RUIDO EN EL ESCAPE [R]SUSTITUIR SILENCIOSO FINAL POR FALLO INTERNO [T]CONFIRMAMOS QUEJA, REALIZAMOS INSPECCION VISUAL SIN OBSERVAR NINGUN DEFECTO. DESMONTAMOS SISTEMA ESCAPE Y OBSERVAMOS CUERPO EXTRAÑO INTERNO RESULTANDO SER DESPRENDIMIENTO DE LA SOLDADURA INTERNA."/>
    <s v="28700R00"/>
    <s v="ZZ3"/>
    <s v="Q51"/>
    <s v="2023/04/28"/>
    <s v="2026/03/23"/>
    <s v="2023/06/26"/>
    <n v="33"/>
    <n v="20264"/>
    <s v="            "/>
    <n v="100"/>
    <n v="18.18"/>
    <n v="18.18"/>
    <n v="9669"/>
    <n v="6792"/>
    <n v="0"/>
    <n v="16461"/>
    <s v="JA 17"/>
    <s v="2023-04"/>
    <s v="단품불량"/>
    <s v="소음"/>
    <n v="30000"/>
    <n v="25000"/>
    <n v="36"/>
    <n v="36"/>
    <s v="C17"/>
    <s v="SPAIN"/>
    <x v="4"/>
    <x v="1"/>
    <s v="머플러"/>
    <m/>
    <x v="6"/>
    <s v="2026년"/>
    <s v="2분기"/>
  </r>
  <r>
    <s v="기아"/>
    <s v="E"/>
    <s v="2026041WW"/>
    <s v="K"/>
    <s v="R151"/>
    <n v="108"/>
    <s v="2026/04"/>
    <s v="B18VA00001SP-3689  "/>
    <s v="KNCWJX72AS7809256"/>
    <s v="W"/>
    <s v="HD"/>
    <s v="287504E960"/>
    <s v="MUFFLER ASSY-TAIL"/>
    <s v="          "/>
    <s v="[C]Customer reported an abnormal noise coming from the underbody. [R]Fluid damage parts. [T]Technician verified that the exhaust pipe hose was broken, and during the diagnosis found that the power steering cap was leaking fluid. [L]Has been added cleaner product in sublet section."/>
    <s v="40700R00"/>
    <s v="ZZ2"/>
    <s v="A32"/>
    <s v="2024/07/18"/>
    <s v="2026/04/16"/>
    <s v="2024/09/30"/>
    <n v="19"/>
    <n v="25237"/>
    <s v="            "/>
    <n v="100"/>
    <n v="18.18"/>
    <n v="18.18"/>
    <n v="7565"/>
    <n v="1073"/>
    <n v="1784"/>
    <n v="10422"/>
    <s v="봉고3 1톤/1.4톤"/>
    <s v="2024-07"/>
    <s v="파손"/>
    <s v="외관 불량"/>
    <n v="30000"/>
    <n v="30000"/>
    <n v="24"/>
    <n v="21"/>
    <s v="B18"/>
    <s v="HONDURAS"/>
    <x v="6"/>
    <x v="1"/>
    <s v="머플러"/>
    <m/>
    <x v="1"/>
    <s v="2026년"/>
    <s v="2분기"/>
  </r>
  <r>
    <s v="기아"/>
    <s v="E"/>
    <s v="2026041WW"/>
    <s v="K"/>
    <s v="R151"/>
    <n v="109"/>
    <s v="2026/04"/>
    <s v="B18VA00001SP-3714  "/>
    <s v="KNCWJX72AT7864191"/>
    <s v="W"/>
    <s v="HD"/>
    <s v="287504E960"/>
    <s v="MUFFLER ASSY-TAIL"/>
    <s v="          "/>
    <s v="[C]Customer reported an abnormal noise from the underbody. [R]Replace damage part. [T]Technician verified that the exhaust tile pipe was broken."/>
    <s v="40700R00"/>
    <s v="ZZ2"/>
    <s v="A32"/>
    <s v="2025/05/14"/>
    <s v="2026/04/24"/>
    <s v="2025/07/21"/>
    <n v="10"/>
    <n v="15535"/>
    <s v="            "/>
    <n v="100"/>
    <n v="18.18"/>
    <n v="18.18"/>
    <n v="7396"/>
    <n v="644"/>
    <n v="0"/>
    <n v="8040"/>
    <s v="봉고3 1톤/1.4톤"/>
    <s v="2025-05"/>
    <s v="파손"/>
    <s v="외관 불량"/>
    <n v="20000"/>
    <n v="20000"/>
    <n v="12"/>
    <n v="12"/>
    <s v="B18"/>
    <s v="HONDURAS"/>
    <x v="6"/>
    <x v="1"/>
    <s v="머플러"/>
    <m/>
    <x v="1"/>
    <s v="2026년"/>
    <s v="2분기"/>
  </r>
  <r>
    <s v="기아"/>
    <s v="E"/>
    <s v="2026041WW"/>
    <s v="K"/>
    <s v="R151"/>
    <n v="110"/>
    <s v="2026/04"/>
    <s v="B18VA00001SP-370000"/>
    <s v="KNCWJX72AT7866813"/>
    <s v="W"/>
    <s v="HD"/>
    <s v="287504E960"/>
    <s v="MUFFLER ASSY-TAIL"/>
    <s v="          "/>
    <s v="[C]Customer reported an abnornal noise from the underbody. [R]Replace exhaust pipe. [T]Technician verified that the exhaust pipe was scraked."/>
    <s v="40700R00"/>
    <s v="ZZ2"/>
    <s v="A32"/>
    <s v="2025/06/04"/>
    <s v="2026/04/22"/>
    <s v="2025/10/24"/>
    <n v="6"/>
    <n v="12517"/>
    <s v="            "/>
    <n v="100"/>
    <n v="18.18"/>
    <n v="18.18"/>
    <n v="7396"/>
    <n v="644"/>
    <n v="0"/>
    <n v="8040"/>
    <s v="봉고3 1톤/1.4톤"/>
    <s v="2025-06"/>
    <s v="파손"/>
    <s v="외관 불량"/>
    <n v="20000"/>
    <n v="15000"/>
    <n v="12"/>
    <n v="9"/>
    <s v="B18"/>
    <s v="HONDURAS"/>
    <x v="6"/>
    <x v="1"/>
    <s v="머플러"/>
    <m/>
    <x v="1"/>
    <s v="2026년"/>
    <s v="2분기"/>
  </r>
  <r>
    <s v="기아"/>
    <s v="E"/>
    <s v="2026041WW"/>
    <s v="K"/>
    <s v="R151"/>
    <n v="111"/>
    <s v="2026/04"/>
    <s v="B06VA610612603767D "/>
    <s v="KNDRJDJH0S5415258"/>
    <s v="W"/>
    <s v="HC"/>
    <s v="28761C5150"/>
    <s v="HANGER"/>
    <s v="          "/>
    <e v="#N/A"/>
    <s v="28658R00"/>
    <s v="ZZ3"/>
    <s v="Q55"/>
    <s v="2025/05/30"/>
    <s v="2026/03/24"/>
    <s v="2025/09/29"/>
    <n v="6"/>
    <n v="4753"/>
    <s v="            "/>
    <n v="100"/>
    <n v="18.18"/>
    <n v="18.18"/>
    <n v="232"/>
    <n v="9315"/>
    <n v="0"/>
    <n v="9547"/>
    <s v="MQ4 20 HEV"/>
    <s v="2025-05"/>
    <s v="단품불량"/>
    <s v="소음"/>
    <n v="10000"/>
    <n v="5000"/>
    <n v="12"/>
    <n v="9"/>
    <s v="B06"/>
    <s v="CANADA"/>
    <x v="5"/>
    <x v="1"/>
    <s v="머플러"/>
    <m/>
    <x v="8"/>
    <s v="2026년"/>
    <s v="2분기"/>
  </r>
  <r>
    <s v="기아"/>
    <s v="E"/>
    <s v="2026041WA"/>
    <s v="K"/>
    <s v="R151"/>
    <n v="1"/>
    <s v="2026/03"/>
    <s v="A08VGP0001W26020005"/>
    <s v="KNCSHX76CR7791348"/>
    <s v="W"/>
    <s v="HD"/>
    <s v="286004E850"/>
    <s v="MUFFLER COMPLETE-CTR"/>
    <s v="          "/>
    <s v="[C]客戶進廠反應儀表引擎故障燈恆亮與排放系統警告燈閃爍,，服務廠檢查後確認有此情況 [R]更換新品零件後故障排除 [T]1.使用診斷器讀取故障碼為P200300(微粒濾清器效率低於極限值-2排)，依照GSW指示進行數值分析發現DPF碳煙質量為17.47g，換上新壓差感知器進行交換測試，再進行DPF服務再生，燃燒後DPF碳煙質量8.54g，燃燒過後DPF碳煙質量能夠下降，依照GSW指示進行數據分析讀取到的資訊其中的顆粒過濾器差壓的數值為65.213PSI、排氣溫度為409.5度，拆下CDPF使用內視鏡觀察CPF前端內部，發現CPF有積碳的狀況。 2.噴油嘴拆下送測試，其中噴油嘴沒有通過測試，判定不良。 3.再次使用診斷器讀取故障碼為P200300故障碼，判讀SCR參數發現SCR計算催化器效率數據為0.761及催化"/>
    <s v="28650R00"/>
    <s v="ZZ3"/>
    <s v="W17"/>
    <s v="2024/04/25"/>
    <s v="2026/01/05"/>
    <s v="2024/12/30"/>
    <n v="13"/>
    <n v="707"/>
    <s v="A08VG2630007"/>
    <n v="100"/>
    <n v="18.18"/>
    <n v="18.18"/>
    <n v="258115"/>
    <n v="8254"/>
    <n v="46223"/>
    <n v="312592"/>
    <s v="봉고3 1톤/1.4톤"/>
    <s v="2024-04"/>
    <s v="단품불량"/>
    <s v="경고등 점등"/>
    <n v="10000"/>
    <n v="5000"/>
    <n v="18"/>
    <n v="15"/>
    <s v="A08"/>
    <s v="TAIWAN"/>
    <x v="1"/>
    <x v="1"/>
    <s v="컨버터"/>
    <s v="PU SDPF"/>
    <x v="1"/>
    <s v="2026년"/>
    <s v="2분기"/>
  </r>
  <r>
    <s v="기아"/>
    <s v="E"/>
    <s v="2026041WA"/>
    <s v="K"/>
    <s v="R151"/>
    <n v="2"/>
    <s v="2026/03"/>
    <s v="C35VGKZ029260000004"/>
    <s v="KNARH81DDR5276816"/>
    <s v="W"/>
    <s v="GZ"/>
    <s v="28761J6000"/>
    <s v="HANGER"/>
    <s v="          "/>
    <e v="#N/A"/>
    <s v="28658R00"/>
    <s v="ZZ4"/>
    <s v="Q53"/>
    <s v="2024/01/30"/>
    <s v="2026/03/02"/>
    <s v="2024/05/29"/>
    <n v="22"/>
    <n v="31983"/>
    <s v="            "/>
    <n v="100"/>
    <n v="18.18"/>
    <n v="18.18"/>
    <n v="269"/>
    <n v="1733"/>
    <n v="0"/>
    <n v="2002"/>
    <s v="MQ4 20"/>
    <s v="2024-01"/>
    <s v="재질불량"/>
    <s v="소음"/>
    <n v="40000"/>
    <n v="35000"/>
    <n v="24"/>
    <n v="24"/>
    <s v="C35"/>
    <s v="KAZAKHSTAN"/>
    <x v="5"/>
    <x v="1"/>
    <s v="머플러"/>
    <m/>
    <x v="3"/>
    <s v="2026년"/>
    <s v="2분기"/>
  </r>
  <r>
    <s v="현대"/>
    <s v="D"/>
    <s v="2026041WW"/>
    <s v="H"/>
    <s v="R151"/>
    <n v="1"/>
    <s v="2026/04"/>
    <s v="I01G272026200102400"/>
    <s v="KMHLW41KGNU005889"/>
    <s v="W"/>
    <s v="IB"/>
    <s v="285302GLA0"/>
    <s v="CONVERTER ASSY-W/UP CATALYTIC"/>
    <s v="          "/>
    <s v="[C]1.현상 : N모드 주행 중 가속시 출력 저하 증상이 발생됨 2.점검내용 및 원인 : 1. N모드 주행 중 가속 시 간헐적 출력 저하와 매연냄새 발생으로 터보차저 교환 작업 중 촉매 탈거를 했을때 회색 가루가 촉매 안쪽에서 다량 발견됨 2. 촉매 내부 점검시 외관 이상 없음 3. 촉매를 탈탈 털면 회색 가루가 계속 나옴 4. 촉매 내부 문제로 판단됨 3.조치내용 : 촉매 교환 4.요망사항 : 요망사항 없음"/>
    <s v="88888R2F"/>
    <m/>
    <s v="DD1"/>
    <s v="2022/04/20"/>
    <s v="2026/04/24"/>
    <s v="2022/04/27"/>
    <n v="48"/>
    <n v="41107"/>
    <s v="            "/>
    <n v="100"/>
    <n v="27.72"/>
    <n v="27.72"/>
    <n v="136196"/>
    <n v="0"/>
    <n v="0"/>
    <n v="136196"/>
    <s v="CN7 고성능차 21"/>
    <s v="2022-04"/>
    <e v="#N/A"/>
    <s v="엔진 출력부족"/>
    <n v="50000"/>
    <n v="45000"/>
    <n v="54"/>
    <n v="51"/>
    <s v="I01"/>
    <s v="한국"/>
    <x v="0"/>
    <x v="1"/>
    <s v="컨버터"/>
    <s v="쎄타"/>
    <x v="0"/>
    <s v="2026년"/>
    <s v="2분기"/>
  </r>
  <r>
    <s v="현대"/>
    <s v="D"/>
    <s v="2026041WW"/>
    <s v="H"/>
    <s v="R151"/>
    <n v="2"/>
    <s v="2026/04"/>
    <s v="N1Z0082026200036300"/>
    <s v="KMHT361HANU011952"/>
    <s v="W"/>
    <s v="BU"/>
    <s v="285302GTA0"/>
    <s v="CONVERTER ASSY-W/UP CATALYTIC"/>
    <s v="          "/>
    <s v="[C]1.현상 : 경고등 점등 점검차 입고 2.점검내용 및 원인 : 3월2일 타 정비소에서 점검 시 P04200 경고등 확인되어 입고. 3월 19일 입고 후 점검 시 과거고장코드 없음. CCS 진단정보 확인결과 P04200경고등 확인됨. 캐털리스트 케이스 탈거 점검 시 내부 파손 확인 됨. 외부충격 흔적 없고, 부품 이상으로 현상 확인. 3.조치내용 : 캐털리스트 케이스 및 산소센서 교환함 4.요망사항 : 해당사항없음."/>
    <s v="99999R1F"/>
    <m/>
    <s v="W13"/>
    <s v="2021/06/15"/>
    <s v="2026/03/24"/>
    <s v="2021/06/21"/>
    <n v="58"/>
    <n v="69407"/>
    <s v="            "/>
    <n v="100"/>
    <n v="27.72"/>
    <n v="27.72"/>
    <n v="144680"/>
    <n v="1344"/>
    <n v="0"/>
    <n v="146024"/>
    <s v="JS N 18"/>
    <s v="2021-06"/>
    <e v="#N/A"/>
    <s v="경고등 점등"/>
    <n v="70000"/>
    <n v="70000"/>
    <n v="60"/>
    <n v="60"/>
    <s v="N1Z"/>
    <s v="한국"/>
    <x v="0"/>
    <x v="1"/>
    <s v="컨버터"/>
    <s v="쎄타"/>
    <x v="0"/>
    <s v="2026년"/>
    <s v="2분기"/>
  </r>
  <r>
    <s v="현대"/>
    <s v="D"/>
    <s v="2026041WW"/>
    <s v="H"/>
    <s v="R151"/>
    <n v="3"/>
    <s v="2026/04"/>
    <s v="I010002026200525800"/>
    <s v="KMTG641EDRU137296"/>
    <s v="R"/>
    <s v="G9"/>
    <s v="285303LXA0"/>
    <s v="CONVERTER ASSY-W/UP CAT, LH"/>
    <s v="          "/>
    <s v="[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
    <s v="99990Z00"/>
    <m/>
    <s v="W17"/>
    <s v="2023/10/30"/>
    <s v="2026/04/07"/>
    <s v="2023/11/02"/>
    <n v="30"/>
    <n v="62942"/>
    <s v="            "/>
    <n v="100"/>
    <n v="27.72"/>
    <n v="27.72"/>
    <n v="176806"/>
    <n v="0"/>
    <n v="0"/>
    <n v="176806"/>
    <s v="G70 17/21/23"/>
    <s v="2023-10"/>
    <e v="#N/A"/>
    <s v="경고등 점등"/>
    <n v="70000"/>
    <n v="65000"/>
    <n v="36"/>
    <n v="33"/>
    <s v="I01"/>
    <s v="한국"/>
    <x v="0"/>
    <x v="1"/>
    <s v="컨버터"/>
    <s v="람다"/>
    <x v="11"/>
    <s v="2026년"/>
    <s v="2분기"/>
  </r>
  <r>
    <s v="현대"/>
    <s v="D"/>
    <s v="2026041WW"/>
    <s v="H"/>
    <s v="R151"/>
    <n v="4"/>
    <s v="2026/04"/>
    <s v="Z0ZZ992026201663500"/>
    <s v="KMTG641EDRU137296"/>
    <s v="W"/>
    <s v="G9"/>
    <s v="285303LXA0"/>
    <s v="CONVERTER ASSY-W/UP CAT, LH"/>
    <s v="          "/>
    <s v="[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
    <s v="QUICKRZZ"/>
    <s v="ZZ3"/>
    <s v="W17"/>
    <s v="2023/10/30"/>
    <s v="2026/04/07"/>
    <s v="2023/11/02"/>
    <n v="30"/>
    <n v="62942"/>
    <s v="            "/>
    <n v="100"/>
    <n v="27.72"/>
    <n v="27.72"/>
    <n v="0"/>
    <n v="6930"/>
    <n v="0"/>
    <n v="6930"/>
    <s v="G70 17/21/23"/>
    <s v="2023-10"/>
    <s v="단품불량"/>
    <s v="경고등 점등"/>
    <n v="70000"/>
    <n v="65000"/>
    <n v="36"/>
    <n v="33"/>
    <s v="Z0Z"/>
    <s v="한국"/>
    <x v="0"/>
    <x v="1"/>
    <s v="컨버터"/>
    <s v="람다"/>
    <x v="11"/>
    <s v="2026년"/>
    <s v="2분기"/>
  </r>
  <r>
    <s v="현대"/>
    <s v="D"/>
    <s v="2026041WW"/>
    <s v="H"/>
    <s v="R151"/>
    <n v="5"/>
    <s v="2026/04"/>
    <s v="I01G752026200018700"/>
    <s v="KMTG641EDRU137296"/>
    <s v="W"/>
    <s v="G9"/>
    <s v="285303LXA0"/>
    <s v="CONVERTER ASSY-W/UP CAT, LH"/>
    <s v="          "/>
    <s v="[C]1.현상 : 1,1. 엔진 경고등 점등 2.점검내용 및 원인 : 2,1. 진단 시 고장코드 P04300 촉매-정화 능력 저하(B2) 2,2. 내부 점검 시 흑연 확인 됨 2,3. 촉매 내부 이상으로 인한 경고등 점등으로 판단 2,4. 산소센서 고착으로 탈거 불가하여 동시교환함 3.조치내용 : 3,1. 프론트 LH 촉매 교환 4.요망사항 : 요망사항 없음"/>
    <s v="28530R7L"/>
    <m/>
    <s v="W17"/>
    <s v="2023/10/30"/>
    <s v="2026/04/07"/>
    <s v="2023/11/02"/>
    <n v="30"/>
    <n v="62942"/>
    <s v="            "/>
    <n v="100"/>
    <n v="27.72"/>
    <n v="27.72"/>
    <n v="15236"/>
    <n v="66847"/>
    <n v="0"/>
    <n v="82083"/>
    <s v="G70 17/21/23"/>
    <s v="2023-10"/>
    <e v="#N/A"/>
    <s v="경고등 점등"/>
    <n v="70000"/>
    <n v="65000"/>
    <n v="36"/>
    <n v="33"/>
    <s v="I01"/>
    <s v="한국"/>
    <x v="0"/>
    <x v="1"/>
    <s v="컨버터"/>
    <s v="람다"/>
    <x v="11"/>
    <s v="2026년"/>
    <s v="2분기"/>
  </r>
  <r>
    <s v="현대"/>
    <s v="E"/>
    <s v="2026041WW"/>
    <s v="H"/>
    <s v="R151"/>
    <n v="1"/>
    <s v="2026/04"/>
    <s v="C11AB04696260037000"/>
    <s v="KMHHC8112RU065370"/>
    <s v="W"/>
    <s v="1Y"/>
    <s v="2853008500"/>
    <s v="CONVERTER ASSY-W/UP CATALYTIC"/>
    <s v="경고등 점등"/>
    <s v="[C]Spia motore accesa [R]da sostituire CPF e catalizzatore [T]Diagnosi con GDS dove si rileva DTC P04200 eseguito controllo impianto di scarico non si rilevano perdite apertura hot line numero 2554903 si procede allo smontaggio del CPF dove si rileva piccole particelle bianche esternamente a tratti come da video si notano delle fessure piccole. [L]08/04/26 Buongiorno, si richiede gentilmente aggiornamento prezzi per richiesta rimborso del reclamo di garanzia. Grazie e buon lavoro! Stefano Salvatore"/>
    <s v="28530R7E"/>
    <s v="ZZ3"/>
    <s v="I11"/>
    <s v="2024/04/23"/>
    <s v="2026/01/12"/>
    <s v="2024/12/30"/>
    <n v="13"/>
    <n v="6508"/>
    <s v="            "/>
    <n v="100"/>
    <n v="19.8"/>
    <n v="19.8"/>
    <n v="105815"/>
    <n v="50773"/>
    <n v="0"/>
    <n v="156588"/>
    <s v="SX2(코나 후속) 하이브리드 23"/>
    <s v="2024-04"/>
    <s v="단품불량"/>
    <s v="작동불량"/>
    <n v="10000"/>
    <n v="10000"/>
    <n v="18"/>
    <n v="15"/>
    <s v="C11"/>
    <s v="ITALY"/>
    <x v="0"/>
    <x v="1"/>
    <s v="컨버터"/>
    <s v="카파(KIA)"/>
    <x v="7"/>
    <s v="2026년"/>
    <s v="2분기"/>
  </r>
  <r>
    <s v="현대"/>
    <s v="E"/>
    <s v="2026041WW"/>
    <s v="H"/>
    <s v="R151"/>
    <n v="2"/>
    <s v="2026/04"/>
    <s v="B06AA44011260327003"/>
    <s v="KM8KH3AC3PU010483"/>
    <s v="W"/>
    <s v="I3"/>
    <s v="285302GXC0"/>
    <s v="CONVERTER ASSY-W/UP CATALYTIC"/>
    <s v="경고등 점등"/>
    <s v="[C]Engine light on and vehicle in limp mode [R]39210R00 SENSOR ASSY-OXYGEN &amp; LAMBDA 0.5 28530R00 CATALYST CASE ASSY 1.7 [T]check for customer concern follow up scan and found DTC P1326 knock sensor range/ performance and follow up check for dtc and knock sesnor and repair harness kit been replaced and engine harness replaced and follow up engine sound normal and follow up reset the adaptive value and reset the DTC NE"/>
    <s v="28530R00"/>
    <s v="ZZ3"/>
    <s v="W17"/>
    <s v="2023/02/16"/>
    <s v="2026/02/13"/>
    <s v="2023/04/29"/>
    <n v="34"/>
    <n v="20516"/>
    <s v="            "/>
    <n v="100"/>
    <n v="19.8"/>
    <n v="19.8"/>
    <n v="137070"/>
    <n v="54846"/>
    <n v="0"/>
    <n v="191916"/>
    <s v="코나(상품성개선) 고성능차 21"/>
    <s v="2023-02"/>
    <s v="단품불량"/>
    <s v="경고등 점등"/>
    <n v="30000"/>
    <n v="25000"/>
    <n v="36"/>
    <n v="36"/>
    <s v="B06"/>
    <s v="CANADA"/>
    <x v="0"/>
    <x v="1"/>
    <s v="컨버터"/>
    <s v="카파(KIA)"/>
    <x v="7"/>
    <s v="2026년"/>
    <s v="2분기"/>
  </r>
  <r>
    <s v="현대"/>
    <s v="E"/>
    <s v="2026041WW"/>
    <s v="H"/>
    <s v="R151"/>
    <n v="3"/>
    <s v="2026/04"/>
    <s v="B06VA110472625615A "/>
    <s v="KNAE55LC8P6133927"/>
    <s v="W"/>
    <s v="J5"/>
    <s v="285303LVB0"/>
    <s v="CONVERTER ASSY-W/UP CAT,RH"/>
    <s v="          "/>
    <s v="[C]CHECK AND REPORT ON ENGINE LIGHT ON [R]PERFORMED REPLACING BANK 1 CATALYTIC CONVERTER. AFTER REPLACEMENT PERFORMED ADAPTIVE VALUE RESET. CONFIRMED REPAIR [T]Vehicle was running rough, and had low power on medium to high loads, Inspected for misfire, no misfires found, inspected spark plugs, all spark plug in good condition inspected both CATS, bank 1 cat (passenger side) found to be clogged Bank 2 cat in good condition recommend replacement of bank one"/>
    <s v="28530R3L"/>
    <s v="ZZ3"/>
    <s v="W17"/>
    <s v="2023/01/05"/>
    <s v="2026/03/12"/>
    <s v="2023/03/15"/>
    <n v="36"/>
    <n v="46612"/>
    <s v="            "/>
    <n v="100"/>
    <n v="19.8"/>
    <n v="19.8"/>
    <n v="154252"/>
    <n v="177263"/>
    <n v="0"/>
    <n v="331515"/>
    <s v="CK 17"/>
    <s v="2023-01"/>
    <s v="단품불량"/>
    <s v="경고등 점등"/>
    <n v="50000"/>
    <n v="50000"/>
    <n v="42"/>
    <n v="39"/>
    <s v="B06"/>
    <s v="CANADA"/>
    <x v="0"/>
    <x v="1"/>
    <s v="컨버터"/>
    <s v="람다"/>
    <x v="11"/>
    <s v="2026년"/>
    <s v="2분기"/>
  </r>
  <r>
    <s v="현대"/>
    <s v="E"/>
    <s v="2026041WW"/>
    <s v="H"/>
    <s v="R151"/>
    <n v="4"/>
    <s v="2026/04"/>
    <s v="B24AE003070051184  "/>
    <s v="KMFHA17SPRC084545"/>
    <s v="W"/>
    <s v="UH"/>
    <s v="289904C520"/>
    <s v="CONVERTER ASSY-DOC DPF"/>
    <s v="          "/>
    <s v="[C]CLIENTE INDICA CHECK ENCENDIDO Y PERDIDA DE POTENCIA. [R]CAMBIO DE CATALIZADOR POR GARANTIA. [T]SE REVISO LA UNIDAD Y SE ENCONTRO CATALIZADOR OBSTRUIDO. [L]09/02/2026: Primer ingreso del vehículo (Diagnostico) y repuesto en importación 23/03/2026: Segundo ingreso del vehículo para reparación y finalización de la reparación."/>
    <s v="28990R00"/>
    <s v="ZZ3"/>
    <s v="I11"/>
    <s v="2023/09/25"/>
    <s v="2026/02/09"/>
    <s v="2025/02/28"/>
    <n v="12"/>
    <n v="14385"/>
    <s v="            "/>
    <n v="100"/>
    <n v="19.8"/>
    <n v="19.8"/>
    <n v="261936"/>
    <n v="7881"/>
    <n v="0"/>
    <n v="269817"/>
    <s v="마이티 와이드 15모델  E-ENG"/>
    <s v="2023-09"/>
    <s v="단품불량"/>
    <s v="작동불량"/>
    <n v="20000"/>
    <n v="15000"/>
    <n v="18"/>
    <n v="15"/>
    <s v="B24"/>
    <s v="PERU"/>
    <x v="10"/>
    <x v="1"/>
    <s v="컨버터"/>
    <s v="QT DPF"/>
    <x v="16"/>
    <s v="2026년"/>
    <s v="2분기"/>
  </r>
  <r>
    <s v="현대"/>
    <s v="E"/>
    <s v="2026041WW"/>
    <s v="H"/>
    <s v="R151"/>
    <n v="5"/>
    <s v="2026/04"/>
    <s v="B24AE003070050854  "/>
    <s v="KMFHA17SPTC099268"/>
    <s v="W"/>
    <s v="UH"/>
    <s v="289904C520"/>
    <s v="CONVERTER ASSY-DOC DPF"/>
    <s v="          "/>
    <s v="[C]CLIENTE INDICA: Check de motor en el tablero y perdida de fuerza en el motor [R]CAMBIO DE CATALIZADOR POR GARANTIA [T]SE REVISO UNIDAD Y SE ESCANEO - FALLA EN TURBO COMPRESOR P2263. SE DETARMO TURBO COMPRESOR Y SE ENCONTRO QUE EL ACCIONADOR DE LA VALVULA VGT ESTABA TRABADO - SE REALIZO LIMPIEZA SEGUN MANUAL. SE REVISO CATALIZADOR, SE ENCONTRO DESTROZADO. SE REVISO SISTEMA EGR - OK. SE DETERMINA DIFICIENCIA INTERNA [L]22/01/2026: Primer ingreso del vehículo (Diagnostico). 18/03/2026: Segundo ingreso del vehículo para reparación y finalización de la reparación."/>
    <s v="28990R00"/>
    <s v="ZZ3"/>
    <s v="I11"/>
    <s v="2025/04/14"/>
    <s v="2026/01/22"/>
    <s v="2025/05/31"/>
    <n v="8"/>
    <n v="375"/>
    <s v="            "/>
    <n v="100"/>
    <n v="19.8"/>
    <n v="19.8"/>
    <n v="261936"/>
    <n v="7881"/>
    <n v="0"/>
    <n v="269817"/>
    <s v="마이티 와이드 15모델  E-ENG"/>
    <s v="2025-04"/>
    <s v="단품불량"/>
    <s v="작동불량"/>
    <n v="10000"/>
    <n v="5000"/>
    <n v="12"/>
    <n v="9"/>
    <s v="B24"/>
    <s v="PERU"/>
    <x v="10"/>
    <x v="1"/>
    <s v="컨버터"/>
    <s v="QT DPF"/>
    <x v="16"/>
    <s v="2026년"/>
    <s v="2분기"/>
  </r>
  <r>
    <s v="현대"/>
    <s v="E"/>
    <s v="2026041WW"/>
    <s v="H"/>
    <s v="R151"/>
    <n v="6"/>
    <s v="2026/04"/>
    <s v="B24AE003070050866  "/>
    <s v="KMFHA17SPTC100858"/>
    <s v="W"/>
    <s v="UH"/>
    <s v="289904C520"/>
    <s v="CONVERTER ASSY-DOC DPF"/>
    <s v="          "/>
    <s v="[C]CLIENTE INDICA: Check de motor - Perdida de potencia. [R]CAMBIO DE CATALIZADOR POR GARANTIA. [T]SE ESCANEO UNIDAD - ENCONTRANDO CODIGO P2263 EN HISTORIAL. SE DESMONTO CATALIZADOR Y OBSERVAMOS QUE QUEDO DESTRUIDO POR EL SOBRECALENTAMIENTO DEL MISMO. [L]24/02/2026: Primer ingreso del vehículo (Diagnostico) 18/03/2026: Segundo ingreso del vehículo para reparación y finalización de la reparación."/>
    <s v="28990R00"/>
    <s v="ZZ3"/>
    <s v="I11"/>
    <s v="2025/06/02"/>
    <s v="2026/02/24"/>
    <s v="2025/09/30"/>
    <n v="5"/>
    <n v="3065"/>
    <s v="            "/>
    <n v="100"/>
    <n v="19.8"/>
    <n v="19.8"/>
    <n v="261936"/>
    <n v="7881"/>
    <n v="0"/>
    <n v="269817"/>
    <s v="마이티 와이드 15모델  E-ENG"/>
    <s v="2025-06"/>
    <s v="단품불량"/>
    <s v="작동불량"/>
    <n v="10000"/>
    <n v="5000"/>
    <n v="6"/>
    <n v="6"/>
    <s v="B24"/>
    <s v="PERU"/>
    <x v="10"/>
    <x v="1"/>
    <s v="컨버터"/>
    <s v="QT DPF"/>
    <x v="16"/>
    <s v="2026년"/>
    <s v="2분기"/>
  </r>
  <r>
    <s v="WIA"/>
    <s v="D"/>
    <s v="2026041WW"/>
    <s v="K"/>
    <s v="R151"/>
    <n v="34"/>
    <s v="2026/04"/>
    <s v="HK04102026W00018400"/>
    <s v="KNAB1518BNT886656"/>
    <s v="W"/>
    <s v="G6"/>
    <s v="2853007035"/>
    <s v="CONVERTER ASSY-W/UP CATALYTIC"/>
    <m/>
    <m/>
    <s v="28530R1K"/>
    <s v="ALL"/>
    <s v="DD1"/>
    <d v="2021-10-15T00:00:00"/>
    <d v="2026-04-22T00:00:00"/>
    <d v="2021-11-17T00:00:00"/>
    <n v="54"/>
    <n v="47032"/>
    <m/>
    <n v="100"/>
    <n v="25.44"/>
    <n v="25.44"/>
    <n v="110942"/>
    <n v="10304"/>
    <n v="0"/>
    <n v="121246"/>
    <s v="JA 17"/>
    <s v="2021-10"/>
    <e v="#N/A"/>
    <s v="엔진 출력부족"/>
    <n v="50000"/>
    <n v="50000"/>
    <n v="60"/>
    <n v="57"/>
    <s v="HK0"/>
    <s v="한국"/>
    <x v="0"/>
    <x v="1"/>
    <s v="컨버터"/>
    <s v="카파(WIA)"/>
    <x v="15"/>
    <s v="2026년"/>
    <s v="2분기"/>
  </r>
  <r>
    <s v="WIA"/>
    <s v="E"/>
    <s v="2026041WA"/>
    <s v="K"/>
    <s v="R151"/>
    <n v="81"/>
    <s v="2026/04"/>
    <s v="C11VC09205KM2000066"/>
    <s v="KNAB3518AMT785248"/>
    <s v="W"/>
    <s v="G6"/>
    <s v="2853007031"/>
    <s v="CONVERTER ASSY-W/UP CATALYTIC"/>
    <m/>
    <m/>
    <s v="28530R1K"/>
    <s v="ZZ3"/>
    <s v="W17"/>
    <d v="2021-01-26T00:00:00"/>
    <d v="2026-01-19T00:00:00"/>
    <d v="2021-03-18T00:00:00"/>
    <n v="59"/>
    <n v="77826"/>
    <m/>
    <n v="100"/>
    <n v="18.18"/>
    <n v="18.18"/>
    <n v="81810"/>
    <n v="16825"/>
    <n v="0"/>
    <n v="98635"/>
    <s v="JA 17"/>
    <s v="2021-01"/>
    <s v="단품불량"/>
    <s v="경고등 점등"/>
    <n v="80000"/>
    <n v="80000"/>
    <n v="60"/>
    <n v="60"/>
    <s v="C11"/>
    <s v="ITALY"/>
    <x v="0"/>
    <x v="1"/>
    <s v="컨버터"/>
    <s v="카파(WIA)"/>
    <x v="15"/>
    <s v="2026년"/>
    <s v="2분기"/>
  </r>
  <r>
    <s v="WIA"/>
    <s v="E"/>
    <s v="2026041WA"/>
    <s v="K"/>
    <s v="R151"/>
    <n v="82"/>
    <s v="2026/04"/>
    <s v="C21VA1465 KM2000937"/>
    <s v="KNAB3518YNT911464"/>
    <s v="W"/>
    <s v="G6"/>
    <s v="2853007031"/>
    <s v="CONVERTER ASSY-W/UP CATALYTIC"/>
    <m/>
    <m/>
    <s v="28950R1K"/>
    <s v="ZZ3"/>
    <s v="I14"/>
    <d v="2021-12-14T00:00:00"/>
    <d v="2026-03-12T00:00:00"/>
    <d v="2022-03-07T00:00:00"/>
    <n v="49"/>
    <n v="14301"/>
    <m/>
    <n v="100"/>
    <n v="18.18"/>
    <n v="18.18"/>
    <n v="63864"/>
    <n v="19017"/>
    <n v="0"/>
    <n v="82881"/>
    <s v="JA 17"/>
    <s v="2021-12"/>
    <s v="단품불량"/>
    <s v="작동불량"/>
    <n v="20000"/>
    <n v="15000"/>
    <n v="54"/>
    <n v="51"/>
    <s v="C21"/>
    <s v="UK"/>
    <x v="0"/>
    <x v="1"/>
    <s v="컨버터"/>
    <s v="카파(WIA)"/>
    <x v="15"/>
    <s v="2026년"/>
    <s v="2분기"/>
  </r>
  <r>
    <s v="WIA"/>
    <s v="E"/>
    <s v="2026041WA"/>
    <s v="K"/>
    <s v="R151"/>
    <n v="83"/>
    <s v="2026/04"/>
    <s v="C21VA2320 KM2000345"/>
    <s v="KNAB3518LNT954823"/>
    <s v="W"/>
    <s v="G6"/>
    <s v="2853007031"/>
    <s v="CONVERTER ASSY-W/UP CATALYTIC"/>
    <m/>
    <m/>
    <s v="28950R1K"/>
    <s v="ZZ3"/>
    <s v="W17"/>
    <d v="2022-03-30T00:00:00"/>
    <d v="2026-03-23T00:00:00"/>
    <d v="2022-06-22T00:00:00"/>
    <n v="46"/>
    <n v="47336"/>
    <m/>
    <n v="100"/>
    <n v="18.18"/>
    <n v="18.18"/>
    <n v="63424"/>
    <n v="21628"/>
    <n v="0"/>
    <n v="85052"/>
    <s v="JA 17"/>
    <s v="2022-03"/>
    <s v="단품불량"/>
    <s v="경고등 점등"/>
    <n v="50000"/>
    <n v="50000"/>
    <n v="48"/>
    <n v="48"/>
    <s v="C21"/>
    <s v="UK"/>
    <x v="0"/>
    <x v="1"/>
    <s v="컨버터"/>
    <s v="카파(WIA)"/>
    <x v="15"/>
    <s v="2026년"/>
    <s v="2분기"/>
  </r>
  <r>
    <s v="WIA"/>
    <s v="E"/>
    <s v="2026041WA"/>
    <s v="K"/>
    <s v="R151"/>
    <n v="84"/>
    <s v="2026/04"/>
    <s v="C06VAFR870KM2000173"/>
    <s v="KNAB3518APT046262"/>
    <s v="W"/>
    <s v="G6"/>
    <s v="2853007031"/>
    <s v="CONVERTER ASSY-W/UP CATALYTIC"/>
    <m/>
    <m/>
    <s v="28530R1K"/>
    <s v="ZZ3"/>
    <s v="W11"/>
    <d v="2022-11-14T00:00:00"/>
    <d v="2026-02-12T00:00:00"/>
    <d v="2023-01-13T00:00:00"/>
    <n v="37"/>
    <n v="20082"/>
    <m/>
    <n v="100"/>
    <n v="18.18"/>
    <n v="18.18"/>
    <n v="62619"/>
    <n v="26512"/>
    <n v="0"/>
    <n v="89131"/>
    <s v="JA 17"/>
    <s v="2022-11"/>
    <s v="단품불량"/>
    <s v="경고등 점등"/>
    <n v="30000"/>
    <n v="25000"/>
    <n v="42"/>
    <n v="39"/>
    <s v="C06"/>
    <s v="FRANCE"/>
    <x v="0"/>
    <x v="1"/>
    <s v="컨버터"/>
    <s v="카파(WIA)"/>
    <x v="15"/>
    <s v="2026년"/>
    <s v="2분기"/>
  </r>
  <r>
    <s v="WIA"/>
    <s v="E"/>
    <s v="2026041WA"/>
    <s v="K"/>
    <s v="R151"/>
    <n v="85"/>
    <s v="2026/04"/>
    <s v="C11VC01371KM2000102"/>
    <s v="KNAB3518AST392323"/>
    <s v="W"/>
    <s v="G6"/>
    <s v="2853007031"/>
    <s v="CONVERTER ASSY-W/UP CATALYTIC"/>
    <m/>
    <m/>
    <s v="28530R1K"/>
    <s v="ZZ3"/>
    <s v="W17"/>
    <d v="2025-05-10T00:00:00"/>
    <d v="2026-01-21T00:00:00"/>
    <d v="2025-09-02T00:00:00"/>
    <n v="5"/>
    <n v="2918"/>
    <m/>
    <n v="100"/>
    <n v="18.18"/>
    <n v="18.18"/>
    <n v="66638"/>
    <n v="26069"/>
    <n v="0"/>
    <n v="92707"/>
    <s v="JA 17"/>
    <s v="2025-05"/>
    <s v="단품불량"/>
    <s v="경고등 점등"/>
    <n v="10000"/>
    <n v="5000"/>
    <n v="6"/>
    <n v="6"/>
    <s v="C11"/>
    <s v="ITALY"/>
    <x v="0"/>
    <x v="1"/>
    <s v="컨버터"/>
    <s v="카파(WIA)"/>
    <x v="15"/>
    <s v="2026년"/>
    <s v="2분기"/>
  </r>
  <r>
    <s v="WIA"/>
    <s v="E"/>
    <s v="2026041WA"/>
    <s v="K"/>
    <s v="R151"/>
    <n v="86"/>
    <s v="2026/04"/>
    <s v="C06VAFR679KM2000002"/>
    <s v="KNAB351AJPT212754"/>
    <s v="W"/>
    <s v="G6"/>
    <s v="2853008220"/>
    <s v="CONVERTER ASSY-W/UP CATALYTIC"/>
    <m/>
    <m/>
    <s v="28530R1K"/>
    <s v="ZZ3"/>
    <s v="W11"/>
    <d v="2023-12-26T00:00:00"/>
    <d v="2026-01-05T00:00:00"/>
    <d v="2024-03-26T00:00:00"/>
    <n v="22"/>
    <n v="23137"/>
    <m/>
    <n v="100"/>
    <n v="18.18"/>
    <n v="18.18"/>
    <n v="220877"/>
    <n v="30273"/>
    <n v="0"/>
    <n v="251150"/>
    <s v="JA 17"/>
    <s v="2023-12"/>
    <s v="단품불량"/>
    <s v="경고등 점등"/>
    <n v="30000"/>
    <n v="25000"/>
    <n v="24"/>
    <n v="24"/>
    <s v="C06"/>
    <s v="FRANCE"/>
    <x v="0"/>
    <x v="1"/>
    <s v="컨버터"/>
    <s v="카파(WIA)"/>
    <x v="15"/>
    <s v="2026년"/>
    <s v="2분기"/>
  </r>
  <r>
    <s v="WIA"/>
    <s v="E"/>
    <s v="2026041WA"/>
    <s v="K"/>
    <s v="R151"/>
    <n v="87"/>
    <s v="2026/04"/>
    <s v="D19VA00001D1172808"/>
    <s v="KNAB351AJMT825140"/>
    <s v="W"/>
    <s v="G6"/>
    <s v="2853008250"/>
    <s v="CONVERTER ASSY-W/UP CATALYTIC"/>
    <m/>
    <m/>
    <s v="28530R1K"/>
    <s v="ZZ3"/>
    <s v="W11"/>
    <d v="2021-05-12T00:00:00"/>
    <d v="2025-10-08T00:00:00"/>
    <d v="2021-09-17T00:00:00"/>
    <n v="49"/>
    <n v="82586"/>
    <m/>
    <n v="100"/>
    <n v="18.18"/>
    <n v="18.18"/>
    <n v="39660"/>
    <n v="2476"/>
    <n v="0"/>
    <n v="42136"/>
    <s v="JA 17"/>
    <s v="2021-05"/>
    <s v="단품불량"/>
    <s v="경고등 점등"/>
    <n v="90000"/>
    <n v="85000"/>
    <n v="54"/>
    <n v="51"/>
    <s v="D19"/>
    <s v="TUNISIA"/>
    <x v="0"/>
    <x v="1"/>
    <s v="컨버터"/>
    <s v="카파(WIA)"/>
    <x v="15"/>
    <s v="2026년"/>
    <s v="2분기"/>
  </r>
  <r>
    <s v="WIA"/>
    <s v="E"/>
    <s v="2026041WA"/>
    <s v="K"/>
    <s v="R151"/>
    <n v="88"/>
    <s v="2026/04"/>
    <s v="D19VA00003D368027"/>
    <s v="KNAB351AJNT849811"/>
    <s v="W"/>
    <s v="G6"/>
    <s v="2853008250"/>
    <s v="CONVERTER ASSY-W/UP CATALYTIC"/>
    <m/>
    <m/>
    <s v="28530R1K"/>
    <s v="ZZ3"/>
    <s v="W17"/>
    <d v="2021-07-13T00:00:00"/>
    <d v="2026-03-11T00:00:00"/>
    <d v="2021-09-22T00:00:00"/>
    <n v="54"/>
    <n v="74008"/>
    <m/>
    <n v="100"/>
    <n v="18.18"/>
    <n v="18.18"/>
    <n v="39660"/>
    <n v="2476"/>
    <n v="0"/>
    <n v="42136"/>
    <s v="JA 17"/>
    <s v="2021-07"/>
    <s v="단품불량"/>
    <s v="경고등 점등"/>
    <n v="80000"/>
    <n v="75000"/>
    <n v="60"/>
    <n v="57"/>
    <s v="D19"/>
    <s v="TUNISIA"/>
    <x v="0"/>
    <x v="1"/>
    <s v="컨버터"/>
    <s v="카파(WIA)"/>
    <x v="15"/>
    <s v="2026년"/>
    <s v="2분기"/>
  </r>
  <r>
    <s v="WIA"/>
    <s v="E"/>
    <s v="2026041WA"/>
    <s v="K"/>
    <s v="R151"/>
    <n v="89"/>
    <s v="2026/04"/>
    <s v="D19VA00001D11766000"/>
    <s v="KNAB251AJNT960490"/>
    <s v="W"/>
    <s v="G6"/>
    <s v="2853008250"/>
    <s v="CONVERTER ASSY-W/UP CATALYTIC"/>
    <m/>
    <m/>
    <s v="28530R1K"/>
    <s v="ZZ3"/>
    <s v="W11"/>
    <d v="2022-04-13T00:00:00"/>
    <d v="2026-03-24T00:00:00"/>
    <d v="2022-07-13T00:00:00"/>
    <n v="45"/>
    <n v="69691"/>
    <m/>
    <n v="100"/>
    <n v="18.18"/>
    <n v="18.18"/>
    <n v="39660"/>
    <n v="2476"/>
    <n v="0"/>
    <n v="42136"/>
    <s v="JA 17"/>
    <s v="2022-04"/>
    <s v="단품불량"/>
    <s v="경고등 점등"/>
    <n v="70000"/>
    <n v="70000"/>
    <n v="48"/>
    <n v="48"/>
    <s v="D19"/>
    <s v="TUNISIA"/>
    <x v="0"/>
    <x v="1"/>
    <s v="컨버터"/>
    <s v="카파(WIA)"/>
    <x v="15"/>
    <s v="2026년"/>
    <s v="2분기"/>
  </r>
  <r>
    <s v="WIA"/>
    <s v="E"/>
    <s v="2026041WA"/>
    <s v="K"/>
    <s v="R151"/>
    <n v="90"/>
    <s v="2026/04"/>
    <s v="D19VA00017D1720724"/>
    <s v="KNAB251AJPT174034"/>
    <s v="W"/>
    <s v="G6"/>
    <s v="2853008250"/>
    <s v="CONVERTER ASSY-W/UP CATALYTIC"/>
    <m/>
    <m/>
    <s v="28530R1K"/>
    <s v="ZZ3"/>
    <s v="W17"/>
    <d v="2023-08-16T00:00:00"/>
    <d v="2026-02-16T00:00:00"/>
    <d v="2023-10-04T00:00:00"/>
    <n v="29"/>
    <n v="73223"/>
    <m/>
    <n v="100"/>
    <n v="18.18"/>
    <n v="18.18"/>
    <n v="39660"/>
    <n v="2476"/>
    <n v="0"/>
    <n v="42136"/>
    <s v="JA 17"/>
    <s v="2023-08"/>
    <s v="단품불량"/>
    <s v="경고등 점등"/>
    <n v="80000"/>
    <n v="75000"/>
    <n v="30"/>
    <n v="30"/>
    <s v="D19"/>
    <s v="TUNISIA"/>
    <x v="0"/>
    <x v="1"/>
    <s v="컨버터"/>
    <s v="카파(WIA)"/>
    <x v="15"/>
    <s v="2026년"/>
    <s v="2분기"/>
  </r>
  <r>
    <s v="WIA"/>
    <s v="E"/>
    <s v="2026041WA"/>
    <s v="K"/>
    <s v="R151"/>
    <n v="91"/>
    <s v="2026/04"/>
    <s v="D19VA00001D1176595"/>
    <s v="KNADC518AM6469754"/>
    <s v="W"/>
    <s v="H8"/>
    <s v="2853008250"/>
    <s v="CONVERTER ASSY-W/UP CATALYTIC"/>
    <m/>
    <m/>
    <s v="28530R1K"/>
    <s v="ZZ3"/>
    <s v="W11"/>
    <d v="2020-07-16T00:00:00"/>
    <d v="2025-09-15T00:00:00"/>
    <d v="2020-10-06T00:00:00"/>
    <n v="60"/>
    <n v="68537"/>
    <m/>
    <n v="100"/>
    <n v="18.18"/>
    <n v="18.18"/>
    <n v="39660"/>
    <n v="3577"/>
    <n v="0"/>
    <n v="43237"/>
    <s v="YB 17"/>
    <s v="2020-07"/>
    <s v="단품불량"/>
    <s v="경고등 점등"/>
    <n v="70000"/>
    <n v="70000"/>
    <s v="≥60"/>
    <s v="≥60"/>
    <s v="D19"/>
    <s v="TUNISIA"/>
    <x v="0"/>
    <x v="1"/>
    <s v="컨버터"/>
    <s v="카파(WIA)"/>
    <x v="15"/>
    <s v="2026년"/>
    <s v="2분기"/>
  </r>
  <r>
    <s v="WIA"/>
    <s v="E"/>
    <s v="2026041WA"/>
    <s v="K"/>
    <s v="R151"/>
    <n v="92"/>
    <s v="2026/04"/>
    <s v="D19VA00001D1174393"/>
    <s v="KNADC518AM6522857"/>
    <s v="W"/>
    <s v="H8"/>
    <s v="2853008250"/>
    <s v="CONVERTER ASSY-W/UP CATALYTIC"/>
    <m/>
    <m/>
    <s v="28530R1K"/>
    <s v="ZZ3"/>
    <s v="W11"/>
    <d v="2020-12-28T00:00:00"/>
    <d v="2026-01-28T00:00:00"/>
    <d v="2021-02-26T00:00:00"/>
    <n v="60"/>
    <n v="38298"/>
    <m/>
    <n v="100"/>
    <n v="18.18"/>
    <n v="18.18"/>
    <n v="39660"/>
    <n v="3577"/>
    <n v="0"/>
    <n v="43237"/>
    <s v="YB 17"/>
    <s v="2020-12"/>
    <s v="단품불량"/>
    <s v="경고등 점등"/>
    <n v="40000"/>
    <n v="40000"/>
    <s v="≥60"/>
    <s v="≥60"/>
    <s v="D19"/>
    <s v="TUNISIA"/>
    <x v="0"/>
    <x v="1"/>
    <s v="컨버터"/>
    <s v="카파(WIA)"/>
    <x v="15"/>
    <s v="2026년"/>
    <s v="2분기"/>
  </r>
  <r>
    <s v="WIA"/>
    <s v="E"/>
    <s v="2026041WA"/>
    <s v="K"/>
    <s v="R151"/>
    <n v="93"/>
    <s v="2026/04"/>
    <s v="D19VA00001D1175139"/>
    <s v="KNADE518AM6525057"/>
    <s v="W"/>
    <s v="H8"/>
    <s v="2853008250"/>
    <s v="CONVERTER ASSY-W/UP CATALYTIC"/>
    <m/>
    <m/>
    <s v="28530R1K"/>
    <s v="ZZ3"/>
    <s v="W11"/>
    <d v="2021-01-05T00:00:00"/>
    <d v="2026-02-12T00:00:00"/>
    <d v="2021-03-03T00:00:00"/>
    <n v="60"/>
    <n v="84507"/>
    <m/>
    <n v="100"/>
    <n v="18.18"/>
    <n v="18.18"/>
    <n v="39660"/>
    <n v="3577"/>
    <n v="0"/>
    <n v="43237"/>
    <s v="YB 17"/>
    <s v="2021-01"/>
    <s v="단품불량"/>
    <s v="경고등 점등"/>
    <n v="90000"/>
    <n v="85000"/>
    <s v="≥60"/>
    <s v="≥60"/>
    <s v="D19"/>
    <s v="TUNISIA"/>
    <x v="0"/>
    <x v="1"/>
    <s v="컨버터"/>
    <s v="카파(WIA)"/>
    <x v="15"/>
    <s v="2026년"/>
    <s v="2분기"/>
  </r>
  <r>
    <s v="WIA"/>
    <s v="E"/>
    <s v="2026041WA"/>
    <s v="K"/>
    <s v="R151"/>
    <n v="94"/>
    <s v="2026/04"/>
    <s v="D19VA00001D1172669"/>
    <s v="KNADC518AN6580262"/>
    <s v="W"/>
    <s v="H8"/>
    <s v="2853008250"/>
    <s v="CONVERTER ASSY-W/UP CATALYTIC"/>
    <m/>
    <m/>
    <s v="28530R1K"/>
    <s v="ZZ3"/>
    <s v="W11"/>
    <d v="2021-05-13T00:00:00"/>
    <d v="2026-02-05T00:00:00"/>
    <d v="2021-08-06T00:00:00"/>
    <n v="54"/>
    <n v="68533"/>
    <m/>
    <n v="100"/>
    <n v="18.18"/>
    <n v="18.18"/>
    <n v="39660"/>
    <n v="3577"/>
    <n v="0"/>
    <n v="43237"/>
    <s v="YB 17"/>
    <s v="2021-05"/>
    <s v="단품불량"/>
    <s v="경고등 점등"/>
    <n v="70000"/>
    <n v="70000"/>
    <n v="60"/>
    <n v="57"/>
    <s v="D19"/>
    <s v="TUNISIA"/>
    <x v="0"/>
    <x v="1"/>
    <s v="컨버터"/>
    <s v="카파(WIA)"/>
    <x v="15"/>
    <s v="2026년"/>
    <s v="2분기"/>
  </r>
  <r>
    <s v="WIA"/>
    <s v="E"/>
    <s v="2026041WA"/>
    <s v="K"/>
    <s v="R151"/>
    <n v="95"/>
    <s v="2026/04"/>
    <s v="D19VA00001D1170454"/>
    <s v="KNADC518AN6601991"/>
    <s v="W"/>
    <s v="H8"/>
    <s v="2853008250"/>
    <s v="CONVERTER ASSY-W/UP CATALYTIC"/>
    <m/>
    <m/>
    <s v="28950R1K"/>
    <s v="ZZ3"/>
    <s v="W11"/>
    <d v="2021-07-14T00:00:00"/>
    <d v="2025-12-26T00:00:00"/>
    <d v="2021-09-24T00:00:00"/>
    <n v="52"/>
    <n v="72124"/>
    <m/>
    <n v="100"/>
    <n v="18.18"/>
    <n v="18.18"/>
    <n v="39660"/>
    <n v="1100"/>
    <n v="0"/>
    <n v="40760"/>
    <s v="YB 17"/>
    <s v="2021-07"/>
    <s v="단품불량"/>
    <s v="경고등 점등"/>
    <n v="80000"/>
    <n v="75000"/>
    <n v="54"/>
    <n v="54"/>
    <s v="D19"/>
    <s v="TUNISIA"/>
    <x v="0"/>
    <x v="1"/>
    <s v="컨버터"/>
    <s v="카파(WIA)"/>
    <x v="15"/>
    <s v="2026년"/>
    <s v="2분기"/>
  </r>
  <r>
    <s v="WIA"/>
    <s v="E"/>
    <s v="2026041WA"/>
    <s v="K"/>
    <s v="R151"/>
    <n v="96"/>
    <s v="2026/04"/>
    <s v="D19VA00001D1172806"/>
    <s v="KNADC518AN6616893"/>
    <s v="W"/>
    <s v="H8"/>
    <s v="2853008250"/>
    <s v="CONVERTER ASSY-W/UP CATALYTIC"/>
    <m/>
    <m/>
    <s v="28530R1K"/>
    <s v="ZZ3"/>
    <s v="W11"/>
    <d v="2021-09-09T00:00:00"/>
    <d v="2025-06-23T00:00:00"/>
    <d v="2021-11-12T00:00:00"/>
    <n v="44"/>
    <n v="56720"/>
    <m/>
    <n v="100"/>
    <n v="18.18"/>
    <n v="18.18"/>
    <n v="39660"/>
    <n v="3577"/>
    <n v="0"/>
    <n v="43237"/>
    <s v="YB 17"/>
    <s v="2021-09"/>
    <s v="단품불량"/>
    <s v="경고등 점등"/>
    <n v="60000"/>
    <n v="60000"/>
    <n v="48"/>
    <n v="45"/>
    <s v="D19"/>
    <s v="TUNISIA"/>
    <x v="0"/>
    <x v="1"/>
    <s v="컨버터"/>
    <s v="카파(WIA)"/>
    <x v="15"/>
    <s v="2026년"/>
    <s v="2분기"/>
  </r>
  <r>
    <s v="WIA"/>
    <s v="E"/>
    <s v="2026041WA"/>
    <s v="K"/>
    <s v="R151"/>
    <n v="97"/>
    <s v="2026/04"/>
    <s v="D19VA00008D870477"/>
    <s v="KNADE518AN6618144"/>
    <s v="W"/>
    <s v="H8"/>
    <s v="2853008250"/>
    <s v="CONVERTER ASSY-W/UP CATALYTIC"/>
    <m/>
    <m/>
    <s v="28530R1K"/>
    <s v="ZZ3"/>
    <s v="W11"/>
    <d v="2021-09-13T00:00:00"/>
    <d v="2026-02-28T00:00:00"/>
    <d v="2021-11-22T00:00:00"/>
    <n v="52"/>
    <n v="86374"/>
    <m/>
    <n v="100"/>
    <n v="18.18"/>
    <n v="18.18"/>
    <n v="39660"/>
    <n v="3577"/>
    <n v="0"/>
    <n v="43237"/>
    <s v="YB 17"/>
    <s v="2021-09"/>
    <s v="단품불량"/>
    <s v="경고등 점등"/>
    <n v="90000"/>
    <n v="90000"/>
    <n v="54"/>
    <n v="54"/>
    <s v="D19"/>
    <s v="TUNISIA"/>
    <x v="0"/>
    <x v="1"/>
    <s v="컨버터"/>
    <s v="카파(WIA)"/>
    <x v="15"/>
    <s v="2026년"/>
    <s v="2분기"/>
  </r>
  <r>
    <s v="WIA"/>
    <s v="E"/>
    <s v="2026041WA"/>
    <s v="K"/>
    <s v="R151"/>
    <n v="98"/>
    <s v="2026/04"/>
    <s v="D19VA00001D1176461"/>
    <s v="KNADE518AN6618304"/>
    <s v="W"/>
    <s v="H8"/>
    <s v="2853008250"/>
    <s v="CONVERTER ASSY-W/UP CATALYTIC"/>
    <m/>
    <m/>
    <s v="28530R1K"/>
    <s v="ZZ3"/>
    <s v="W11"/>
    <d v="2021-09-13T00:00:00"/>
    <d v="2026-03-24T00:00:00"/>
    <d v="2021-11-24T00:00:00"/>
    <n v="53"/>
    <n v="70184"/>
    <m/>
    <n v="100"/>
    <n v="18.18"/>
    <n v="18.18"/>
    <n v="39660"/>
    <n v="3577"/>
    <n v="0"/>
    <n v="43237"/>
    <s v="YB 17"/>
    <s v="2021-09"/>
    <s v="단품불량"/>
    <s v="경고등 점등"/>
    <n v="80000"/>
    <n v="75000"/>
    <n v="54"/>
    <n v="54"/>
    <s v="D19"/>
    <s v="TUNISIA"/>
    <x v="0"/>
    <x v="1"/>
    <s v="컨버터"/>
    <s v="카파(WIA)"/>
    <x v="15"/>
    <s v="2026년"/>
    <s v="2분기"/>
  </r>
  <r>
    <s v="WIA"/>
    <s v="E"/>
    <s v="2026041WA"/>
    <s v="K"/>
    <s v="R151"/>
    <n v="99"/>
    <s v="2026/04"/>
    <s v="D19VA00001D1168820"/>
    <s v="KNADC518AN6622269"/>
    <s v="W"/>
    <s v="H8"/>
    <s v="2853008250"/>
    <s v="CONVERTER ASSY-W/UP CATALYTIC"/>
    <m/>
    <m/>
    <s v="28530R1K"/>
    <s v="ZZ3"/>
    <s v="W11"/>
    <d v="2021-09-29T00:00:00"/>
    <d v="2025-10-03T00:00:00"/>
    <d v="2021-12-06T00:00:00"/>
    <n v="46"/>
    <n v="88031"/>
    <m/>
    <n v="100"/>
    <n v="18.18"/>
    <n v="18.18"/>
    <n v="39660"/>
    <n v="3577"/>
    <n v="0"/>
    <n v="43237"/>
    <s v="YB 17"/>
    <s v="2021-09"/>
    <s v="단품불량"/>
    <s v="경고등 점등"/>
    <n v="90000"/>
    <n v="90000"/>
    <n v="48"/>
    <n v="48"/>
    <s v="D19"/>
    <s v="TUNISIA"/>
    <x v="0"/>
    <x v="1"/>
    <s v="컨버터"/>
    <s v="카파(WIA)"/>
    <x v="15"/>
    <s v="2026년"/>
    <s v="2분기"/>
  </r>
  <r>
    <s v="WIA"/>
    <s v="E"/>
    <s v="2026041WA"/>
    <s v="K"/>
    <s v="R151"/>
    <n v="100"/>
    <s v="2026/04"/>
    <s v="D19VA00001D1172675"/>
    <s v="KNADC518AN6648437"/>
    <s v="W"/>
    <s v="H8"/>
    <s v="2853008250"/>
    <s v="CONVERTER ASSY-W/UP CATALYTIC"/>
    <m/>
    <m/>
    <s v="28530R1K"/>
    <s v="ZZ3"/>
    <s v="W11"/>
    <d v="2021-12-30T00:00:00"/>
    <d v="2025-08-14T00:00:00"/>
    <d v="2022-02-17T00:00:00"/>
    <n v="42"/>
    <n v="60495"/>
    <m/>
    <n v="100"/>
    <n v="18.18"/>
    <n v="18.18"/>
    <n v="39660"/>
    <n v="3577"/>
    <n v="0"/>
    <n v="43237"/>
    <s v="YB 17"/>
    <s v="2021-12"/>
    <s v="단품불량"/>
    <s v="경고등 점등"/>
    <n v="70000"/>
    <n v="65000"/>
    <n v="48"/>
    <n v="45"/>
    <s v="D19"/>
    <s v="TUNISIA"/>
    <x v="0"/>
    <x v="1"/>
    <s v="컨버터"/>
    <s v="카파(WIA)"/>
    <x v="15"/>
    <s v="2026년"/>
    <s v="2분기"/>
  </r>
  <r>
    <s v="WIA"/>
    <s v="E"/>
    <s v="2026041WA"/>
    <s v="K"/>
    <s v="R151"/>
    <n v="101"/>
    <s v="2026/04"/>
    <s v="D19VA00001D1176920"/>
    <s v="KNADE518AN6669808"/>
    <s v="W"/>
    <s v="H8"/>
    <s v="2853008250"/>
    <s v="CONVERTER ASSY-W/UP CATALYTIC"/>
    <m/>
    <m/>
    <s v="28530R1K"/>
    <s v="ZZ3"/>
    <s v="W11"/>
    <d v="2022-02-23T00:00:00"/>
    <d v="2026-03-27T00:00:00"/>
    <d v="2022-05-10T00:00:00"/>
    <n v="47"/>
    <n v="80819"/>
    <m/>
    <n v="100"/>
    <n v="18.18"/>
    <n v="18.18"/>
    <n v="39660"/>
    <n v="3577"/>
    <n v="0"/>
    <n v="43237"/>
    <s v="YB 17"/>
    <s v="2022-02"/>
    <s v="단품불량"/>
    <s v="경고등 점등"/>
    <n v="90000"/>
    <n v="85000"/>
    <n v="48"/>
    <n v="48"/>
    <s v="D19"/>
    <s v="TUNISIA"/>
    <x v="0"/>
    <x v="1"/>
    <s v="컨버터"/>
    <s v="카파(WIA)"/>
    <x v="15"/>
    <s v="2026년"/>
    <s v="2분기"/>
  </r>
  <r>
    <s v="WIA"/>
    <s v="E"/>
    <s v="2026041WA"/>
    <s v="K"/>
    <s v="R151"/>
    <n v="102"/>
    <s v="2026/04"/>
    <s v="D19VA00001D1176514"/>
    <s v="KNADE518AN6717853"/>
    <s v="W"/>
    <s v="H8"/>
    <s v="2853008250"/>
    <s v="CONVERTER ASSY-W/UP CATALYTIC"/>
    <m/>
    <m/>
    <s v="28530R1K"/>
    <s v="ZZ3"/>
    <s v="W11"/>
    <d v="2022-06-22T00:00:00"/>
    <d v="2026-03-25T00:00:00"/>
    <d v="2022-08-22T00:00:00"/>
    <n v="44"/>
    <n v="72030"/>
    <m/>
    <n v="100"/>
    <n v="18.18"/>
    <n v="18.18"/>
    <n v="39660"/>
    <n v="3577"/>
    <n v="0"/>
    <n v="43237"/>
    <s v="YB 17"/>
    <s v="2022-06"/>
    <s v="단품불량"/>
    <s v="경고등 점등"/>
    <n v="80000"/>
    <n v="75000"/>
    <n v="48"/>
    <n v="45"/>
    <s v="D19"/>
    <s v="TUNISIA"/>
    <x v="0"/>
    <x v="1"/>
    <s v="컨버터"/>
    <s v="카파(WIA)"/>
    <x v="15"/>
    <s v="2026년"/>
    <s v="2분기"/>
  </r>
  <r>
    <s v="WIA"/>
    <s v="E"/>
    <s v="2026041WA"/>
    <s v="K"/>
    <s v="R151"/>
    <n v="103"/>
    <s v="2026/04"/>
    <s v="D19VA00008D868704"/>
    <s v="KNADC518AN6738679"/>
    <s v="W"/>
    <s v="H8"/>
    <s v="2853008250"/>
    <s v="CONVERTER ASSY-W/UP CATALYTIC"/>
    <m/>
    <m/>
    <s v="28530R1K"/>
    <s v="ZZ3"/>
    <s v="W11"/>
    <d v="2022-08-17T00:00:00"/>
    <d v="2026-02-26T00:00:00"/>
    <d v="2022-10-26T00:00:00"/>
    <n v="41"/>
    <n v="74460"/>
    <m/>
    <n v="100"/>
    <n v="18.18"/>
    <n v="18.18"/>
    <n v="39660"/>
    <n v="3577"/>
    <n v="0"/>
    <n v="43237"/>
    <s v="YB 17"/>
    <s v="2022-08"/>
    <s v="단품불량"/>
    <s v="경고등 점등"/>
    <n v="80000"/>
    <n v="75000"/>
    <n v="42"/>
    <n v="42"/>
    <s v="D19"/>
    <s v="TUNISIA"/>
    <x v="0"/>
    <x v="1"/>
    <s v="컨버터"/>
    <s v="카파(WIA)"/>
    <x v="15"/>
    <s v="2026년"/>
    <s v="2분기"/>
  </r>
  <r>
    <s v="WIA"/>
    <s v="E"/>
    <s v="2026041WA"/>
    <s v="K"/>
    <s v="R151"/>
    <n v="104"/>
    <s v="2026/04"/>
    <s v="D19VA00001D1172802"/>
    <s v="KNADC518AN6776621"/>
    <s v="W"/>
    <s v="H8"/>
    <s v="2853008250"/>
    <s v="CONVERTER ASSY-W/UP CATALYTIC"/>
    <m/>
    <m/>
    <s v="28530R1K"/>
    <s v="ZZ3"/>
    <s v="Q52"/>
    <d v="2022-11-24T00:00:00"/>
    <d v="2026-03-06T00:00:00"/>
    <d v="2023-04-12T00:00:00"/>
    <n v="35"/>
    <n v="50423"/>
    <m/>
    <n v="100"/>
    <n v="18.18"/>
    <n v="18.18"/>
    <n v="39660"/>
    <n v="3577"/>
    <n v="0"/>
    <n v="43237"/>
    <s v="YB 17"/>
    <s v="2022-11"/>
    <s v="단품불량"/>
    <s v="소음"/>
    <n v="60000"/>
    <n v="55000"/>
    <n v="36"/>
    <n v="36"/>
    <s v="D19"/>
    <s v="TUNISIA"/>
    <x v="0"/>
    <x v="1"/>
    <s v="컨버터"/>
    <s v="카파(WIA)"/>
    <x v="15"/>
    <s v="2026년"/>
    <s v="2분기"/>
  </r>
  <r>
    <s v="WIA"/>
    <s v="E"/>
    <s v="2026041WA"/>
    <s v="K"/>
    <s v="R151"/>
    <n v="105"/>
    <s v="2026/04"/>
    <s v="D19VA00003D367992"/>
    <s v="KNADC518AP6782231"/>
    <s v="W"/>
    <s v="H8"/>
    <s v="2853008250"/>
    <s v="CONVERTER ASSY-W/UP CATALYTIC"/>
    <m/>
    <m/>
    <s v="28530R1K"/>
    <s v="ZZ3"/>
    <s v="W17"/>
    <d v="2022-12-07T00:00:00"/>
    <d v="2026-03-09T00:00:00"/>
    <d v="2023-02-23T00:00:00"/>
    <n v="37"/>
    <n v="37633"/>
    <m/>
    <n v="100"/>
    <n v="18.18"/>
    <n v="18.18"/>
    <n v="39660"/>
    <n v="3577"/>
    <n v="0"/>
    <n v="43237"/>
    <s v="YB 17"/>
    <s v="2022-12"/>
    <s v="단품불량"/>
    <s v="경고등 점등"/>
    <n v="40000"/>
    <n v="40000"/>
    <n v="42"/>
    <n v="39"/>
    <s v="D19"/>
    <s v="TUNISIA"/>
    <x v="0"/>
    <x v="1"/>
    <s v="컨버터"/>
    <s v="카파(WIA)"/>
    <x v="15"/>
    <s v="2026년"/>
    <s v="2분기"/>
  </r>
  <r>
    <s v="WIA"/>
    <s v="E"/>
    <s v="2026041WA"/>
    <s v="K"/>
    <s v="R151"/>
    <n v="106"/>
    <s v="2026/04"/>
    <s v="D19VA00001D1174154"/>
    <s v="KNADE518AP6812497"/>
    <s v="W"/>
    <s v="H8"/>
    <s v="2853008250"/>
    <s v="CONVERTER ASSY-W/UP CATALYTIC"/>
    <m/>
    <m/>
    <s v="28530R1K"/>
    <s v="ZZ3"/>
    <s v="W11"/>
    <d v="2023-02-17T00:00:00"/>
    <d v="2026-01-28T00:00:00"/>
    <d v="2023-05-11T00:00:00"/>
    <n v="33"/>
    <n v="70683"/>
    <m/>
    <n v="100"/>
    <n v="18.18"/>
    <n v="18.18"/>
    <n v="39660"/>
    <n v="3577"/>
    <n v="0"/>
    <n v="43237"/>
    <s v="YB 17"/>
    <s v="2023-02"/>
    <s v="단품불량"/>
    <s v="경고등 점등"/>
    <n v="80000"/>
    <n v="75000"/>
    <n v="36"/>
    <n v="36"/>
    <s v="D19"/>
    <s v="TUNISIA"/>
    <x v="0"/>
    <x v="1"/>
    <s v="컨버터"/>
    <s v="카파(WIA)"/>
    <x v="15"/>
    <s v="2026년"/>
    <s v="2분기"/>
  </r>
  <r>
    <s v="WIA"/>
    <s v="E"/>
    <s v="2026041WA"/>
    <s v="K"/>
    <s v="R151"/>
    <n v="107"/>
    <s v="2026/04"/>
    <s v="D19VA00008D869364"/>
    <s v="KNADC518AP6845072"/>
    <s v="W"/>
    <s v="H8"/>
    <s v="2853008250"/>
    <s v="CONVERTER ASSY-W/UP CATALYTIC"/>
    <m/>
    <m/>
    <s v="28530R1K"/>
    <s v="ZZ3"/>
    <s v="W11"/>
    <d v="2023-04-27T00:00:00"/>
    <d v="2026-03-06T00:00:00"/>
    <d v="2023-07-10T00:00:00"/>
    <n v="32"/>
    <n v="99189"/>
    <m/>
    <n v="100"/>
    <n v="18.18"/>
    <n v="18.18"/>
    <n v="39660"/>
    <n v="3577"/>
    <n v="0"/>
    <n v="43237"/>
    <s v="YB 17"/>
    <s v="2023-04"/>
    <s v="단품불량"/>
    <s v="경고등 점등"/>
    <n v="100000"/>
    <n v="100000"/>
    <n v="36"/>
    <n v="33"/>
    <s v="D19"/>
    <s v="TUNISIA"/>
    <x v="0"/>
    <x v="1"/>
    <s v="컨버터"/>
    <s v="카파(WIA)"/>
    <x v="15"/>
    <s v="2026년"/>
    <s v="2분기"/>
  </r>
  <r>
    <s v="WIA"/>
    <s v="E"/>
    <s v="2026041WA"/>
    <s v="K"/>
    <s v="R151"/>
    <n v="108"/>
    <s v="2026/04"/>
    <s v="D19VA00001D1172803"/>
    <s v="KNADC518AP6846856"/>
    <s v="W"/>
    <s v="H8"/>
    <s v="2853008250"/>
    <s v="CONVERTER ASSY-W/UP CATALYTIC"/>
    <m/>
    <m/>
    <s v="28530R1K"/>
    <s v="ZZ3"/>
    <s v="W17"/>
    <d v="2023-05-03T00:00:00"/>
    <d v="2025-06-25T00:00:00"/>
    <d v="2023-07-13T00:00:00"/>
    <n v="24"/>
    <n v="99819"/>
    <m/>
    <n v="100"/>
    <n v="18.18"/>
    <n v="18.18"/>
    <n v="39660"/>
    <n v="3577"/>
    <n v="0"/>
    <n v="43237"/>
    <s v="YB 17"/>
    <s v="2023-05"/>
    <s v="단품불량"/>
    <s v="경고등 점등"/>
    <n v="100000"/>
    <n v="100000"/>
    <n v="30"/>
    <n v="27"/>
    <s v="D19"/>
    <s v="TUNISIA"/>
    <x v="0"/>
    <x v="1"/>
    <s v="컨버터"/>
    <s v="카파(WIA)"/>
    <x v="15"/>
    <s v="2026년"/>
    <s v="2분기"/>
  </r>
  <r>
    <s v="WIA"/>
    <s v="E"/>
    <s v="2026041WW"/>
    <s v="K"/>
    <s v="R151"/>
    <n v="281"/>
    <s v="2026/04"/>
    <s v="C21VA02374KM2000567"/>
    <s v="KNAB3519LPT043133"/>
    <s v="W"/>
    <s v="G6"/>
    <s v="2853007301"/>
    <s v="CONVERTER ASSY-W/UP CATALYTIC"/>
    <m/>
    <m/>
    <s v="28530R1K"/>
    <s v="ZZ1"/>
    <s v="W17"/>
    <d v="2022-11-07T00:00:00"/>
    <d v="2026-02-23T00:00:00"/>
    <d v="2023-05-16T00:00:00"/>
    <n v="34"/>
    <n v="56224"/>
    <m/>
    <n v="100"/>
    <n v="18.18"/>
    <n v="18.18"/>
    <n v="236493"/>
    <n v="27291"/>
    <n v="0"/>
    <n v="263784"/>
    <s v="JA 17"/>
    <s v="2022-11"/>
    <s v="설계문제"/>
    <s v="경고등 점등"/>
    <n v="60000"/>
    <n v="60000"/>
    <n v="36"/>
    <n v="36"/>
    <s v="C21"/>
    <s v="UK"/>
    <x v="0"/>
    <x v="1"/>
    <s v="컨버터"/>
    <s v="카파(WIA)"/>
    <x v="15"/>
    <s v="2026년"/>
    <s v="2분기"/>
  </r>
  <r>
    <s v="WIA"/>
    <s v="D"/>
    <s v="2026041WW"/>
    <s v="K"/>
    <s v="R151"/>
    <n v="32"/>
    <s v="2026/04"/>
    <s v="2170002026W00317200"/>
    <s v="KNACH811BRT399070"/>
    <s v="W"/>
    <s v="A3"/>
    <s v="2853004GJ1"/>
    <s v="CONVERTER ASSY-W/UP CATALYTIC"/>
    <m/>
    <m/>
    <s v="DRV2170B"/>
    <s v="ALL"/>
    <s v="W11"/>
    <d v="2024-05-22T00:00:00"/>
    <d v="2026-04-08T00:00:00"/>
    <d v="2024-05-22T00:00:00"/>
    <n v="23"/>
    <n v="17701"/>
    <m/>
    <n v="100"/>
    <n v="25.44"/>
    <n v="25.44"/>
    <n v="118580"/>
    <n v="33580"/>
    <n v="0"/>
    <n v="152160"/>
    <s v="레이 11"/>
    <s v="2024-05"/>
    <e v="#N/A"/>
    <s v="경고등 점등"/>
    <n v="20000"/>
    <n v="20000"/>
    <n v="24"/>
    <n v="24"/>
    <s v="217"/>
    <s v="한국"/>
    <x v="0"/>
    <x v="1"/>
    <s v="컨버터"/>
    <s v="카파(WIA)"/>
    <x v="15"/>
    <s v="2026년"/>
    <s v="2분기"/>
  </r>
  <r>
    <s v="WIA"/>
    <s v="D"/>
    <s v="2026041WW"/>
    <s v="K"/>
    <s v="R151"/>
    <n v="33"/>
    <s v="2026/04"/>
    <s v="RK01502026W00033900"/>
    <s v="KNACG811BRT400211"/>
    <s v="W"/>
    <s v="A3"/>
    <s v="2853004GJ1"/>
    <s v="CONVERTER ASSY-W/UP CATALYTIC"/>
    <m/>
    <m/>
    <s v="28530RQ0"/>
    <s v="ALL"/>
    <s v="W11"/>
    <d v="2024-06-04T00:00:00"/>
    <d v="2026-04-09T00:00:00"/>
    <d v="2024-06-13T00:00:00"/>
    <n v="22"/>
    <n v="41836"/>
    <m/>
    <n v="100"/>
    <n v="25.44"/>
    <n v="25.44"/>
    <n v="119263"/>
    <n v="27068"/>
    <n v="0"/>
    <n v="146331"/>
    <s v="레이 11"/>
    <s v="2024-06"/>
    <e v="#N/A"/>
    <s v="경고등 점등"/>
    <n v="50000"/>
    <n v="45000"/>
    <n v="24"/>
    <n v="24"/>
    <s v="RK0"/>
    <s v="한국"/>
    <x v="0"/>
    <x v="1"/>
    <s v="컨버터"/>
    <s v="카파(WIA)"/>
    <x v="15"/>
    <s v="2026년"/>
    <s v="2분기"/>
  </r>
  <r>
    <s v="WIA"/>
    <s v="E"/>
    <s v="2026041WW"/>
    <s v="K"/>
    <s v="R151"/>
    <n v="51"/>
    <s v="2026/04"/>
    <s v="D12VF00108526711000"/>
    <s v="KNAB3512BRT223890"/>
    <s v="W"/>
    <s v="G6"/>
    <s v="2851003GA1"/>
    <s v="MANIFOLD CATALYTIC ASSY-EXH"/>
    <m/>
    <m/>
    <s v="28511R1K"/>
    <s v="ZZ5"/>
    <s v="DD1"/>
    <d v="2024-01-26T00:00:00"/>
    <d v="2026-04-09T00:00:00"/>
    <d v="2024-04-18T00:00:00"/>
    <n v="24"/>
    <n v="15944"/>
    <m/>
    <n v="100"/>
    <n v="18.18"/>
    <n v="18.18"/>
    <n v="121388"/>
    <n v="4012"/>
    <n v="0"/>
    <n v="125400"/>
    <s v="JA 17"/>
    <s v="2024-01"/>
    <s v="상품성 불만"/>
    <s v="엔진 출력부족"/>
    <n v="20000"/>
    <n v="20000"/>
    <n v="30"/>
    <n v="27"/>
    <s v="D12"/>
    <s v="MOROCCO"/>
    <x v="0"/>
    <x v="1"/>
    <s v="컨버터"/>
    <s v="카파(WIA)"/>
    <x v="15"/>
    <s v="2026년"/>
    <s v="2분기"/>
  </r>
  <r>
    <s v="WIA"/>
    <s v="E"/>
    <s v="2026041WW"/>
    <s v="K"/>
    <s v="R151"/>
    <n v="52"/>
    <s v="2026/04"/>
    <s v="A02VE86532260000003"/>
    <s v="KNAB2512MST318620"/>
    <s v="W"/>
    <s v="G6"/>
    <s v="2851003GA1"/>
    <s v="MANIFOLD CATALYTIC ASSY-EXH"/>
    <m/>
    <m/>
    <s v="28511R1K"/>
    <s v="ZZ3"/>
    <s v="W17"/>
    <d v="2024-10-23T00:00:00"/>
    <d v="2026-02-16T00:00:00"/>
    <d v="2024-12-31T00:00:00"/>
    <n v="14"/>
    <n v="9765"/>
    <m/>
    <n v="100"/>
    <n v="18.18"/>
    <n v="18.18"/>
    <n v="176289"/>
    <n v="45564"/>
    <n v="13359"/>
    <n v="235212"/>
    <s v="JA 17"/>
    <s v="2024-10"/>
    <s v="단품불량"/>
    <s v="경고등 점등"/>
    <n v="10000"/>
    <n v="10000"/>
    <n v="18"/>
    <n v="15"/>
    <s v="A02"/>
    <s v="AUSTRALIA"/>
    <x v="0"/>
    <x v="1"/>
    <s v="컨버터"/>
    <s v="카파(WIA)"/>
    <x v="15"/>
    <s v="2026년"/>
    <s v="2분기"/>
  </r>
  <r>
    <s v="WIA"/>
    <s v="E"/>
    <s v="2026041WW"/>
    <s v="K"/>
    <s v="R151"/>
    <n v="53"/>
    <s v="2026/04"/>
    <s v="A02VE82132260000009"/>
    <s v="KNAB2512MTT469235"/>
    <s v="W"/>
    <s v="G6"/>
    <s v="2851003GA1"/>
    <s v="MANIFOLD CATALYTIC ASSY-EXH"/>
    <m/>
    <m/>
    <s v="28511R1K"/>
    <s v="ZZ3"/>
    <s v="DD1"/>
    <d v="2025-11-28T00:00:00"/>
    <d v="2026-03-17T00:00:00"/>
    <d v="2026-02-01T00:00:00"/>
    <n v="2"/>
    <n v="163"/>
    <m/>
    <n v="100"/>
    <n v="18.18"/>
    <n v="18.18"/>
    <n v="175639"/>
    <n v="71812"/>
    <n v="0"/>
    <n v="247451"/>
    <s v="JA 17"/>
    <s v="2025-11"/>
    <s v="단품불량"/>
    <s v="엔진 출력부족"/>
    <n v="10000"/>
    <n v="5000"/>
    <n v="6"/>
    <n v="3"/>
    <s v="A02"/>
    <s v="AUSTRALIA"/>
    <x v="0"/>
    <x v="1"/>
    <s v="컨버터"/>
    <s v="카파(WIA)"/>
    <x v="15"/>
    <s v="2026년"/>
    <s v="2분기"/>
  </r>
  <r>
    <s v="WIA"/>
    <s v="E"/>
    <s v="2026041WW"/>
    <s v="K"/>
    <s v="R151"/>
    <n v="54"/>
    <s v="2026/04"/>
    <s v="B08VACL141000209425"/>
    <s v="KNAB2512ATT351584"/>
    <s v="W"/>
    <s v="G6"/>
    <s v="2851003GB1"/>
    <s v="MANIFOLD CATALYTIC ASSY-EXH"/>
    <m/>
    <m/>
    <s v="28530R1K"/>
    <s v="ZZ3"/>
    <s v="Q76"/>
    <d v="2025-01-17T00:00:00"/>
    <d v="2025-11-18T00:00:00"/>
    <d v="2025-11-06T00:00:00"/>
    <n v="1"/>
    <n v="1375"/>
    <m/>
    <n v="100"/>
    <n v="18.18"/>
    <n v="18.18"/>
    <n v="79945"/>
    <n v="4347"/>
    <n v="0"/>
    <n v="84292"/>
    <s v="JA 17"/>
    <s v="2025-01"/>
    <s v="단품불량"/>
    <s v="소음"/>
    <n v="10000"/>
    <n v="5000"/>
    <n v="6"/>
    <n v="3"/>
    <s v="B08"/>
    <s v="COLOMBIA"/>
    <x v="0"/>
    <x v="1"/>
    <s v="컨버터"/>
    <s v="카파(WIA)"/>
    <x v="15"/>
    <s v="2026년"/>
    <s v="2분기"/>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99881-53F9-4909-A99C-5CE4CBD1CB64}" name="피벗 테이블2" cacheId="0" applyNumberFormats="0" applyBorderFormats="0" applyFontFormats="0" applyPatternFormats="0" applyAlignmentFormats="0" applyWidthHeightFormats="1" dataCaption="값" updatedVersion="7" minRefreshableVersion="3" useAutoFormatting="1" colGrandTotals="0" itemPrintTitles="1" createdVersion="7" indent="0" compact="0" compactData="0" gridDropZones="1" multipleFieldFilters="0">
  <location ref="A3:D36" firstHeaderRow="1" firstDataRow="2" firstDataCol="2"/>
  <pivotFields count="4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6" outline="0" showAll="0"/>
    <pivotField compact="0" numFmtId="3" outline="0" showAll="0"/>
    <pivotField compact="0" outline="0" showAll="0"/>
    <pivotField compact="0" numFmtId="4" outline="0" showAll="0"/>
    <pivotField compact="0" numFmtId="4" outline="0" showAll="0"/>
    <pivotField compact="0" numFmtId="4" outline="0" showAll="0"/>
    <pivotField compact="0" numFmtId="4" outline="0" showAll="0"/>
    <pivotField compact="0" numFmtId="4" outline="0" showAll="0"/>
    <pivotField compact="0" numFmtId="4" outline="0" showAll="0"/>
    <pivotField dataField="1" compact="0" numFmtId="17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9"/>
        <item x="10"/>
        <item x="2"/>
        <item x="5"/>
        <item x="1"/>
        <item x="8"/>
        <item x="4"/>
        <item x="6"/>
        <item x="3"/>
        <item x="7"/>
        <item x="0"/>
        <item t="default"/>
      </items>
    </pivotField>
    <pivotField axis="axisCol" compact="0" outline="0" showAll="0">
      <items count="3">
        <item x="0"/>
        <item x="1"/>
        <item t="default"/>
      </items>
    </pivotField>
    <pivotField compact="0" outline="0" showAll="0"/>
    <pivotField compact="0" outline="0" showAll="0"/>
    <pivotField axis="axisRow" compact="0" outline="0" showAll="0" defaultSubtotal="0">
      <items count="17">
        <item x="10"/>
        <item x="9"/>
        <item x="6"/>
        <item x="4"/>
        <item x="3"/>
        <item x="8"/>
        <item x="16"/>
        <item x="12"/>
        <item x="2"/>
        <item x="11"/>
        <item x="5"/>
        <item x="1"/>
        <item x="0"/>
        <item x="14"/>
        <item x="7"/>
        <item x="15"/>
        <item x="13"/>
      </items>
    </pivotField>
    <pivotField compact="0" outline="0" showAll="0"/>
    <pivotField compact="0" outline="0" showAll="0"/>
  </pivotFields>
  <rowFields count="2">
    <field x="45"/>
    <field x="41"/>
  </rowFields>
  <rowItems count="32">
    <i>
      <x/>
      <x v="6"/>
    </i>
    <i>
      <x v="1"/>
      <x v="4"/>
    </i>
    <i r="1">
      <x v="6"/>
    </i>
    <i>
      <x v="2"/>
      <x/>
    </i>
    <i r="1">
      <x v="3"/>
    </i>
    <i r="1">
      <x v="5"/>
    </i>
    <i r="1">
      <x v="6"/>
    </i>
    <i>
      <x v="3"/>
      <x v="3"/>
    </i>
    <i r="1">
      <x v="4"/>
    </i>
    <i r="1">
      <x v="5"/>
    </i>
    <i r="1">
      <x v="8"/>
    </i>
    <i>
      <x v="4"/>
      <x v="3"/>
    </i>
    <i r="1">
      <x v="4"/>
    </i>
    <i r="1">
      <x v="6"/>
    </i>
    <i r="1">
      <x v="8"/>
    </i>
    <i>
      <x v="5"/>
      <x v="3"/>
    </i>
    <i r="1">
      <x v="4"/>
    </i>
    <i>
      <x v="6"/>
      <x v="1"/>
    </i>
    <i>
      <x v="7"/>
      <x v="3"/>
    </i>
    <i>
      <x v="8"/>
      <x v="2"/>
    </i>
    <i r="1">
      <x v="6"/>
    </i>
    <i>
      <x v="9"/>
      <x v="10"/>
    </i>
    <i>
      <x v="10"/>
      <x v="6"/>
    </i>
    <i>
      <x v="11"/>
      <x v="4"/>
    </i>
    <i r="1">
      <x v="6"/>
    </i>
    <i r="1">
      <x v="7"/>
    </i>
    <i>
      <x v="12"/>
      <x v="10"/>
    </i>
    <i>
      <x v="13"/>
      <x v="10"/>
    </i>
    <i>
      <x v="14"/>
      <x v="10"/>
    </i>
    <i>
      <x v="15"/>
      <x v="10"/>
    </i>
    <i>
      <x v="16"/>
      <x v="9"/>
    </i>
    <i t="grand">
      <x/>
    </i>
  </rowItems>
  <colFields count="1">
    <field x="42"/>
  </colFields>
  <colItems count="2">
    <i>
      <x/>
    </i>
    <i>
      <x v="1"/>
    </i>
  </colItems>
  <dataFields count="1">
    <dataField name="합계 : 변제합계"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B581-B103-42A5-929B-695643CBF746}">
  <dimension ref="A1:E54"/>
  <sheetViews>
    <sheetView topLeftCell="A22" workbookViewId="0">
      <selection activeCell="C26" sqref="C26:D26"/>
    </sheetView>
  </sheetViews>
  <sheetFormatPr defaultRowHeight="16.5" x14ac:dyDescent="0.3"/>
  <cols>
    <col min="1" max="1" width="24.5" bestFit="1" customWidth="1"/>
    <col min="2" max="2" width="19.5" bestFit="1" customWidth="1"/>
    <col min="3" max="4" width="8.5" bestFit="1" customWidth="1"/>
  </cols>
  <sheetData>
    <row r="1" spans="1:5" x14ac:dyDescent="0.3">
      <c r="A1" s="22" t="s">
        <v>433</v>
      </c>
      <c r="B1" s="22" t="s">
        <v>438</v>
      </c>
      <c r="C1" s="22">
        <v>202603</v>
      </c>
      <c r="D1" s="22">
        <v>202604</v>
      </c>
      <c r="E1" t="s">
        <v>442</v>
      </c>
    </row>
    <row r="2" spans="1:5" x14ac:dyDescent="0.3">
      <c r="A2" s="32" t="s">
        <v>434</v>
      </c>
      <c r="B2" t="s">
        <v>37</v>
      </c>
      <c r="C2" s="23">
        <v>1957445</v>
      </c>
      <c r="D2" s="23">
        <v>4439399</v>
      </c>
      <c r="E2" s="23">
        <f t="shared" ref="E2:E17" si="0">D2-C2</f>
        <v>2481954</v>
      </c>
    </row>
    <row r="3" spans="1:5" x14ac:dyDescent="0.3">
      <c r="A3" s="32" t="s">
        <v>192</v>
      </c>
      <c r="B3" t="s">
        <v>46</v>
      </c>
      <c r="C3" s="23">
        <v>172989</v>
      </c>
      <c r="D3" s="23">
        <v>488964</v>
      </c>
      <c r="E3" s="23">
        <f t="shared" si="0"/>
        <v>315975</v>
      </c>
    </row>
    <row r="4" spans="1:5" x14ac:dyDescent="0.3">
      <c r="A4" s="32" t="s">
        <v>135</v>
      </c>
      <c r="B4" t="s">
        <v>439</v>
      </c>
      <c r="C4" s="23">
        <v>211058</v>
      </c>
      <c r="D4" s="23">
        <v>349353</v>
      </c>
      <c r="E4" s="23">
        <f t="shared" si="0"/>
        <v>138295</v>
      </c>
    </row>
    <row r="5" spans="1:5" x14ac:dyDescent="0.3">
      <c r="A5" s="32" t="s">
        <v>133</v>
      </c>
      <c r="B5" t="s">
        <v>89</v>
      </c>
      <c r="C5" s="23">
        <v>214045</v>
      </c>
      <c r="D5" s="23">
        <v>272400</v>
      </c>
      <c r="E5" s="23">
        <f t="shared" si="0"/>
        <v>58355</v>
      </c>
    </row>
    <row r="6" spans="1:5" x14ac:dyDescent="0.3">
      <c r="A6" s="32" t="s">
        <v>274</v>
      </c>
      <c r="B6" t="s">
        <v>46</v>
      </c>
      <c r="C6" s="23"/>
      <c r="D6" s="23">
        <v>49936</v>
      </c>
      <c r="E6" s="23">
        <f t="shared" si="0"/>
        <v>49936</v>
      </c>
    </row>
    <row r="7" spans="1:5" x14ac:dyDescent="0.3">
      <c r="A7" s="32" t="s">
        <v>62</v>
      </c>
      <c r="B7" t="s">
        <v>735</v>
      </c>
      <c r="C7" s="23"/>
      <c r="D7" s="23">
        <v>39137</v>
      </c>
      <c r="E7" s="23">
        <f t="shared" si="0"/>
        <v>39137</v>
      </c>
    </row>
    <row r="8" spans="1:5" x14ac:dyDescent="0.3">
      <c r="A8" s="32" t="s">
        <v>62</v>
      </c>
      <c r="B8" t="s">
        <v>48</v>
      </c>
      <c r="C8" s="23"/>
      <c r="D8" s="23">
        <v>34596</v>
      </c>
      <c r="E8" s="23">
        <f t="shared" si="0"/>
        <v>34596</v>
      </c>
    </row>
    <row r="9" spans="1:5" x14ac:dyDescent="0.3">
      <c r="A9" s="32" t="s">
        <v>192</v>
      </c>
      <c r="B9" t="s">
        <v>289</v>
      </c>
      <c r="C9" s="23"/>
      <c r="D9" s="23">
        <v>9547</v>
      </c>
      <c r="E9" s="23">
        <f t="shared" si="0"/>
        <v>9547</v>
      </c>
    </row>
    <row r="10" spans="1:5" x14ac:dyDescent="0.3">
      <c r="A10" s="32" t="s">
        <v>133</v>
      </c>
      <c r="B10" t="s">
        <v>289</v>
      </c>
      <c r="C10" s="23"/>
      <c r="D10" s="23">
        <v>2002</v>
      </c>
      <c r="E10" s="23">
        <f t="shared" si="0"/>
        <v>2002</v>
      </c>
    </row>
    <row r="11" spans="1:5" x14ac:dyDescent="0.3">
      <c r="A11" s="32" t="s">
        <v>62</v>
      </c>
      <c r="B11" t="s">
        <v>53</v>
      </c>
      <c r="C11" s="23">
        <v>59149</v>
      </c>
      <c r="D11" s="23">
        <v>32691</v>
      </c>
      <c r="E11" s="23">
        <f t="shared" si="0"/>
        <v>-26458</v>
      </c>
    </row>
    <row r="12" spans="1:5" x14ac:dyDescent="0.3">
      <c r="A12" s="32" t="s">
        <v>435</v>
      </c>
      <c r="B12" t="s">
        <v>37</v>
      </c>
      <c r="C12" s="23">
        <v>431608</v>
      </c>
      <c r="D12" s="23">
        <v>401774</v>
      </c>
      <c r="E12" s="23">
        <f t="shared" si="0"/>
        <v>-29834</v>
      </c>
    </row>
    <row r="13" spans="1:5" x14ac:dyDescent="0.3">
      <c r="A13" s="32" t="s">
        <v>44</v>
      </c>
      <c r="B13" t="s">
        <v>168</v>
      </c>
      <c r="C13" s="23">
        <v>79358</v>
      </c>
      <c r="D13" s="23">
        <v>26502</v>
      </c>
      <c r="E13" s="23">
        <f t="shared" si="0"/>
        <v>-52856</v>
      </c>
    </row>
    <row r="14" spans="1:5" x14ac:dyDescent="0.3">
      <c r="A14" s="32" t="s">
        <v>44</v>
      </c>
      <c r="B14" t="s">
        <v>46</v>
      </c>
      <c r="C14" s="23">
        <v>542635</v>
      </c>
      <c r="D14" s="23">
        <v>486220</v>
      </c>
      <c r="E14" s="23">
        <f t="shared" si="0"/>
        <v>-56415</v>
      </c>
    </row>
    <row r="15" spans="1:5" x14ac:dyDescent="0.3">
      <c r="A15" s="32" t="s">
        <v>274</v>
      </c>
      <c r="B15" t="s">
        <v>53</v>
      </c>
      <c r="C15" s="23">
        <v>67383</v>
      </c>
      <c r="D15" s="23"/>
      <c r="E15" s="23">
        <f t="shared" si="0"/>
        <v>-67383</v>
      </c>
    </row>
    <row r="16" spans="1:5" x14ac:dyDescent="0.3">
      <c r="A16" s="32" t="s">
        <v>44</v>
      </c>
      <c r="B16" t="s">
        <v>53</v>
      </c>
      <c r="C16" s="23">
        <v>137776</v>
      </c>
      <c r="D16" s="23">
        <v>48613</v>
      </c>
      <c r="E16" s="23">
        <f t="shared" si="0"/>
        <v>-89163</v>
      </c>
    </row>
    <row r="17" spans="1:5" x14ac:dyDescent="0.3">
      <c r="A17" s="32" t="s">
        <v>52</v>
      </c>
      <c r="B17" t="s">
        <v>46</v>
      </c>
      <c r="C17" s="23">
        <v>307114</v>
      </c>
      <c r="D17" s="23"/>
      <c r="E17" s="23">
        <f t="shared" si="0"/>
        <v>-307114</v>
      </c>
    </row>
    <row r="23" spans="1:5" x14ac:dyDescent="0.3">
      <c r="A23" s="22" t="s">
        <v>433</v>
      </c>
      <c r="B23" s="22" t="s">
        <v>438</v>
      </c>
      <c r="C23" s="22">
        <v>202603</v>
      </c>
      <c r="D23" s="22">
        <v>202604</v>
      </c>
      <c r="E23" t="s">
        <v>442</v>
      </c>
    </row>
    <row r="24" spans="1:5" x14ac:dyDescent="0.3">
      <c r="A24" s="33" t="s">
        <v>945</v>
      </c>
      <c r="B24" t="s">
        <v>849</v>
      </c>
      <c r="C24" s="23"/>
      <c r="D24" s="23">
        <v>809451</v>
      </c>
      <c r="E24" s="23">
        <f t="shared" ref="E24:E54" si="1">D24-C24</f>
        <v>809451</v>
      </c>
    </row>
    <row r="25" spans="1:5" x14ac:dyDescent="0.3">
      <c r="A25" s="34" t="s">
        <v>192</v>
      </c>
      <c r="B25" t="s">
        <v>46</v>
      </c>
      <c r="C25" s="23">
        <v>172989</v>
      </c>
      <c r="D25" s="23">
        <v>651654</v>
      </c>
      <c r="E25" s="23">
        <f t="shared" si="1"/>
        <v>478665</v>
      </c>
    </row>
    <row r="26" spans="1:5" x14ac:dyDescent="0.3">
      <c r="A26" s="34" t="s">
        <v>946</v>
      </c>
      <c r="B26" t="s">
        <v>37</v>
      </c>
      <c r="C26" s="23">
        <v>457282</v>
      </c>
      <c r="D26" s="23">
        <v>597334</v>
      </c>
      <c r="E26" s="23">
        <f t="shared" si="1"/>
        <v>140052</v>
      </c>
    </row>
    <row r="27" spans="1:5" x14ac:dyDescent="0.3">
      <c r="A27" s="34" t="s">
        <v>133</v>
      </c>
      <c r="B27" t="s">
        <v>46</v>
      </c>
      <c r="C27" s="23"/>
      <c r="D27" s="23">
        <v>75122</v>
      </c>
      <c r="E27" s="23">
        <f t="shared" si="1"/>
        <v>75122</v>
      </c>
    </row>
    <row r="28" spans="1:5" x14ac:dyDescent="0.3">
      <c r="A28" s="34" t="s">
        <v>274</v>
      </c>
      <c r="B28" t="s">
        <v>46</v>
      </c>
      <c r="C28" s="23"/>
      <c r="D28" s="23">
        <v>49936</v>
      </c>
      <c r="E28" s="23">
        <f t="shared" si="1"/>
        <v>49936</v>
      </c>
    </row>
    <row r="29" spans="1:5" x14ac:dyDescent="0.3">
      <c r="A29" s="34" t="s">
        <v>62</v>
      </c>
      <c r="B29" t="s">
        <v>735</v>
      </c>
      <c r="C29" s="23"/>
      <c r="D29" s="23">
        <v>39137</v>
      </c>
      <c r="E29" s="23">
        <f t="shared" si="1"/>
        <v>39137</v>
      </c>
    </row>
    <row r="30" spans="1:5" x14ac:dyDescent="0.3">
      <c r="A30" s="34" t="s">
        <v>135</v>
      </c>
      <c r="B30" t="s">
        <v>53</v>
      </c>
      <c r="C30" s="23"/>
      <c r="D30" s="23">
        <v>34855</v>
      </c>
      <c r="E30" s="23">
        <f t="shared" si="1"/>
        <v>34855</v>
      </c>
    </row>
    <row r="31" spans="1:5" x14ac:dyDescent="0.3">
      <c r="A31" s="34" t="s">
        <v>62</v>
      </c>
      <c r="B31" t="s">
        <v>48</v>
      </c>
      <c r="C31" s="23"/>
      <c r="D31" s="23">
        <v>34596</v>
      </c>
      <c r="E31" s="23">
        <f t="shared" si="1"/>
        <v>34596</v>
      </c>
    </row>
    <row r="32" spans="1:5" x14ac:dyDescent="0.3">
      <c r="A32" s="34" t="s">
        <v>192</v>
      </c>
      <c r="B32" t="s">
        <v>289</v>
      </c>
      <c r="C32" s="23"/>
      <c r="D32" s="23">
        <v>9547</v>
      </c>
      <c r="E32" s="23">
        <f t="shared" si="1"/>
        <v>9547</v>
      </c>
    </row>
    <row r="33" spans="1:5" x14ac:dyDescent="0.3">
      <c r="A33" s="34" t="s">
        <v>133</v>
      </c>
      <c r="B33" t="s">
        <v>289</v>
      </c>
      <c r="C33" s="23"/>
      <c r="D33" s="23">
        <v>2002</v>
      </c>
      <c r="E33" s="23">
        <f t="shared" si="1"/>
        <v>2002</v>
      </c>
    </row>
    <row r="34" spans="1:5" x14ac:dyDescent="0.3">
      <c r="A34" s="34" t="s">
        <v>95</v>
      </c>
      <c r="B34" t="s">
        <v>53</v>
      </c>
      <c r="C34" s="23">
        <v>24523</v>
      </c>
      <c r="D34" s="23">
        <v>25950</v>
      </c>
      <c r="E34" s="23">
        <f t="shared" si="1"/>
        <v>1427</v>
      </c>
    </row>
    <row r="35" spans="1:5" x14ac:dyDescent="0.3">
      <c r="A35" s="34" t="s">
        <v>62</v>
      </c>
      <c r="B35" t="s">
        <v>289</v>
      </c>
      <c r="C35" s="23">
        <v>6446</v>
      </c>
      <c r="D35" s="23"/>
      <c r="E35" s="23">
        <f t="shared" si="1"/>
        <v>-6446</v>
      </c>
    </row>
    <row r="36" spans="1:5" x14ac:dyDescent="0.3">
      <c r="A36" s="34" t="s">
        <v>52</v>
      </c>
      <c r="B36" t="s">
        <v>289</v>
      </c>
      <c r="C36" s="23">
        <v>50662</v>
      </c>
      <c r="D36" s="23">
        <v>42703</v>
      </c>
      <c r="E36" s="23">
        <f t="shared" si="1"/>
        <v>-7959</v>
      </c>
    </row>
    <row r="37" spans="1:5" x14ac:dyDescent="0.3">
      <c r="A37" s="34" t="s">
        <v>52</v>
      </c>
      <c r="B37" t="s">
        <v>48</v>
      </c>
      <c r="C37" s="23">
        <v>23286</v>
      </c>
      <c r="D37" s="23"/>
      <c r="E37" s="23">
        <f t="shared" si="1"/>
        <v>-23286</v>
      </c>
    </row>
    <row r="38" spans="1:5" x14ac:dyDescent="0.3">
      <c r="A38" s="34" t="s">
        <v>62</v>
      </c>
      <c r="B38" t="s">
        <v>53</v>
      </c>
      <c r="C38" s="23">
        <v>59149</v>
      </c>
      <c r="D38" s="23">
        <v>32691</v>
      </c>
      <c r="E38" s="23">
        <f t="shared" si="1"/>
        <v>-26458</v>
      </c>
    </row>
    <row r="39" spans="1:5" x14ac:dyDescent="0.3">
      <c r="A39" s="34" t="s">
        <v>415</v>
      </c>
      <c r="B39" t="s">
        <v>289</v>
      </c>
      <c r="C39" s="23">
        <v>28594</v>
      </c>
      <c r="D39" s="23"/>
      <c r="E39" s="23">
        <f t="shared" si="1"/>
        <v>-28594</v>
      </c>
    </row>
    <row r="40" spans="1:5" x14ac:dyDescent="0.3">
      <c r="A40" s="34" t="s">
        <v>133</v>
      </c>
      <c r="B40" t="s">
        <v>89</v>
      </c>
      <c r="C40" s="23">
        <v>368212</v>
      </c>
      <c r="D40" s="23">
        <v>336488</v>
      </c>
      <c r="E40" s="23">
        <f t="shared" si="1"/>
        <v>-31724</v>
      </c>
    </row>
    <row r="41" spans="1:5" x14ac:dyDescent="0.3">
      <c r="A41" s="33" t="s">
        <v>52</v>
      </c>
      <c r="B41" t="s">
        <v>89</v>
      </c>
      <c r="C41" s="23">
        <v>492886</v>
      </c>
      <c r="D41" s="23">
        <v>453684</v>
      </c>
      <c r="E41" s="23">
        <f t="shared" si="1"/>
        <v>-39202</v>
      </c>
    </row>
    <row r="42" spans="1:5" x14ac:dyDescent="0.3">
      <c r="A42" s="33" t="s">
        <v>133</v>
      </c>
      <c r="B42" t="s">
        <v>53</v>
      </c>
      <c r="C42" s="23">
        <v>41936</v>
      </c>
      <c r="D42" s="23"/>
      <c r="E42" s="23">
        <f t="shared" si="1"/>
        <v>-41936</v>
      </c>
    </row>
    <row r="43" spans="1:5" x14ac:dyDescent="0.3">
      <c r="A43" s="34" t="s">
        <v>44</v>
      </c>
      <c r="B43" t="s">
        <v>168</v>
      </c>
      <c r="C43" s="23">
        <v>79358</v>
      </c>
      <c r="D43" s="23">
        <v>26502</v>
      </c>
      <c r="E43" s="23">
        <f t="shared" si="1"/>
        <v>-52856</v>
      </c>
    </row>
    <row r="44" spans="1:5" x14ac:dyDescent="0.3">
      <c r="A44" s="34" t="s">
        <v>44</v>
      </c>
      <c r="B44" t="s">
        <v>46</v>
      </c>
      <c r="C44" s="23">
        <v>551793</v>
      </c>
      <c r="D44" s="23">
        <v>486220</v>
      </c>
      <c r="E44" s="23">
        <f t="shared" si="1"/>
        <v>-65573</v>
      </c>
    </row>
    <row r="45" spans="1:5" x14ac:dyDescent="0.3">
      <c r="A45" s="33" t="s">
        <v>274</v>
      </c>
      <c r="B45" t="s">
        <v>53</v>
      </c>
      <c r="C45" s="23">
        <v>67383</v>
      </c>
      <c r="D45" s="23"/>
      <c r="E45" s="23">
        <f t="shared" si="1"/>
        <v>-67383</v>
      </c>
    </row>
    <row r="46" spans="1:5" x14ac:dyDescent="0.3">
      <c r="A46" s="33" t="s">
        <v>948</v>
      </c>
      <c r="B46" t="s">
        <v>297</v>
      </c>
      <c r="C46" s="23">
        <v>73389</v>
      </c>
      <c r="D46" s="23"/>
      <c r="E46" s="23">
        <f t="shared" si="1"/>
        <v>-73389</v>
      </c>
    </row>
    <row r="47" spans="1:5" x14ac:dyDescent="0.3">
      <c r="A47" s="34" t="s">
        <v>44</v>
      </c>
      <c r="B47" t="s">
        <v>53</v>
      </c>
      <c r="C47" s="23">
        <v>137776</v>
      </c>
      <c r="D47" s="23">
        <v>48613</v>
      </c>
      <c r="E47" s="23">
        <f t="shared" si="1"/>
        <v>-89163</v>
      </c>
    </row>
    <row r="48" spans="1:5" x14ac:dyDescent="0.3">
      <c r="A48" s="34" t="s">
        <v>409</v>
      </c>
      <c r="B48" t="s">
        <v>53</v>
      </c>
      <c r="C48" s="23">
        <v>98373</v>
      </c>
      <c r="D48" s="23"/>
      <c r="E48" s="23">
        <f t="shared" si="1"/>
        <v>-98373</v>
      </c>
    </row>
    <row r="49" spans="1:5" x14ac:dyDescent="0.3">
      <c r="A49" s="34" t="s">
        <v>135</v>
      </c>
      <c r="B49" t="s">
        <v>439</v>
      </c>
      <c r="C49" s="23">
        <v>521767</v>
      </c>
      <c r="D49" s="23">
        <v>401989</v>
      </c>
      <c r="E49" s="23">
        <f t="shared" si="1"/>
        <v>-119778</v>
      </c>
    </row>
    <row r="50" spans="1:5" x14ac:dyDescent="0.3">
      <c r="A50" s="33" t="s">
        <v>947</v>
      </c>
      <c r="B50" t="s">
        <v>37</v>
      </c>
      <c r="C50" s="23">
        <v>151406</v>
      </c>
      <c r="D50" s="23"/>
      <c r="E50" s="23">
        <f t="shared" si="1"/>
        <v>-151406</v>
      </c>
    </row>
    <row r="51" spans="1:5" x14ac:dyDescent="0.3">
      <c r="A51" s="33" t="s">
        <v>52</v>
      </c>
      <c r="B51" t="s">
        <v>46</v>
      </c>
      <c r="C51" s="23">
        <v>559223</v>
      </c>
      <c r="D51" s="23"/>
      <c r="E51" s="23">
        <f t="shared" si="1"/>
        <v>-559223</v>
      </c>
    </row>
    <row r="52" spans="1:5" x14ac:dyDescent="0.3">
      <c r="A52" s="33" t="s">
        <v>434</v>
      </c>
      <c r="B52" t="s">
        <v>37</v>
      </c>
      <c r="C52" s="23">
        <v>5669936</v>
      </c>
      <c r="D52" s="23">
        <v>4938589</v>
      </c>
      <c r="E52" s="23">
        <f t="shared" si="1"/>
        <v>-731347</v>
      </c>
    </row>
    <row r="53" spans="1:5" x14ac:dyDescent="0.3">
      <c r="A53" s="33" t="s">
        <v>436</v>
      </c>
      <c r="B53" t="s">
        <v>37</v>
      </c>
      <c r="C53" s="23">
        <v>3858466</v>
      </c>
      <c r="D53" s="23">
        <v>3019765</v>
      </c>
      <c r="E53" s="23">
        <f t="shared" si="1"/>
        <v>-838701</v>
      </c>
    </row>
    <row r="54" spans="1:5" x14ac:dyDescent="0.3">
      <c r="A54" s="33" t="s">
        <v>435</v>
      </c>
      <c r="B54" t="s">
        <v>37</v>
      </c>
      <c r="C54" s="23">
        <v>1735313</v>
      </c>
      <c r="D54" s="23">
        <v>750278</v>
      </c>
      <c r="E54" s="23">
        <f t="shared" si="1"/>
        <v>-985035</v>
      </c>
    </row>
  </sheetData>
  <autoFilter ref="A23:E54" xr:uid="{2578B581-B103-42A5-929B-695643CBF746}">
    <sortState xmlns:xlrd2="http://schemas.microsoft.com/office/spreadsheetml/2017/richdata2" ref="A24:E54">
      <sortCondition descending="1" ref="E23:E54"/>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9955-4967-4A9D-9AA7-668545380814}">
  <dimension ref="A3:D36"/>
  <sheetViews>
    <sheetView topLeftCell="A2" workbookViewId="0">
      <selection activeCell="D35" sqref="A4:D35"/>
    </sheetView>
  </sheetViews>
  <sheetFormatPr defaultRowHeight="16.5" x14ac:dyDescent="0.3"/>
  <cols>
    <col min="1" max="1" width="23.5" bestFit="1" customWidth="1"/>
    <col min="2" max="2" width="19.5" bestFit="1" customWidth="1"/>
    <col min="3" max="3" width="11.25" bestFit="1" customWidth="1"/>
    <col min="4" max="5" width="10.75" bestFit="1" customWidth="1"/>
  </cols>
  <sheetData>
    <row r="3" spans="1:4" x14ac:dyDescent="0.3">
      <c r="A3" s="21" t="s">
        <v>440</v>
      </c>
      <c r="C3" s="21" t="s">
        <v>441</v>
      </c>
    </row>
    <row r="4" spans="1:4" x14ac:dyDescent="0.3">
      <c r="A4" s="21" t="s">
        <v>433</v>
      </c>
      <c r="B4" s="21" t="s">
        <v>438</v>
      </c>
      <c r="C4">
        <v>202603</v>
      </c>
      <c r="D4">
        <v>202604</v>
      </c>
    </row>
    <row r="5" spans="1:4" x14ac:dyDescent="0.3">
      <c r="A5" t="s">
        <v>409</v>
      </c>
      <c r="B5" t="s">
        <v>53</v>
      </c>
      <c r="C5" s="35">
        <v>98373</v>
      </c>
      <c r="D5" s="35"/>
    </row>
    <row r="6" spans="1:4" x14ac:dyDescent="0.3">
      <c r="A6" t="s">
        <v>274</v>
      </c>
      <c r="B6" t="s">
        <v>46</v>
      </c>
      <c r="C6" s="35"/>
      <c r="D6" s="35">
        <v>49936</v>
      </c>
    </row>
    <row r="7" spans="1:4" x14ac:dyDescent="0.3">
      <c r="B7" t="s">
        <v>53</v>
      </c>
      <c r="C7" s="35">
        <v>67383</v>
      </c>
      <c r="D7" s="35"/>
    </row>
    <row r="8" spans="1:4" x14ac:dyDescent="0.3">
      <c r="A8" t="s">
        <v>62</v>
      </c>
      <c r="B8" t="s">
        <v>735</v>
      </c>
      <c r="C8" s="35"/>
      <c r="D8" s="35">
        <v>39137</v>
      </c>
    </row>
    <row r="9" spans="1:4" x14ac:dyDescent="0.3">
      <c r="B9" t="s">
        <v>289</v>
      </c>
      <c r="C9" s="35">
        <v>6446</v>
      </c>
      <c r="D9" s="35"/>
    </row>
    <row r="10" spans="1:4" x14ac:dyDescent="0.3">
      <c r="B10" t="s">
        <v>48</v>
      </c>
      <c r="C10" s="35"/>
      <c r="D10" s="35">
        <v>34596</v>
      </c>
    </row>
    <row r="11" spans="1:4" x14ac:dyDescent="0.3">
      <c r="B11" t="s">
        <v>53</v>
      </c>
      <c r="C11" s="35">
        <v>59149</v>
      </c>
      <c r="D11" s="35">
        <v>32691</v>
      </c>
    </row>
    <row r="12" spans="1:4" x14ac:dyDescent="0.3">
      <c r="A12" t="s">
        <v>52</v>
      </c>
      <c r="B12" t="s">
        <v>289</v>
      </c>
      <c r="C12" s="35">
        <v>50662</v>
      </c>
      <c r="D12" s="35">
        <v>42703</v>
      </c>
    </row>
    <row r="13" spans="1:4" x14ac:dyDescent="0.3">
      <c r="B13" t="s">
        <v>46</v>
      </c>
      <c r="C13" s="35">
        <v>559223</v>
      </c>
      <c r="D13" s="35"/>
    </row>
    <row r="14" spans="1:4" x14ac:dyDescent="0.3">
      <c r="B14" t="s">
        <v>48</v>
      </c>
      <c r="C14" s="35">
        <v>23286</v>
      </c>
      <c r="D14" s="35"/>
    </row>
    <row r="15" spans="1:4" x14ac:dyDescent="0.3">
      <c r="B15" t="s">
        <v>89</v>
      </c>
      <c r="C15" s="35">
        <v>492886</v>
      </c>
      <c r="D15" s="35">
        <v>453684</v>
      </c>
    </row>
    <row r="16" spans="1:4" x14ac:dyDescent="0.3">
      <c r="A16" t="s">
        <v>133</v>
      </c>
      <c r="B16" t="s">
        <v>289</v>
      </c>
      <c r="C16" s="35"/>
      <c r="D16" s="35">
        <v>2002</v>
      </c>
    </row>
    <row r="17" spans="1:4" x14ac:dyDescent="0.3">
      <c r="B17" t="s">
        <v>46</v>
      </c>
      <c r="C17" s="35"/>
      <c r="D17" s="35">
        <v>75122</v>
      </c>
    </row>
    <row r="18" spans="1:4" x14ac:dyDescent="0.3">
      <c r="B18" t="s">
        <v>53</v>
      </c>
      <c r="C18" s="35">
        <v>41936</v>
      </c>
      <c r="D18" s="35"/>
    </row>
    <row r="19" spans="1:4" x14ac:dyDescent="0.3">
      <c r="B19" t="s">
        <v>89</v>
      </c>
      <c r="C19" s="35">
        <v>368212</v>
      </c>
      <c r="D19" s="35">
        <v>336488</v>
      </c>
    </row>
    <row r="20" spans="1:4" x14ac:dyDescent="0.3">
      <c r="A20" t="s">
        <v>192</v>
      </c>
      <c r="B20" t="s">
        <v>289</v>
      </c>
      <c r="C20" s="35"/>
      <c r="D20" s="35">
        <v>9547</v>
      </c>
    </row>
    <row r="21" spans="1:4" x14ac:dyDescent="0.3">
      <c r="B21" t="s">
        <v>46</v>
      </c>
      <c r="C21" s="35">
        <v>172989</v>
      </c>
      <c r="D21" s="35">
        <v>651654</v>
      </c>
    </row>
    <row r="22" spans="1:4" x14ac:dyDescent="0.3">
      <c r="A22" t="s">
        <v>945</v>
      </c>
      <c r="B22" t="s">
        <v>849</v>
      </c>
      <c r="C22" s="35"/>
      <c r="D22" s="35">
        <v>809451</v>
      </c>
    </row>
    <row r="23" spans="1:4" x14ac:dyDescent="0.3">
      <c r="A23" t="s">
        <v>415</v>
      </c>
      <c r="B23" t="s">
        <v>289</v>
      </c>
      <c r="C23" s="35">
        <v>28594</v>
      </c>
      <c r="D23" s="35"/>
    </row>
    <row r="24" spans="1:4" x14ac:dyDescent="0.3">
      <c r="A24" t="s">
        <v>135</v>
      </c>
      <c r="B24" t="s">
        <v>439</v>
      </c>
      <c r="C24" s="35">
        <v>521767</v>
      </c>
      <c r="D24" s="35">
        <v>401989</v>
      </c>
    </row>
    <row r="25" spans="1:4" x14ac:dyDescent="0.3">
      <c r="B25" t="s">
        <v>53</v>
      </c>
      <c r="C25" s="35"/>
      <c r="D25" s="35">
        <v>34855</v>
      </c>
    </row>
    <row r="26" spans="1:4" x14ac:dyDescent="0.3">
      <c r="A26" t="s">
        <v>946</v>
      </c>
      <c r="B26" t="s">
        <v>37</v>
      </c>
      <c r="C26" s="35">
        <v>457282</v>
      </c>
      <c r="D26" s="35">
        <v>597334</v>
      </c>
    </row>
    <row r="27" spans="1:4" x14ac:dyDescent="0.3">
      <c r="A27" t="s">
        <v>95</v>
      </c>
      <c r="B27" t="s">
        <v>53</v>
      </c>
      <c r="C27" s="35">
        <v>24523</v>
      </c>
      <c r="D27" s="35">
        <v>25950</v>
      </c>
    </row>
    <row r="28" spans="1:4" x14ac:dyDescent="0.3">
      <c r="A28" t="s">
        <v>44</v>
      </c>
      <c r="B28" t="s">
        <v>46</v>
      </c>
      <c r="C28" s="35">
        <v>551793</v>
      </c>
      <c r="D28" s="35">
        <v>486220</v>
      </c>
    </row>
    <row r="29" spans="1:4" x14ac:dyDescent="0.3">
      <c r="B29" t="s">
        <v>53</v>
      </c>
      <c r="C29" s="35">
        <v>137776</v>
      </c>
      <c r="D29" s="35">
        <v>48613</v>
      </c>
    </row>
    <row r="30" spans="1:4" x14ac:dyDescent="0.3">
      <c r="B30" t="s">
        <v>168</v>
      </c>
      <c r="C30" s="35">
        <v>79358</v>
      </c>
      <c r="D30" s="35">
        <v>26502</v>
      </c>
    </row>
    <row r="31" spans="1:4" x14ac:dyDescent="0.3">
      <c r="A31" t="s">
        <v>434</v>
      </c>
      <c r="B31" t="s">
        <v>37</v>
      </c>
      <c r="C31" s="35">
        <v>5669936</v>
      </c>
      <c r="D31" s="35">
        <v>4938589</v>
      </c>
    </row>
    <row r="32" spans="1:4" x14ac:dyDescent="0.3">
      <c r="A32" t="s">
        <v>947</v>
      </c>
      <c r="B32" t="s">
        <v>37</v>
      </c>
      <c r="C32" s="35">
        <v>151406</v>
      </c>
      <c r="D32" s="35"/>
    </row>
    <row r="33" spans="1:4" x14ac:dyDescent="0.3">
      <c r="A33" t="s">
        <v>435</v>
      </c>
      <c r="B33" t="s">
        <v>37</v>
      </c>
      <c r="C33" s="35">
        <v>1735313</v>
      </c>
      <c r="D33" s="35">
        <v>750278</v>
      </c>
    </row>
    <row r="34" spans="1:4" x14ac:dyDescent="0.3">
      <c r="A34" t="s">
        <v>436</v>
      </c>
      <c r="B34" t="s">
        <v>37</v>
      </c>
      <c r="C34" s="35">
        <v>3858466</v>
      </c>
      <c r="D34" s="35">
        <v>3019765</v>
      </c>
    </row>
    <row r="35" spans="1:4" x14ac:dyDescent="0.3">
      <c r="A35" t="s">
        <v>948</v>
      </c>
      <c r="B35" t="s">
        <v>297</v>
      </c>
      <c r="C35" s="35">
        <v>73389</v>
      </c>
      <c r="D35" s="35"/>
    </row>
    <row r="36" spans="1:4" x14ac:dyDescent="0.3">
      <c r="A36" t="s">
        <v>437</v>
      </c>
      <c r="C36" s="35">
        <v>15230148</v>
      </c>
      <c r="D36" s="35">
        <v>12867106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235"/>
  <sheetViews>
    <sheetView tabSelected="1" workbookViewId="0">
      <pane ySplit="1" topLeftCell="A2" activePane="bottomLeft" state="frozen"/>
      <selection pane="bottomLeft" activeCell="N12" sqref="N12"/>
    </sheetView>
  </sheetViews>
  <sheetFormatPr defaultRowHeight="16.5" x14ac:dyDescent="0.3"/>
  <cols>
    <col min="1" max="1" width="4.5" bestFit="1" customWidth="1"/>
    <col min="2" max="2" width="7.5" bestFit="1" customWidth="1"/>
    <col min="3" max="3" width="8.25" bestFit="1" customWidth="1"/>
    <col min="4" max="4" width="3.75" bestFit="1" customWidth="1"/>
    <col min="5" max="5" width="4.5" bestFit="1" customWidth="1"/>
    <col min="6" max="6" width="3.75" bestFit="1" customWidth="1"/>
    <col min="7" max="7" width="6.75" bestFit="1" customWidth="1"/>
    <col min="8" max="8" width="16.375" bestFit="1" customWidth="1"/>
    <col min="9" max="9" width="14.75" bestFit="1" customWidth="1"/>
    <col min="10" max="10" width="6" bestFit="1" customWidth="1"/>
    <col min="11" max="11" width="4.5" bestFit="1" customWidth="1"/>
    <col min="13" max="13" width="27.25" bestFit="1" customWidth="1"/>
    <col min="14" max="14" width="16.375" bestFit="1" customWidth="1"/>
    <col min="15" max="15" width="10.5" bestFit="1" customWidth="1"/>
    <col min="17" max="18" width="4.5" bestFit="1" customWidth="1"/>
    <col min="22" max="23" width="7.5" bestFit="1" customWidth="1"/>
    <col min="24" max="24" width="10.5" bestFit="1" customWidth="1"/>
    <col min="25" max="27" width="6" bestFit="1" customWidth="1"/>
    <col min="28" max="28" width="10.875" customWidth="1"/>
    <col min="31" max="31" width="9.5" style="16" bestFit="1" customWidth="1"/>
    <col min="32" max="32" width="23.5" style="16" bestFit="1" customWidth="1"/>
    <col min="33" max="33" width="9" style="17" customWidth="1"/>
    <col min="34" max="34" width="11" style="17" customWidth="1"/>
    <col min="35" max="35" width="7.75" style="17" customWidth="1"/>
    <col min="36" max="37" width="15.5" style="17" customWidth="1"/>
    <col min="38" max="39" width="17.25" style="18" customWidth="1"/>
    <col min="40" max="41" width="15.875" style="15" customWidth="1"/>
    <col min="42" max="42" width="20.375" style="15" bestFit="1" customWidth="1"/>
    <col min="43" max="45" width="9" style="4"/>
    <col min="46" max="46" width="23.5" style="16" bestFit="1" customWidth="1"/>
    <col min="47" max="49" width="9" style="4"/>
  </cols>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106</v>
      </c>
      <c r="AF1" s="2" t="s">
        <v>107</v>
      </c>
      <c r="AG1" s="2" t="s">
        <v>108</v>
      </c>
      <c r="AH1" s="2" t="s">
        <v>109</v>
      </c>
      <c r="AI1" s="2" t="s">
        <v>110</v>
      </c>
      <c r="AJ1" s="2" t="s">
        <v>111</v>
      </c>
      <c r="AK1" s="2" t="s">
        <v>112</v>
      </c>
      <c r="AL1" s="3" t="s">
        <v>113</v>
      </c>
      <c r="AM1" s="3" t="s">
        <v>114</v>
      </c>
      <c r="AN1" s="3" t="s">
        <v>115</v>
      </c>
      <c r="AO1" s="3" t="s">
        <v>116</v>
      </c>
      <c r="AP1" s="3" t="s">
        <v>117</v>
      </c>
      <c r="AQ1" s="3" t="s">
        <v>118</v>
      </c>
      <c r="AR1" s="3" t="s">
        <v>119</v>
      </c>
      <c r="AS1" s="3" t="s">
        <v>120</v>
      </c>
      <c r="AT1" s="2" t="s">
        <v>121</v>
      </c>
      <c r="AU1" s="2" t="s">
        <v>303</v>
      </c>
      <c r="AV1" s="2" t="s">
        <v>304</v>
      </c>
    </row>
    <row r="2" spans="1:48" x14ac:dyDescent="0.3">
      <c r="A2" s="5" t="s">
        <v>30</v>
      </c>
      <c r="B2" s="5" t="s">
        <v>31</v>
      </c>
      <c r="C2" s="5" t="s">
        <v>443</v>
      </c>
      <c r="D2" s="5" t="s">
        <v>32</v>
      </c>
      <c r="E2" s="6" t="s">
        <v>33</v>
      </c>
      <c r="F2" s="7">
        <v>1</v>
      </c>
      <c r="G2" s="5" t="s">
        <v>444</v>
      </c>
      <c r="H2" s="5" t="s">
        <v>445</v>
      </c>
      <c r="I2" s="5" t="s">
        <v>446</v>
      </c>
      <c r="J2" s="5" t="s">
        <v>34</v>
      </c>
      <c r="K2" s="5" t="s">
        <v>38</v>
      </c>
      <c r="L2" s="5" t="s">
        <v>306</v>
      </c>
      <c r="M2" s="5" t="s">
        <v>39</v>
      </c>
      <c r="N2" s="5" t="s">
        <v>56</v>
      </c>
      <c r="O2" s="6" t="s">
        <v>447</v>
      </c>
      <c r="P2" s="5" t="s">
        <v>83</v>
      </c>
      <c r="Q2" s="5"/>
      <c r="R2" s="5" t="s">
        <v>311</v>
      </c>
      <c r="S2" s="5" t="s">
        <v>448</v>
      </c>
      <c r="T2" s="5" t="s">
        <v>449</v>
      </c>
      <c r="U2" s="5" t="s">
        <v>450</v>
      </c>
      <c r="V2" s="8">
        <v>78</v>
      </c>
      <c r="W2" s="9">
        <v>50441</v>
      </c>
      <c r="X2" s="5" t="s">
        <v>35</v>
      </c>
      <c r="Y2" s="10">
        <v>100</v>
      </c>
      <c r="Z2" s="10">
        <v>25.44</v>
      </c>
      <c r="AA2" s="10">
        <v>25.44</v>
      </c>
      <c r="AB2" s="10">
        <v>159603</v>
      </c>
      <c r="AC2" s="10">
        <v>57367</v>
      </c>
      <c r="AD2" s="10">
        <v>0</v>
      </c>
      <c r="AE2" s="11">
        <v>216970</v>
      </c>
      <c r="AF2" s="12" t="s">
        <v>41</v>
      </c>
      <c r="AG2" s="14" t="s">
        <v>230</v>
      </c>
      <c r="AH2" s="14" t="e">
        <v>#N/A</v>
      </c>
      <c r="AI2" s="14" t="s">
        <v>45</v>
      </c>
      <c r="AJ2" s="14">
        <v>60000</v>
      </c>
      <c r="AK2" s="14">
        <v>55000</v>
      </c>
      <c r="AL2" s="13" t="s">
        <v>123</v>
      </c>
      <c r="AM2" s="13" t="s">
        <v>123</v>
      </c>
      <c r="AN2" s="14" t="s">
        <v>451</v>
      </c>
      <c r="AO2" s="14" t="s">
        <v>86</v>
      </c>
      <c r="AP2" s="14" t="s">
        <v>37</v>
      </c>
      <c r="AQ2" s="14">
        <v>202604</v>
      </c>
      <c r="AR2" s="14" t="s">
        <v>152</v>
      </c>
      <c r="AS2" s="14" t="s">
        <v>163</v>
      </c>
      <c r="AT2" s="12" t="s">
        <v>163</v>
      </c>
      <c r="AU2" s="14" t="s">
        <v>309</v>
      </c>
      <c r="AV2" s="14" t="s">
        <v>452</v>
      </c>
    </row>
    <row r="3" spans="1:48" x14ac:dyDescent="0.3">
      <c r="A3" s="24" t="s">
        <v>30</v>
      </c>
      <c r="B3" s="24" t="s">
        <v>31</v>
      </c>
      <c r="C3" s="24" t="s">
        <v>443</v>
      </c>
      <c r="D3" s="24" t="s">
        <v>32</v>
      </c>
      <c r="E3" s="25" t="s">
        <v>33</v>
      </c>
      <c r="F3" s="26">
        <v>124</v>
      </c>
      <c r="G3" s="24" t="s">
        <v>444</v>
      </c>
      <c r="H3" s="24" t="s">
        <v>453</v>
      </c>
      <c r="I3" s="24" t="s">
        <v>454</v>
      </c>
      <c r="J3" s="24" t="s">
        <v>34</v>
      </c>
      <c r="K3" s="24" t="s">
        <v>191</v>
      </c>
      <c r="L3" s="24" t="s">
        <v>455</v>
      </c>
      <c r="M3" s="24" t="s">
        <v>43</v>
      </c>
      <c r="N3" s="24" t="s">
        <v>56</v>
      </c>
      <c r="O3" s="25" t="s">
        <v>456</v>
      </c>
      <c r="P3" s="24" t="s">
        <v>276</v>
      </c>
      <c r="Q3" s="24"/>
      <c r="R3" s="24" t="s">
        <v>145</v>
      </c>
      <c r="S3" s="24" t="s">
        <v>457</v>
      </c>
      <c r="T3" s="24" t="s">
        <v>458</v>
      </c>
      <c r="U3" s="24" t="s">
        <v>459</v>
      </c>
      <c r="V3" s="27">
        <v>30</v>
      </c>
      <c r="W3" s="28">
        <v>15865</v>
      </c>
      <c r="X3" s="24" t="s">
        <v>35</v>
      </c>
      <c r="Y3" s="29">
        <v>100</v>
      </c>
      <c r="Z3" s="29">
        <v>25.44</v>
      </c>
      <c r="AA3" s="29">
        <v>25.44</v>
      </c>
      <c r="AB3" s="29">
        <v>68872</v>
      </c>
      <c r="AC3" s="29">
        <v>15111</v>
      </c>
      <c r="AD3" s="29">
        <v>0</v>
      </c>
      <c r="AE3" s="11">
        <v>83983</v>
      </c>
      <c r="AF3" s="12" t="s">
        <v>192</v>
      </c>
      <c r="AG3" s="14" t="s">
        <v>161</v>
      </c>
      <c r="AH3" s="14" t="e">
        <v>#N/A</v>
      </c>
      <c r="AI3" s="14" t="s">
        <v>36</v>
      </c>
      <c r="AJ3" s="14">
        <v>20000</v>
      </c>
      <c r="AK3" s="14">
        <v>20000</v>
      </c>
      <c r="AL3" s="13">
        <v>36</v>
      </c>
      <c r="AM3" s="13">
        <v>33</v>
      </c>
      <c r="AN3" s="14" t="s">
        <v>460</v>
      </c>
      <c r="AO3" s="14" t="s">
        <v>86</v>
      </c>
      <c r="AP3" s="14" t="s">
        <v>46</v>
      </c>
      <c r="AQ3" s="14">
        <v>202604</v>
      </c>
      <c r="AR3" s="14" t="s">
        <v>164</v>
      </c>
      <c r="AS3" s="14"/>
      <c r="AT3" s="12" t="s">
        <v>192</v>
      </c>
      <c r="AU3" s="14" t="s">
        <v>309</v>
      </c>
      <c r="AV3" s="14" t="s">
        <v>461</v>
      </c>
    </row>
    <row r="4" spans="1:48" x14ac:dyDescent="0.3">
      <c r="A4" s="5" t="s">
        <v>30</v>
      </c>
      <c r="B4" s="5" t="s">
        <v>31</v>
      </c>
      <c r="C4" s="5" t="s">
        <v>443</v>
      </c>
      <c r="D4" s="5" t="s">
        <v>32</v>
      </c>
      <c r="E4" s="6" t="s">
        <v>33</v>
      </c>
      <c r="F4" s="7">
        <v>125</v>
      </c>
      <c r="G4" s="5" t="s">
        <v>444</v>
      </c>
      <c r="H4" s="5" t="s">
        <v>462</v>
      </c>
      <c r="I4" s="5" t="s">
        <v>463</v>
      </c>
      <c r="J4" s="5" t="s">
        <v>34</v>
      </c>
      <c r="K4" s="5" t="s">
        <v>191</v>
      </c>
      <c r="L4" s="5" t="s">
        <v>455</v>
      </c>
      <c r="M4" s="5" t="s">
        <v>43</v>
      </c>
      <c r="N4" s="5" t="s">
        <v>56</v>
      </c>
      <c r="O4" s="6" t="s">
        <v>464</v>
      </c>
      <c r="P4" s="5" t="s">
        <v>465</v>
      </c>
      <c r="Q4" s="5"/>
      <c r="R4" s="5" t="s">
        <v>466</v>
      </c>
      <c r="S4" s="5" t="s">
        <v>467</v>
      </c>
      <c r="T4" s="5" t="s">
        <v>468</v>
      </c>
      <c r="U4" s="5" t="s">
        <v>417</v>
      </c>
      <c r="V4" s="8">
        <v>18</v>
      </c>
      <c r="W4" s="9">
        <v>22801</v>
      </c>
      <c r="X4" s="5" t="s">
        <v>35</v>
      </c>
      <c r="Y4" s="10">
        <v>100</v>
      </c>
      <c r="Z4" s="10">
        <v>25.44</v>
      </c>
      <c r="AA4" s="10">
        <v>25.44</v>
      </c>
      <c r="AB4" s="10">
        <v>69549</v>
      </c>
      <c r="AC4" s="10">
        <v>9158</v>
      </c>
      <c r="AD4" s="10">
        <v>0</v>
      </c>
      <c r="AE4" s="11">
        <v>78707</v>
      </c>
      <c r="AF4" s="12" t="s">
        <v>192</v>
      </c>
      <c r="AG4" s="14" t="s">
        <v>396</v>
      </c>
      <c r="AH4" s="14" t="e">
        <v>#N/A</v>
      </c>
      <c r="AI4" s="14" t="s">
        <v>85</v>
      </c>
      <c r="AJ4" s="14">
        <v>30000</v>
      </c>
      <c r="AK4" s="14">
        <v>25000</v>
      </c>
      <c r="AL4" s="13">
        <v>24</v>
      </c>
      <c r="AM4" s="13">
        <v>21</v>
      </c>
      <c r="AN4" s="14" t="s">
        <v>469</v>
      </c>
      <c r="AO4" s="14" t="s">
        <v>86</v>
      </c>
      <c r="AP4" s="14" t="s">
        <v>46</v>
      </c>
      <c r="AQ4" s="14">
        <v>202604</v>
      </c>
      <c r="AR4" s="14" t="s">
        <v>164</v>
      </c>
      <c r="AS4" s="14"/>
      <c r="AT4" s="12" t="s">
        <v>192</v>
      </c>
      <c r="AU4" s="14" t="s">
        <v>309</v>
      </c>
      <c r="AV4" s="14" t="s">
        <v>461</v>
      </c>
    </row>
    <row r="5" spans="1:48" x14ac:dyDescent="0.3">
      <c r="A5" s="5" t="s">
        <v>30</v>
      </c>
      <c r="B5" s="5" t="s">
        <v>31</v>
      </c>
      <c r="C5" s="5" t="s">
        <v>443</v>
      </c>
      <c r="D5" s="5" t="s">
        <v>32</v>
      </c>
      <c r="E5" s="6" t="s">
        <v>33</v>
      </c>
      <c r="F5" s="7">
        <v>126</v>
      </c>
      <c r="G5" s="5" t="s">
        <v>444</v>
      </c>
      <c r="H5" s="5" t="s">
        <v>470</v>
      </c>
      <c r="I5" s="5" t="s">
        <v>471</v>
      </c>
      <c r="J5" s="5" t="s">
        <v>34</v>
      </c>
      <c r="K5" s="5" t="s">
        <v>134</v>
      </c>
      <c r="L5" s="5" t="s">
        <v>153</v>
      </c>
      <c r="M5" s="5" t="s">
        <v>154</v>
      </c>
      <c r="N5" s="5" t="s">
        <v>56</v>
      </c>
      <c r="O5" s="6" t="s">
        <v>472</v>
      </c>
      <c r="P5" s="5" t="s">
        <v>47</v>
      </c>
      <c r="Q5" s="5"/>
      <c r="R5" s="5" t="s">
        <v>148</v>
      </c>
      <c r="S5" s="5" t="s">
        <v>473</v>
      </c>
      <c r="T5" s="5" t="s">
        <v>474</v>
      </c>
      <c r="U5" s="5" t="s">
        <v>475</v>
      </c>
      <c r="V5" s="8">
        <v>37</v>
      </c>
      <c r="W5" s="9">
        <v>48002</v>
      </c>
      <c r="X5" s="5" t="s">
        <v>35</v>
      </c>
      <c r="Y5" s="10">
        <v>100</v>
      </c>
      <c r="Z5" s="10">
        <v>25.44</v>
      </c>
      <c r="AA5" s="10">
        <v>25.44</v>
      </c>
      <c r="AB5" s="10">
        <v>46798</v>
      </c>
      <c r="AC5" s="10">
        <v>5838</v>
      </c>
      <c r="AD5" s="10">
        <v>0</v>
      </c>
      <c r="AE5" s="11">
        <v>52636</v>
      </c>
      <c r="AF5" s="12" t="s">
        <v>135</v>
      </c>
      <c r="AG5" s="14" t="s">
        <v>184</v>
      </c>
      <c r="AH5" s="14" t="e">
        <v>#N/A</v>
      </c>
      <c r="AI5" s="14" t="s">
        <v>143</v>
      </c>
      <c r="AJ5" s="14">
        <v>50000</v>
      </c>
      <c r="AK5" s="14">
        <v>50000</v>
      </c>
      <c r="AL5" s="13">
        <v>42</v>
      </c>
      <c r="AM5" s="13">
        <v>39</v>
      </c>
      <c r="AN5" s="14" t="s">
        <v>476</v>
      </c>
      <c r="AO5" s="14" t="s">
        <v>86</v>
      </c>
      <c r="AP5" s="14" t="s">
        <v>439</v>
      </c>
      <c r="AQ5" s="14">
        <v>202604</v>
      </c>
      <c r="AR5" s="14" t="s">
        <v>164</v>
      </c>
      <c r="AS5" s="14"/>
      <c r="AT5" s="12" t="s">
        <v>135</v>
      </c>
      <c r="AU5" s="14" t="s">
        <v>309</v>
      </c>
      <c r="AV5" s="14" t="s">
        <v>461</v>
      </c>
    </row>
    <row r="6" spans="1:48" x14ac:dyDescent="0.3">
      <c r="A6" s="5" t="s">
        <v>30</v>
      </c>
      <c r="B6" s="5" t="s">
        <v>31</v>
      </c>
      <c r="C6" s="5" t="s">
        <v>443</v>
      </c>
      <c r="D6" s="5" t="s">
        <v>32</v>
      </c>
      <c r="E6" s="6" t="s">
        <v>33</v>
      </c>
      <c r="F6" s="7">
        <v>127</v>
      </c>
      <c r="G6" s="5" t="s">
        <v>444</v>
      </c>
      <c r="H6" s="5" t="s">
        <v>477</v>
      </c>
      <c r="I6" s="5" t="s">
        <v>478</v>
      </c>
      <c r="J6" s="5" t="s">
        <v>34</v>
      </c>
      <c r="K6" s="5" t="s">
        <v>131</v>
      </c>
      <c r="L6" s="5" t="s">
        <v>284</v>
      </c>
      <c r="M6" s="5" t="s">
        <v>88</v>
      </c>
      <c r="N6" s="5" t="s">
        <v>56</v>
      </c>
      <c r="O6" s="6" t="s">
        <v>479</v>
      </c>
      <c r="P6" s="5" t="s">
        <v>155</v>
      </c>
      <c r="Q6" s="5"/>
      <c r="R6" s="5" t="s">
        <v>145</v>
      </c>
      <c r="S6" s="5" t="s">
        <v>333</v>
      </c>
      <c r="T6" s="5" t="s">
        <v>480</v>
      </c>
      <c r="U6" s="5" t="s">
        <v>481</v>
      </c>
      <c r="V6" s="8">
        <v>69</v>
      </c>
      <c r="W6" s="9">
        <v>94206</v>
      </c>
      <c r="X6" s="5" t="s">
        <v>35</v>
      </c>
      <c r="Y6" s="10">
        <v>100</v>
      </c>
      <c r="Z6" s="10">
        <v>25.44</v>
      </c>
      <c r="AA6" s="10">
        <v>25.44</v>
      </c>
      <c r="AB6" s="10">
        <v>55693</v>
      </c>
      <c r="AC6" s="10">
        <v>8395</v>
      </c>
      <c r="AD6" s="10">
        <v>0</v>
      </c>
      <c r="AE6" s="11">
        <v>64088</v>
      </c>
      <c r="AF6" s="12" t="s">
        <v>133</v>
      </c>
      <c r="AG6" s="14" t="s">
        <v>280</v>
      </c>
      <c r="AH6" s="14" t="e">
        <v>#N/A</v>
      </c>
      <c r="AI6" s="14" t="s">
        <v>36</v>
      </c>
      <c r="AJ6" s="14">
        <v>100000</v>
      </c>
      <c r="AK6" s="14">
        <v>95000</v>
      </c>
      <c r="AL6" s="13" t="s">
        <v>123</v>
      </c>
      <c r="AM6" s="13" t="s">
        <v>123</v>
      </c>
      <c r="AN6" s="14" t="s">
        <v>482</v>
      </c>
      <c r="AO6" s="14" t="s">
        <v>86</v>
      </c>
      <c r="AP6" s="14" t="s">
        <v>89</v>
      </c>
      <c r="AQ6" s="14">
        <v>202604</v>
      </c>
      <c r="AR6" s="14" t="s">
        <v>152</v>
      </c>
      <c r="AS6" s="14" t="s">
        <v>186</v>
      </c>
      <c r="AT6" s="12" t="s">
        <v>133</v>
      </c>
      <c r="AU6" s="14" t="s">
        <v>309</v>
      </c>
      <c r="AV6" s="14" t="s">
        <v>461</v>
      </c>
    </row>
    <row r="7" spans="1:48" x14ac:dyDescent="0.3">
      <c r="A7" s="5" t="s">
        <v>30</v>
      </c>
      <c r="B7" s="5" t="s">
        <v>31</v>
      </c>
      <c r="C7" s="5" t="s">
        <v>443</v>
      </c>
      <c r="D7" s="5" t="s">
        <v>32</v>
      </c>
      <c r="E7" s="6" t="s">
        <v>33</v>
      </c>
      <c r="F7" s="7">
        <v>128</v>
      </c>
      <c r="G7" s="5" t="s">
        <v>444</v>
      </c>
      <c r="H7" s="5" t="s">
        <v>483</v>
      </c>
      <c r="I7" s="5" t="s">
        <v>484</v>
      </c>
      <c r="J7" s="5" t="s">
        <v>34</v>
      </c>
      <c r="K7" s="5" t="s">
        <v>50</v>
      </c>
      <c r="L7" s="5" t="s">
        <v>156</v>
      </c>
      <c r="M7" s="5" t="s">
        <v>88</v>
      </c>
      <c r="N7" s="5" t="s">
        <v>56</v>
      </c>
      <c r="O7" s="6" t="s">
        <v>485</v>
      </c>
      <c r="P7" s="5" t="s">
        <v>242</v>
      </c>
      <c r="Q7" s="5"/>
      <c r="R7" s="5" t="s">
        <v>132</v>
      </c>
      <c r="S7" s="5" t="s">
        <v>486</v>
      </c>
      <c r="T7" s="5" t="s">
        <v>480</v>
      </c>
      <c r="U7" s="5" t="s">
        <v>487</v>
      </c>
      <c r="V7" s="8">
        <v>68</v>
      </c>
      <c r="W7" s="9">
        <v>96188</v>
      </c>
      <c r="X7" s="5" t="s">
        <v>35</v>
      </c>
      <c r="Y7" s="10">
        <v>100</v>
      </c>
      <c r="Z7" s="10">
        <v>25.44</v>
      </c>
      <c r="AA7" s="10">
        <v>25.44</v>
      </c>
      <c r="AB7" s="10">
        <v>0</v>
      </c>
      <c r="AC7" s="10">
        <v>41976</v>
      </c>
      <c r="AD7" s="10">
        <v>0</v>
      </c>
      <c r="AE7" s="11">
        <v>41976</v>
      </c>
      <c r="AF7" s="12" t="s">
        <v>52</v>
      </c>
      <c r="AG7" s="14" t="s">
        <v>285</v>
      </c>
      <c r="AH7" s="14" t="e">
        <v>#N/A</v>
      </c>
      <c r="AI7" s="14" t="s">
        <v>87</v>
      </c>
      <c r="AJ7" s="14">
        <v>100000</v>
      </c>
      <c r="AK7" s="14">
        <v>100000</v>
      </c>
      <c r="AL7" s="13" t="s">
        <v>123</v>
      </c>
      <c r="AM7" s="13" t="s">
        <v>123</v>
      </c>
      <c r="AN7" s="14" t="s">
        <v>224</v>
      </c>
      <c r="AO7" s="14" t="s">
        <v>86</v>
      </c>
      <c r="AP7" s="14" t="s">
        <v>89</v>
      </c>
      <c r="AQ7" s="14">
        <v>202604</v>
      </c>
      <c r="AR7" s="14" t="s">
        <v>152</v>
      </c>
      <c r="AS7" s="14" t="s">
        <v>166</v>
      </c>
      <c r="AT7" s="14" t="s">
        <v>52</v>
      </c>
      <c r="AU7" s="14" t="s">
        <v>309</v>
      </c>
      <c r="AV7" s="14" t="s">
        <v>461</v>
      </c>
    </row>
    <row r="8" spans="1:48" x14ac:dyDescent="0.3">
      <c r="A8" s="5" t="s">
        <v>30</v>
      </c>
      <c r="B8" s="5" t="s">
        <v>31</v>
      </c>
      <c r="C8" s="5" t="s">
        <v>443</v>
      </c>
      <c r="D8" s="5" t="s">
        <v>32</v>
      </c>
      <c r="E8" s="6" t="s">
        <v>33</v>
      </c>
      <c r="F8" s="7">
        <v>129</v>
      </c>
      <c r="G8" s="5" t="s">
        <v>444</v>
      </c>
      <c r="H8" s="5" t="s">
        <v>488</v>
      </c>
      <c r="I8" s="5" t="s">
        <v>489</v>
      </c>
      <c r="J8" s="5" t="s">
        <v>34</v>
      </c>
      <c r="K8" s="5" t="s">
        <v>50</v>
      </c>
      <c r="L8" s="5" t="s">
        <v>156</v>
      </c>
      <c r="M8" s="5" t="s">
        <v>88</v>
      </c>
      <c r="N8" s="5" t="s">
        <v>56</v>
      </c>
      <c r="O8" s="6" t="s">
        <v>490</v>
      </c>
      <c r="P8" s="5" t="s">
        <v>47</v>
      </c>
      <c r="Q8" s="5"/>
      <c r="R8" s="5" t="s">
        <v>145</v>
      </c>
      <c r="S8" s="5" t="s">
        <v>491</v>
      </c>
      <c r="T8" s="5" t="s">
        <v>492</v>
      </c>
      <c r="U8" s="5" t="s">
        <v>493</v>
      </c>
      <c r="V8" s="8">
        <v>66</v>
      </c>
      <c r="W8" s="9">
        <v>106555</v>
      </c>
      <c r="X8" s="5" t="s">
        <v>35</v>
      </c>
      <c r="Y8" s="10">
        <v>100</v>
      </c>
      <c r="Z8" s="10">
        <v>25.44</v>
      </c>
      <c r="AA8" s="10">
        <v>25.44</v>
      </c>
      <c r="AB8" s="10">
        <v>53973</v>
      </c>
      <c r="AC8" s="10">
        <v>7428</v>
      </c>
      <c r="AD8" s="10">
        <v>0</v>
      </c>
      <c r="AE8" s="11">
        <v>61401</v>
      </c>
      <c r="AF8" s="12" t="s">
        <v>52</v>
      </c>
      <c r="AG8" s="14" t="s">
        <v>210</v>
      </c>
      <c r="AH8" s="14" t="e">
        <v>#N/A</v>
      </c>
      <c r="AI8" s="14" t="s">
        <v>36</v>
      </c>
      <c r="AJ8" s="14" t="s">
        <v>141</v>
      </c>
      <c r="AK8" s="14" t="s">
        <v>141</v>
      </c>
      <c r="AL8" s="13" t="s">
        <v>123</v>
      </c>
      <c r="AM8" s="13" t="s">
        <v>123</v>
      </c>
      <c r="AN8" s="14" t="s">
        <v>494</v>
      </c>
      <c r="AO8" s="14" t="s">
        <v>86</v>
      </c>
      <c r="AP8" s="14" t="s">
        <v>89</v>
      </c>
      <c r="AQ8" s="14">
        <v>202604</v>
      </c>
      <c r="AR8" s="14" t="s">
        <v>152</v>
      </c>
      <c r="AS8" s="14" t="s">
        <v>166</v>
      </c>
      <c r="AT8" s="14" t="s">
        <v>52</v>
      </c>
      <c r="AU8" s="14" t="s">
        <v>309</v>
      </c>
      <c r="AV8" s="14" t="s">
        <v>461</v>
      </c>
    </row>
    <row r="9" spans="1:48" x14ac:dyDescent="0.3">
      <c r="A9" s="5" t="s">
        <v>30</v>
      </c>
      <c r="B9" s="5" t="s">
        <v>31</v>
      </c>
      <c r="C9" s="5" t="s">
        <v>443</v>
      </c>
      <c r="D9" s="5" t="s">
        <v>32</v>
      </c>
      <c r="E9" s="6" t="s">
        <v>33</v>
      </c>
      <c r="F9" s="7">
        <v>130</v>
      </c>
      <c r="G9" s="5" t="s">
        <v>444</v>
      </c>
      <c r="H9" s="5" t="s">
        <v>495</v>
      </c>
      <c r="I9" s="5" t="s">
        <v>496</v>
      </c>
      <c r="J9" s="5" t="s">
        <v>34</v>
      </c>
      <c r="K9" s="5" t="s">
        <v>50</v>
      </c>
      <c r="L9" s="5" t="s">
        <v>156</v>
      </c>
      <c r="M9" s="5" t="s">
        <v>88</v>
      </c>
      <c r="N9" s="5" t="s">
        <v>56</v>
      </c>
      <c r="O9" s="6" t="s">
        <v>497</v>
      </c>
      <c r="P9" s="5" t="s">
        <v>155</v>
      </c>
      <c r="Q9" s="5"/>
      <c r="R9" s="5" t="s">
        <v>145</v>
      </c>
      <c r="S9" s="5" t="s">
        <v>491</v>
      </c>
      <c r="T9" s="5" t="s">
        <v>498</v>
      </c>
      <c r="U9" s="5" t="s">
        <v>499</v>
      </c>
      <c r="V9" s="8">
        <v>65</v>
      </c>
      <c r="W9" s="9">
        <v>83722</v>
      </c>
      <c r="X9" s="5" t="s">
        <v>35</v>
      </c>
      <c r="Y9" s="10">
        <v>100</v>
      </c>
      <c r="Z9" s="10">
        <v>25.44</v>
      </c>
      <c r="AA9" s="10">
        <v>25.44</v>
      </c>
      <c r="AB9" s="10">
        <v>53973</v>
      </c>
      <c r="AC9" s="10">
        <v>9667</v>
      </c>
      <c r="AD9" s="10">
        <v>0</v>
      </c>
      <c r="AE9" s="11">
        <v>63640</v>
      </c>
      <c r="AF9" s="12" t="s">
        <v>52</v>
      </c>
      <c r="AG9" s="14" t="s">
        <v>210</v>
      </c>
      <c r="AH9" s="14" t="e">
        <v>#N/A</v>
      </c>
      <c r="AI9" s="14" t="s">
        <v>36</v>
      </c>
      <c r="AJ9" s="14">
        <v>90000</v>
      </c>
      <c r="AK9" s="14">
        <v>85000</v>
      </c>
      <c r="AL9" s="13" t="s">
        <v>123</v>
      </c>
      <c r="AM9" s="13" t="s">
        <v>123</v>
      </c>
      <c r="AN9" s="14" t="s">
        <v>231</v>
      </c>
      <c r="AO9" s="14" t="s">
        <v>86</v>
      </c>
      <c r="AP9" s="14" t="s">
        <v>89</v>
      </c>
      <c r="AQ9" s="14">
        <v>202604</v>
      </c>
      <c r="AR9" s="14" t="s">
        <v>152</v>
      </c>
      <c r="AS9" s="14" t="s">
        <v>166</v>
      </c>
      <c r="AT9" s="14" t="s">
        <v>52</v>
      </c>
      <c r="AU9" s="14" t="s">
        <v>309</v>
      </c>
      <c r="AV9" s="14" t="s">
        <v>461</v>
      </c>
    </row>
    <row r="10" spans="1:48" x14ac:dyDescent="0.3">
      <c r="A10" s="5" t="s">
        <v>30</v>
      </c>
      <c r="B10" s="5" t="s">
        <v>31</v>
      </c>
      <c r="C10" s="5" t="s">
        <v>443</v>
      </c>
      <c r="D10" s="5" t="s">
        <v>32</v>
      </c>
      <c r="E10" s="6" t="s">
        <v>33</v>
      </c>
      <c r="F10" s="7">
        <v>131</v>
      </c>
      <c r="G10" s="5" t="s">
        <v>444</v>
      </c>
      <c r="H10" s="5" t="s">
        <v>500</v>
      </c>
      <c r="I10" s="5" t="s">
        <v>501</v>
      </c>
      <c r="J10" s="5" t="s">
        <v>34</v>
      </c>
      <c r="K10" s="5" t="s">
        <v>50</v>
      </c>
      <c r="L10" s="5" t="s">
        <v>170</v>
      </c>
      <c r="M10" s="5" t="s">
        <v>88</v>
      </c>
      <c r="N10" s="5" t="s">
        <v>56</v>
      </c>
      <c r="O10" s="6" t="s">
        <v>502</v>
      </c>
      <c r="P10" s="5" t="s">
        <v>51</v>
      </c>
      <c r="Q10" s="5"/>
      <c r="R10" s="5" t="s">
        <v>145</v>
      </c>
      <c r="S10" s="5" t="s">
        <v>423</v>
      </c>
      <c r="T10" s="5" t="s">
        <v>503</v>
      </c>
      <c r="U10" s="5" t="s">
        <v>504</v>
      </c>
      <c r="V10" s="8">
        <v>49</v>
      </c>
      <c r="W10" s="9">
        <v>48797</v>
      </c>
      <c r="X10" s="5" t="s">
        <v>35</v>
      </c>
      <c r="Y10" s="10">
        <v>100</v>
      </c>
      <c r="Z10" s="10">
        <v>25.44</v>
      </c>
      <c r="AA10" s="10">
        <v>25.44</v>
      </c>
      <c r="AB10" s="10">
        <v>50618</v>
      </c>
      <c r="AC10" s="10">
        <v>6411</v>
      </c>
      <c r="AD10" s="10">
        <v>0</v>
      </c>
      <c r="AE10" s="11">
        <v>57029</v>
      </c>
      <c r="AF10" s="12" t="s">
        <v>52</v>
      </c>
      <c r="AG10" s="14" t="s">
        <v>505</v>
      </c>
      <c r="AH10" s="14" t="e">
        <v>#N/A</v>
      </c>
      <c r="AI10" s="14" t="s">
        <v>36</v>
      </c>
      <c r="AJ10" s="14">
        <v>50000</v>
      </c>
      <c r="AK10" s="14">
        <v>50000</v>
      </c>
      <c r="AL10" s="13">
        <v>54</v>
      </c>
      <c r="AM10" s="13">
        <v>51</v>
      </c>
      <c r="AN10" s="14" t="s">
        <v>506</v>
      </c>
      <c r="AO10" s="14" t="s">
        <v>86</v>
      </c>
      <c r="AP10" s="14" t="s">
        <v>89</v>
      </c>
      <c r="AQ10" s="14">
        <v>202604</v>
      </c>
      <c r="AR10" s="14" t="s">
        <v>152</v>
      </c>
      <c r="AS10" s="14" t="s">
        <v>166</v>
      </c>
      <c r="AT10" s="14" t="s">
        <v>52</v>
      </c>
      <c r="AU10" s="14" t="s">
        <v>309</v>
      </c>
      <c r="AV10" s="14" t="s">
        <v>461</v>
      </c>
    </row>
    <row r="11" spans="1:48" x14ac:dyDescent="0.3">
      <c r="A11" s="5" t="s">
        <v>30</v>
      </c>
      <c r="B11" s="5" t="s">
        <v>31</v>
      </c>
      <c r="C11" s="5" t="s">
        <v>443</v>
      </c>
      <c r="D11" s="5" t="s">
        <v>32</v>
      </c>
      <c r="E11" s="6" t="s">
        <v>33</v>
      </c>
      <c r="F11" s="7">
        <v>132</v>
      </c>
      <c r="G11" s="5" t="s">
        <v>444</v>
      </c>
      <c r="H11" s="5" t="s">
        <v>507</v>
      </c>
      <c r="I11" s="5" t="s">
        <v>508</v>
      </c>
      <c r="J11" s="5" t="s">
        <v>34</v>
      </c>
      <c r="K11" s="5" t="s">
        <v>50</v>
      </c>
      <c r="L11" s="5" t="s">
        <v>170</v>
      </c>
      <c r="M11" s="5" t="s">
        <v>88</v>
      </c>
      <c r="N11" s="5" t="s">
        <v>56</v>
      </c>
      <c r="O11" s="6" t="s">
        <v>509</v>
      </c>
      <c r="P11" s="5" t="s">
        <v>155</v>
      </c>
      <c r="Q11" s="5"/>
      <c r="R11" s="5" t="s">
        <v>311</v>
      </c>
      <c r="S11" s="5" t="s">
        <v>366</v>
      </c>
      <c r="T11" s="5" t="s">
        <v>510</v>
      </c>
      <c r="U11" s="5" t="s">
        <v>511</v>
      </c>
      <c r="V11" s="8">
        <v>46</v>
      </c>
      <c r="W11" s="9">
        <v>43991</v>
      </c>
      <c r="X11" s="5" t="s">
        <v>35</v>
      </c>
      <c r="Y11" s="10">
        <v>100</v>
      </c>
      <c r="Z11" s="10">
        <v>25.44</v>
      </c>
      <c r="AA11" s="10">
        <v>25.44</v>
      </c>
      <c r="AB11" s="10">
        <v>50424</v>
      </c>
      <c r="AC11" s="10">
        <v>9731</v>
      </c>
      <c r="AD11" s="10">
        <v>0</v>
      </c>
      <c r="AE11" s="11">
        <v>60155</v>
      </c>
      <c r="AF11" s="12" t="s">
        <v>52</v>
      </c>
      <c r="AG11" s="14" t="s">
        <v>356</v>
      </c>
      <c r="AH11" s="14" t="e">
        <v>#N/A</v>
      </c>
      <c r="AI11" s="14" t="s">
        <v>45</v>
      </c>
      <c r="AJ11" s="14">
        <v>50000</v>
      </c>
      <c r="AK11" s="14">
        <v>45000</v>
      </c>
      <c r="AL11" s="13">
        <v>48</v>
      </c>
      <c r="AM11" s="13">
        <v>48</v>
      </c>
      <c r="AN11" s="14" t="s">
        <v>512</v>
      </c>
      <c r="AO11" s="14" t="s">
        <v>86</v>
      </c>
      <c r="AP11" s="14" t="s">
        <v>89</v>
      </c>
      <c r="AQ11" s="14">
        <v>202604</v>
      </c>
      <c r="AR11" s="14" t="s">
        <v>152</v>
      </c>
      <c r="AS11" s="14" t="s">
        <v>166</v>
      </c>
      <c r="AT11" s="14" t="s">
        <v>52</v>
      </c>
      <c r="AU11" s="14" t="s">
        <v>309</v>
      </c>
      <c r="AV11" s="14" t="s">
        <v>461</v>
      </c>
    </row>
    <row r="12" spans="1:48" x14ac:dyDescent="0.3">
      <c r="A12" s="5" t="s">
        <v>30</v>
      </c>
      <c r="B12" s="5" t="s">
        <v>31</v>
      </c>
      <c r="C12" s="5" t="s">
        <v>443</v>
      </c>
      <c r="D12" s="5" t="s">
        <v>32</v>
      </c>
      <c r="E12" s="6" t="s">
        <v>33</v>
      </c>
      <c r="F12" s="7">
        <v>133</v>
      </c>
      <c r="G12" s="5" t="s">
        <v>444</v>
      </c>
      <c r="H12" s="5" t="s">
        <v>513</v>
      </c>
      <c r="I12" s="5" t="s">
        <v>514</v>
      </c>
      <c r="J12" s="5" t="s">
        <v>34</v>
      </c>
      <c r="K12" s="5" t="s">
        <v>50</v>
      </c>
      <c r="L12" s="5" t="s">
        <v>170</v>
      </c>
      <c r="M12" s="5" t="s">
        <v>88</v>
      </c>
      <c r="N12" s="5" t="s">
        <v>56</v>
      </c>
      <c r="O12" s="6" t="s">
        <v>515</v>
      </c>
      <c r="P12" s="5" t="s">
        <v>47</v>
      </c>
      <c r="Q12" s="5"/>
      <c r="R12" s="5" t="s">
        <v>145</v>
      </c>
      <c r="S12" s="5" t="s">
        <v>516</v>
      </c>
      <c r="T12" s="5" t="s">
        <v>517</v>
      </c>
      <c r="U12" s="5" t="s">
        <v>518</v>
      </c>
      <c r="V12" s="8">
        <v>43</v>
      </c>
      <c r="W12" s="9">
        <v>73928</v>
      </c>
      <c r="X12" s="5" t="s">
        <v>35</v>
      </c>
      <c r="Y12" s="10">
        <v>100</v>
      </c>
      <c r="Z12" s="10">
        <v>25.44</v>
      </c>
      <c r="AA12" s="10">
        <v>25.44</v>
      </c>
      <c r="AB12" s="10">
        <v>50461</v>
      </c>
      <c r="AC12" s="10">
        <v>4681</v>
      </c>
      <c r="AD12" s="10">
        <v>0</v>
      </c>
      <c r="AE12" s="11">
        <v>55142</v>
      </c>
      <c r="AF12" s="12" t="s">
        <v>52</v>
      </c>
      <c r="AG12" s="14" t="s">
        <v>198</v>
      </c>
      <c r="AH12" s="14" t="e">
        <v>#N/A</v>
      </c>
      <c r="AI12" s="14" t="s">
        <v>36</v>
      </c>
      <c r="AJ12" s="14">
        <v>80000</v>
      </c>
      <c r="AK12" s="14">
        <v>75000</v>
      </c>
      <c r="AL12" s="13">
        <v>48</v>
      </c>
      <c r="AM12" s="13">
        <v>45</v>
      </c>
      <c r="AN12" s="14" t="s">
        <v>254</v>
      </c>
      <c r="AO12" s="14" t="s">
        <v>86</v>
      </c>
      <c r="AP12" s="14" t="s">
        <v>89</v>
      </c>
      <c r="AQ12" s="14">
        <v>202604</v>
      </c>
      <c r="AR12" s="14" t="s">
        <v>152</v>
      </c>
      <c r="AS12" s="14" t="s">
        <v>166</v>
      </c>
      <c r="AT12" s="14" t="s">
        <v>52</v>
      </c>
      <c r="AU12" s="14" t="s">
        <v>309</v>
      </c>
      <c r="AV12" s="14" t="s">
        <v>461</v>
      </c>
    </row>
    <row r="13" spans="1:48" x14ac:dyDescent="0.3">
      <c r="A13" s="5" t="s">
        <v>30</v>
      </c>
      <c r="B13" s="5" t="s">
        <v>31</v>
      </c>
      <c r="C13" s="5" t="s">
        <v>443</v>
      </c>
      <c r="D13" s="5" t="s">
        <v>32</v>
      </c>
      <c r="E13" s="6" t="s">
        <v>33</v>
      </c>
      <c r="F13" s="7">
        <v>134</v>
      </c>
      <c r="G13" s="5" t="s">
        <v>444</v>
      </c>
      <c r="H13" s="5" t="s">
        <v>519</v>
      </c>
      <c r="I13" s="5" t="s">
        <v>520</v>
      </c>
      <c r="J13" s="5" t="s">
        <v>34</v>
      </c>
      <c r="K13" s="5" t="s">
        <v>50</v>
      </c>
      <c r="L13" s="5" t="s">
        <v>170</v>
      </c>
      <c r="M13" s="5" t="s">
        <v>88</v>
      </c>
      <c r="N13" s="5" t="s">
        <v>56</v>
      </c>
      <c r="O13" s="6" t="s">
        <v>521</v>
      </c>
      <c r="P13" s="5" t="s">
        <v>47</v>
      </c>
      <c r="Q13" s="5"/>
      <c r="R13" s="5" t="s">
        <v>144</v>
      </c>
      <c r="S13" s="5" t="s">
        <v>522</v>
      </c>
      <c r="T13" s="5" t="s">
        <v>458</v>
      </c>
      <c r="U13" s="5" t="s">
        <v>523</v>
      </c>
      <c r="V13" s="8">
        <v>42</v>
      </c>
      <c r="W13" s="9">
        <v>106934</v>
      </c>
      <c r="X13" s="5" t="s">
        <v>35</v>
      </c>
      <c r="Y13" s="10">
        <v>100</v>
      </c>
      <c r="Z13" s="10">
        <v>25.44</v>
      </c>
      <c r="AA13" s="10">
        <v>25.44</v>
      </c>
      <c r="AB13" s="10">
        <v>50073</v>
      </c>
      <c r="AC13" s="10">
        <v>4579</v>
      </c>
      <c r="AD13" s="10">
        <v>0</v>
      </c>
      <c r="AE13" s="11">
        <v>54652</v>
      </c>
      <c r="AF13" s="12" t="s">
        <v>52</v>
      </c>
      <c r="AG13" s="14" t="s">
        <v>140</v>
      </c>
      <c r="AH13" s="14" t="e">
        <v>#N/A</v>
      </c>
      <c r="AI13" s="14" t="s">
        <v>36</v>
      </c>
      <c r="AJ13" s="14" t="s">
        <v>141</v>
      </c>
      <c r="AK13" s="14" t="s">
        <v>141</v>
      </c>
      <c r="AL13" s="13">
        <v>48</v>
      </c>
      <c r="AM13" s="13">
        <v>45</v>
      </c>
      <c r="AN13" s="14" t="s">
        <v>524</v>
      </c>
      <c r="AO13" s="14" t="s">
        <v>86</v>
      </c>
      <c r="AP13" s="14" t="s">
        <v>89</v>
      </c>
      <c r="AQ13" s="14">
        <v>202604</v>
      </c>
      <c r="AR13" s="14" t="s">
        <v>152</v>
      </c>
      <c r="AS13" s="14" t="s">
        <v>166</v>
      </c>
      <c r="AT13" s="14" t="s">
        <v>52</v>
      </c>
      <c r="AU13" s="14" t="s">
        <v>309</v>
      </c>
      <c r="AV13" s="14" t="s">
        <v>461</v>
      </c>
    </row>
    <row r="14" spans="1:48" x14ac:dyDescent="0.3">
      <c r="A14" s="5" t="s">
        <v>30</v>
      </c>
      <c r="B14" s="5" t="s">
        <v>31</v>
      </c>
      <c r="C14" s="5" t="s">
        <v>443</v>
      </c>
      <c r="D14" s="5" t="s">
        <v>32</v>
      </c>
      <c r="E14" s="6" t="s">
        <v>33</v>
      </c>
      <c r="F14" s="7">
        <v>135</v>
      </c>
      <c r="G14" s="5" t="s">
        <v>444</v>
      </c>
      <c r="H14" s="5" t="s">
        <v>525</v>
      </c>
      <c r="I14" s="5" t="s">
        <v>526</v>
      </c>
      <c r="J14" s="5" t="s">
        <v>34</v>
      </c>
      <c r="K14" s="5" t="s">
        <v>50</v>
      </c>
      <c r="L14" s="5" t="s">
        <v>170</v>
      </c>
      <c r="M14" s="5" t="s">
        <v>88</v>
      </c>
      <c r="N14" s="5" t="s">
        <v>56</v>
      </c>
      <c r="O14" s="6" t="s">
        <v>527</v>
      </c>
      <c r="P14" s="5" t="s">
        <v>51</v>
      </c>
      <c r="Q14" s="5"/>
      <c r="R14" s="5" t="s">
        <v>144</v>
      </c>
      <c r="S14" s="5" t="s">
        <v>394</v>
      </c>
      <c r="T14" s="5" t="s">
        <v>528</v>
      </c>
      <c r="U14" s="5" t="s">
        <v>529</v>
      </c>
      <c r="V14" s="8">
        <v>36</v>
      </c>
      <c r="W14" s="9">
        <v>109121</v>
      </c>
      <c r="X14" s="5" t="s">
        <v>35</v>
      </c>
      <c r="Y14" s="10">
        <v>100</v>
      </c>
      <c r="Z14" s="10">
        <v>25.44</v>
      </c>
      <c r="AA14" s="10">
        <v>25.44</v>
      </c>
      <c r="AB14" s="10">
        <v>50073</v>
      </c>
      <c r="AC14" s="10">
        <v>4274</v>
      </c>
      <c r="AD14" s="10">
        <v>0</v>
      </c>
      <c r="AE14" s="11">
        <v>54347</v>
      </c>
      <c r="AF14" s="12" t="s">
        <v>52</v>
      </c>
      <c r="AG14" s="14" t="s">
        <v>270</v>
      </c>
      <c r="AH14" s="14" t="e">
        <v>#N/A</v>
      </c>
      <c r="AI14" s="14" t="s">
        <v>36</v>
      </c>
      <c r="AJ14" s="14" t="s">
        <v>141</v>
      </c>
      <c r="AK14" s="14" t="s">
        <v>141</v>
      </c>
      <c r="AL14" s="13">
        <v>42</v>
      </c>
      <c r="AM14" s="13">
        <v>39</v>
      </c>
      <c r="AN14" s="14" t="s">
        <v>364</v>
      </c>
      <c r="AO14" s="14" t="s">
        <v>86</v>
      </c>
      <c r="AP14" s="14" t="s">
        <v>89</v>
      </c>
      <c r="AQ14" s="14">
        <v>202604</v>
      </c>
      <c r="AR14" s="14" t="s">
        <v>152</v>
      </c>
      <c r="AS14" s="14" t="s">
        <v>166</v>
      </c>
      <c r="AT14" s="14" t="s">
        <v>52</v>
      </c>
      <c r="AU14" s="14" t="s">
        <v>309</v>
      </c>
      <c r="AV14" s="14" t="s">
        <v>461</v>
      </c>
    </row>
    <row r="15" spans="1:48" x14ac:dyDescent="0.3">
      <c r="A15" s="5" t="s">
        <v>30</v>
      </c>
      <c r="B15" s="5" t="s">
        <v>31</v>
      </c>
      <c r="C15" s="5" t="s">
        <v>443</v>
      </c>
      <c r="D15" s="5" t="s">
        <v>32</v>
      </c>
      <c r="E15" s="6" t="s">
        <v>33</v>
      </c>
      <c r="F15" s="7">
        <v>136</v>
      </c>
      <c r="G15" s="5" t="s">
        <v>444</v>
      </c>
      <c r="H15" s="5" t="s">
        <v>530</v>
      </c>
      <c r="I15" s="5" t="s">
        <v>526</v>
      </c>
      <c r="J15" s="5" t="s">
        <v>34</v>
      </c>
      <c r="K15" s="5" t="s">
        <v>50</v>
      </c>
      <c r="L15" s="5" t="s">
        <v>170</v>
      </c>
      <c r="M15" s="5" t="s">
        <v>88</v>
      </c>
      <c r="N15" s="5" t="s">
        <v>56</v>
      </c>
      <c r="O15" s="6" t="s">
        <v>527</v>
      </c>
      <c r="P15" s="5" t="s">
        <v>183</v>
      </c>
      <c r="Q15" s="5"/>
      <c r="R15" s="5" t="s">
        <v>144</v>
      </c>
      <c r="S15" s="5" t="s">
        <v>394</v>
      </c>
      <c r="T15" s="5" t="s">
        <v>531</v>
      </c>
      <c r="U15" s="5" t="s">
        <v>529</v>
      </c>
      <c r="V15" s="8">
        <v>36</v>
      </c>
      <c r="W15" s="9">
        <v>109093</v>
      </c>
      <c r="X15" s="5" t="s">
        <v>35</v>
      </c>
      <c r="Y15" s="10">
        <v>100</v>
      </c>
      <c r="Z15" s="10">
        <v>25.44</v>
      </c>
      <c r="AA15" s="10">
        <v>25.44</v>
      </c>
      <c r="AB15" s="10">
        <v>0</v>
      </c>
      <c r="AC15" s="10">
        <v>5342</v>
      </c>
      <c r="AD15" s="10">
        <v>0</v>
      </c>
      <c r="AE15" s="11">
        <v>5342</v>
      </c>
      <c r="AF15" s="12" t="s">
        <v>52</v>
      </c>
      <c r="AG15" s="14" t="s">
        <v>270</v>
      </c>
      <c r="AH15" s="14" t="e">
        <v>#N/A</v>
      </c>
      <c r="AI15" s="14" t="s">
        <v>36</v>
      </c>
      <c r="AJ15" s="14" t="s">
        <v>141</v>
      </c>
      <c r="AK15" s="14" t="s">
        <v>141</v>
      </c>
      <c r="AL15" s="13">
        <v>42</v>
      </c>
      <c r="AM15" s="13">
        <v>39</v>
      </c>
      <c r="AN15" s="14" t="s">
        <v>364</v>
      </c>
      <c r="AO15" s="14" t="s">
        <v>86</v>
      </c>
      <c r="AP15" s="14" t="s">
        <v>89</v>
      </c>
      <c r="AQ15" s="14">
        <v>202604</v>
      </c>
      <c r="AR15" s="14" t="s">
        <v>152</v>
      </c>
      <c r="AS15" s="14" t="s">
        <v>166</v>
      </c>
      <c r="AT15" s="14" t="s">
        <v>52</v>
      </c>
      <c r="AU15" s="14" t="s">
        <v>309</v>
      </c>
      <c r="AV15" s="14" t="s">
        <v>461</v>
      </c>
    </row>
    <row r="16" spans="1:48" x14ac:dyDescent="0.3">
      <c r="A16" s="5" t="s">
        <v>30</v>
      </c>
      <c r="B16" s="5" t="s">
        <v>31</v>
      </c>
      <c r="C16" s="5" t="s">
        <v>443</v>
      </c>
      <c r="D16" s="5" t="s">
        <v>32</v>
      </c>
      <c r="E16" s="6" t="s">
        <v>33</v>
      </c>
      <c r="F16" s="7">
        <v>138</v>
      </c>
      <c r="G16" s="5" t="s">
        <v>444</v>
      </c>
      <c r="H16" s="5" t="s">
        <v>532</v>
      </c>
      <c r="I16" s="5" t="s">
        <v>533</v>
      </c>
      <c r="J16" s="5" t="s">
        <v>34</v>
      </c>
      <c r="K16" s="5" t="s">
        <v>131</v>
      </c>
      <c r="L16" s="5" t="s">
        <v>534</v>
      </c>
      <c r="M16" s="5" t="s">
        <v>46</v>
      </c>
      <c r="N16" s="5" t="s">
        <v>56</v>
      </c>
      <c r="O16" s="6" t="s">
        <v>535</v>
      </c>
      <c r="P16" s="5" t="s">
        <v>47</v>
      </c>
      <c r="Q16" s="5"/>
      <c r="R16" s="5" t="s">
        <v>234</v>
      </c>
      <c r="S16" s="5" t="s">
        <v>390</v>
      </c>
      <c r="T16" s="5" t="s">
        <v>536</v>
      </c>
      <c r="U16" s="5" t="s">
        <v>537</v>
      </c>
      <c r="V16" s="8">
        <v>1</v>
      </c>
      <c r="W16" s="9">
        <v>264</v>
      </c>
      <c r="X16" s="5" t="s">
        <v>35</v>
      </c>
      <c r="Y16" s="10">
        <v>100</v>
      </c>
      <c r="Z16" s="10">
        <v>25.44</v>
      </c>
      <c r="AA16" s="10">
        <v>25.44</v>
      </c>
      <c r="AB16" s="10">
        <v>70924</v>
      </c>
      <c r="AC16" s="10">
        <v>4198</v>
      </c>
      <c r="AD16" s="10">
        <v>0</v>
      </c>
      <c r="AE16" s="11">
        <v>75122</v>
      </c>
      <c r="AF16" s="12" t="s">
        <v>133</v>
      </c>
      <c r="AG16" s="14" t="s">
        <v>538</v>
      </c>
      <c r="AH16" s="14" t="e">
        <v>#N/A</v>
      </c>
      <c r="AI16" s="14" t="s">
        <v>49</v>
      </c>
      <c r="AJ16" s="14">
        <v>10000</v>
      </c>
      <c r="AK16" s="14">
        <v>5000</v>
      </c>
      <c r="AL16" s="13">
        <v>6</v>
      </c>
      <c r="AM16" s="13">
        <v>3</v>
      </c>
      <c r="AN16" s="14" t="s">
        <v>316</v>
      </c>
      <c r="AO16" s="14" t="s">
        <v>86</v>
      </c>
      <c r="AP16" s="14" t="s">
        <v>46</v>
      </c>
      <c r="AQ16" s="14">
        <v>202604</v>
      </c>
      <c r="AR16" s="14" t="s">
        <v>164</v>
      </c>
      <c r="AS16" s="14"/>
      <c r="AT16" s="12" t="s">
        <v>133</v>
      </c>
      <c r="AU16" s="14" t="s">
        <v>309</v>
      </c>
      <c r="AV16" s="14" t="s">
        <v>461</v>
      </c>
    </row>
    <row r="17" spans="1:48" x14ac:dyDescent="0.3">
      <c r="A17" s="5" t="s">
        <v>30</v>
      </c>
      <c r="B17" s="5" t="s">
        <v>31</v>
      </c>
      <c r="C17" s="5" t="s">
        <v>443</v>
      </c>
      <c r="D17" s="5" t="s">
        <v>32</v>
      </c>
      <c r="E17" s="6" t="s">
        <v>33</v>
      </c>
      <c r="F17" s="7">
        <v>139</v>
      </c>
      <c r="G17" s="5" t="s">
        <v>444</v>
      </c>
      <c r="H17" s="5" t="s">
        <v>539</v>
      </c>
      <c r="I17" s="5" t="s">
        <v>540</v>
      </c>
      <c r="J17" s="5" t="s">
        <v>34</v>
      </c>
      <c r="K17" s="5" t="s">
        <v>93</v>
      </c>
      <c r="L17" s="5" t="s">
        <v>269</v>
      </c>
      <c r="M17" s="5" t="s">
        <v>53</v>
      </c>
      <c r="N17" s="5" t="s">
        <v>56</v>
      </c>
      <c r="O17" s="6" t="s">
        <v>541</v>
      </c>
      <c r="P17" s="5" t="s">
        <v>73</v>
      </c>
      <c r="Q17" s="5"/>
      <c r="R17" s="5" t="s">
        <v>70</v>
      </c>
      <c r="S17" s="5" t="s">
        <v>317</v>
      </c>
      <c r="T17" s="5" t="s">
        <v>498</v>
      </c>
      <c r="U17" s="5" t="s">
        <v>542</v>
      </c>
      <c r="V17" s="8">
        <v>29</v>
      </c>
      <c r="W17" s="9">
        <v>9517</v>
      </c>
      <c r="X17" s="5" t="s">
        <v>35</v>
      </c>
      <c r="Y17" s="10">
        <v>100</v>
      </c>
      <c r="Z17" s="10">
        <v>25.44</v>
      </c>
      <c r="AA17" s="10">
        <v>25.44</v>
      </c>
      <c r="AB17" s="10">
        <v>20353</v>
      </c>
      <c r="AC17" s="10">
        <v>5597</v>
      </c>
      <c r="AD17" s="10">
        <v>0</v>
      </c>
      <c r="AE17" s="11">
        <v>25950</v>
      </c>
      <c r="AF17" s="12" t="s">
        <v>95</v>
      </c>
      <c r="AG17" s="14" t="s">
        <v>161</v>
      </c>
      <c r="AH17" s="14" t="e">
        <v>#N/A</v>
      </c>
      <c r="AI17" s="14" t="s">
        <v>49</v>
      </c>
      <c r="AJ17" s="14">
        <v>10000</v>
      </c>
      <c r="AK17" s="14">
        <v>10000</v>
      </c>
      <c r="AL17" s="13">
        <v>30</v>
      </c>
      <c r="AM17" s="13">
        <v>30</v>
      </c>
      <c r="AN17" s="14" t="s">
        <v>543</v>
      </c>
      <c r="AO17" s="14" t="s">
        <v>86</v>
      </c>
      <c r="AP17" s="14" t="s">
        <v>53</v>
      </c>
      <c r="AQ17" s="14">
        <v>202604</v>
      </c>
      <c r="AR17" s="14" t="s">
        <v>164</v>
      </c>
      <c r="AS17" s="14"/>
      <c r="AT17" s="12" t="s">
        <v>95</v>
      </c>
      <c r="AU17" s="14" t="s">
        <v>309</v>
      </c>
      <c r="AV17" s="14" t="s">
        <v>461</v>
      </c>
    </row>
    <row r="18" spans="1:48" x14ac:dyDescent="0.3">
      <c r="A18" s="5" t="s">
        <v>30</v>
      </c>
      <c r="B18" s="5" t="s">
        <v>31</v>
      </c>
      <c r="C18" s="5" t="s">
        <v>443</v>
      </c>
      <c r="D18" s="5" t="s">
        <v>32</v>
      </c>
      <c r="E18" s="6" t="s">
        <v>33</v>
      </c>
      <c r="F18" s="7">
        <v>140</v>
      </c>
      <c r="G18" s="5" t="s">
        <v>444</v>
      </c>
      <c r="H18" s="5" t="s">
        <v>544</v>
      </c>
      <c r="I18" s="5" t="s">
        <v>545</v>
      </c>
      <c r="J18" s="5" t="s">
        <v>34</v>
      </c>
      <c r="K18" s="5" t="s">
        <v>134</v>
      </c>
      <c r="L18" s="5" t="s">
        <v>287</v>
      </c>
      <c r="M18" s="5" t="s">
        <v>53</v>
      </c>
      <c r="N18" s="5" t="s">
        <v>56</v>
      </c>
      <c r="O18" s="6" t="s">
        <v>546</v>
      </c>
      <c r="P18" s="5" t="s">
        <v>256</v>
      </c>
      <c r="Q18" s="5"/>
      <c r="R18" s="5" t="s">
        <v>547</v>
      </c>
      <c r="S18" s="5" t="s">
        <v>548</v>
      </c>
      <c r="T18" s="5" t="s">
        <v>480</v>
      </c>
      <c r="U18" s="5" t="s">
        <v>549</v>
      </c>
      <c r="V18" s="8">
        <v>25</v>
      </c>
      <c r="W18" s="9">
        <v>59292</v>
      </c>
      <c r="X18" s="5" t="s">
        <v>35</v>
      </c>
      <c r="Y18" s="10">
        <v>100</v>
      </c>
      <c r="Z18" s="10">
        <v>25.44</v>
      </c>
      <c r="AA18" s="10">
        <v>25.44</v>
      </c>
      <c r="AB18" s="10">
        <v>23661</v>
      </c>
      <c r="AC18" s="10">
        <v>11194</v>
      </c>
      <c r="AD18" s="10">
        <v>0</v>
      </c>
      <c r="AE18" s="11">
        <v>34855</v>
      </c>
      <c r="AF18" s="12" t="s">
        <v>135</v>
      </c>
      <c r="AG18" s="14" t="s">
        <v>176</v>
      </c>
      <c r="AH18" s="14" t="e">
        <v>#N/A</v>
      </c>
      <c r="AI18" s="14" t="s">
        <v>49</v>
      </c>
      <c r="AJ18" s="14">
        <v>60000</v>
      </c>
      <c r="AK18" s="14">
        <v>60000</v>
      </c>
      <c r="AL18" s="13">
        <v>30</v>
      </c>
      <c r="AM18" s="13">
        <v>27</v>
      </c>
      <c r="AN18" s="14" t="s">
        <v>550</v>
      </c>
      <c r="AO18" s="14" t="s">
        <v>86</v>
      </c>
      <c r="AP18" s="14" t="s">
        <v>53</v>
      </c>
      <c r="AQ18" s="14">
        <v>202604</v>
      </c>
      <c r="AR18" s="14" t="s">
        <v>164</v>
      </c>
      <c r="AS18" s="14"/>
      <c r="AT18" s="12" t="s">
        <v>135</v>
      </c>
      <c r="AU18" s="14" t="s">
        <v>309</v>
      </c>
      <c r="AV18" s="14" t="s">
        <v>461</v>
      </c>
    </row>
    <row r="19" spans="1:48" x14ac:dyDescent="0.3">
      <c r="A19" s="5" t="s">
        <v>30</v>
      </c>
      <c r="B19" s="5" t="s">
        <v>31</v>
      </c>
      <c r="C19" s="5" t="s">
        <v>443</v>
      </c>
      <c r="D19" s="5" t="s">
        <v>32</v>
      </c>
      <c r="E19" s="6" t="s">
        <v>33</v>
      </c>
      <c r="F19" s="7">
        <v>141</v>
      </c>
      <c r="G19" s="5" t="s">
        <v>444</v>
      </c>
      <c r="H19" s="5" t="s">
        <v>551</v>
      </c>
      <c r="I19" s="5" t="s">
        <v>552</v>
      </c>
      <c r="J19" s="5" t="s">
        <v>34</v>
      </c>
      <c r="K19" s="5" t="s">
        <v>50</v>
      </c>
      <c r="L19" s="5" t="s">
        <v>376</v>
      </c>
      <c r="M19" s="5" t="s">
        <v>289</v>
      </c>
      <c r="N19" s="5" t="s">
        <v>56</v>
      </c>
      <c r="O19" s="6" t="s">
        <v>553</v>
      </c>
      <c r="P19" s="5" t="s">
        <v>371</v>
      </c>
      <c r="Q19" s="5"/>
      <c r="R19" s="5" t="s">
        <v>554</v>
      </c>
      <c r="S19" s="5" t="s">
        <v>382</v>
      </c>
      <c r="T19" s="5" t="s">
        <v>480</v>
      </c>
      <c r="U19" s="5" t="s">
        <v>555</v>
      </c>
      <c r="V19" s="8">
        <v>24</v>
      </c>
      <c r="W19" s="9">
        <v>25148</v>
      </c>
      <c r="X19" s="5" t="s">
        <v>35</v>
      </c>
      <c r="Y19" s="10">
        <v>100</v>
      </c>
      <c r="Z19" s="10">
        <v>25.44</v>
      </c>
      <c r="AA19" s="10">
        <v>25.44</v>
      </c>
      <c r="AB19" s="10">
        <v>755</v>
      </c>
      <c r="AC19" s="10">
        <v>25186</v>
      </c>
      <c r="AD19" s="10">
        <v>0</v>
      </c>
      <c r="AE19" s="11">
        <v>25941</v>
      </c>
      <c r="AF19" s="12" t="s">
        <v>52</v>
      </c>
      <c r="AG19" s="14" t="s">
        <v>252</v>
      </c>
      <c r="AH19" s="14" t="e">
        <v>#N/A</v>
      </c>
      <c r="AI19" s="14" t="s">
        <v>217</v>
      </c>
      <c r="AJ19" s="14">
        <v>30000</v>
      </c>
      <c r="AK19" s="14">
        <v>30000</v>
      </c>
      <c r="AL19" s="13">
        <v>30</v>
      </c>
      <c r="AM19" s="13">
        <v>27</v>
      </c>
      <c r="AN19" s="14" t="s">
        <v>290</v>
      </c>
      <c r="AO19" s="14" t="s">
        <v>86</v>
      </c>
      <c r="AP19" s="14" t="s">
        <v>289</v>
      </c>
      <c r="AQ19" s="14">
        <v>202604</v>
      </c>
      <c r="AR19" s="14" t="s">
        <v>164</v>
      </c>
      <c r="AS19" s="14"/>
      <c r="AT19" s="12" t="s">
        <v>52</v>
      </c>
      <c r="AU19" s="14" t="s">
        <v>309</v>
      </c>
      <c r="AV19" s="14" t="s">
        <v>461</v>
      </c>
    </row>
    <row r="20" spans="1:48" x14ac:dyDescent="0.3">
      <c r="A20" s="5" t="s">
        <v>30</v>
      </c>
      <c r="B20" s="5" t="s">
        <v>31</v>
      </c>
      <c r="C20" s="5" t="s">
        <v>556</v>
      </c>
      <c r="D20" s="5" t="s">
        <v>32</v>
      </c>
      <c r="E20" s="6" t="s">
        <v>33</v>
      </c>
      <c r="F20" s="7">
        <v>1</v>
      </c>
      <c r="G20" s="5" t="s">
        <v>305</v>
      </c>
      <c r="H20" s="5" t="s">
        <v>557</v>
      </c>
      <c r="I20" s="5" t="s">
        <v>558</v>
      </c>
      <c r="J20" s="5" t="s">
        <v>34</v>
      </c>
      <c r="K20" s="5" t="s">
        <v>50</v>
      </c>
      <c r="L20" s="5" t="s">
        <v>288</v>
      </c>
      <c r="M20" s="5" t="s">
        <v>289</v>
      </c>
      <c r="N20" s="5" t="s">
        <v>56</v>
      </c>
      <c r="O20" s="6" t="s">
        <v>559</v>
      </c>
      <c r="P20" s="5" t="s">
        <v>318</v>
      </c>
      <c r="Q20" s="5"/>
      <c r="R20" s="5" t="s">
        <v>560</v>
      </c>
      <c r="S20" s="5" t="s">
        <v>278</v>
      </c>
      <c r="T20" s="5" t="s">
        <v>350</v>
      </c>
      <c r="U20" s="5" t="s">
        <v>561</v>
      </c>
      <c r="V20" s="8">
        <v>29</v>
      </c>
      <c r="W20" s="9">
        <v>44539</v>
      </c>
      <c r="X20" s="5" t="s">
        <v>35</v>
      </c>
      <c r="Y20" s="10">
        <v>100</v>
      </c>
      <c r="Z20" s="10">
        <v>25.44</v>
      </c>
      <c r="AA20" s="10">
        <v>25.44</v>
      </c>
      <c r="AB20" s="10">
        <v>755</v>
      </c>
      <c r="AC20" s="10">
        <v>4198</v>
      </c>
      <c r="AD20" s="10">
        <v>0</v>
      </c>
      <c r="AE20" s="11">
        <v>4953</v>
      </c>
      <c r="AF20" s="12" t="s">
        <v>52</v>
      </c>
      <c r="AG20" s="14" t="s">
        <v>179</v>
      </c>
      <c r="AH20" s="14" t="e">
        <v>#N/A</v>
      </c>
      <c r="AI20" s="14" t="s">
        <v>45</v>
      </c>
      <c r="AJ20" s="14">
        <v>50000</v>
      </c>
      <c r="AK20" s="14">
        <v>45000</v>
      </c>
      <c r="AL20" s="13">
        <v>30</v>
      </c>
      <c r="AM20" s="13">
        <v>30</v>
      </c>
      <c r="AN20" s="14" t="s">
        <v>290</v>
      </c>
      <c r="AO20" s="14" t="s">
        <v>86</v>
      </c>
      <c r="AP20" s="14" t="s">
        <v>289</v>
      </c>
      <c r="AQ20" s="14">
        <v>202604</v>
      </c>
      <c r="AR20" s="14" t="s">
        <v>164</v>
      </c>
      <c r="AS20" s="14"/>
      <c r="AT20" s="12" t="s">
        <v>52</v>
      </c>
      <c r="AU20" s="14" t="s">
        <v>309</v>
      </c>
      <c r="AV20" s="14" t="s">
        <v>461</v>
      </c>
    </row>
    <row r="21" spans="1:48" x14ac:dyDescent="0.3">
      <c r="A21" s="5" t="s">
        <v>30</v>
      </c>
      <c r="B21" s="5" t="s">
        <v>31</v>
      </c>
      <c r="C21" s="5" t="s">
        <v>556</v>
      </c>
      <c r="D21" s="5" t="s">
        <v>32</v>
      </c>
      <c r="E21" s="6" t="s">
        <v>33</v>
      </c>
      <c r="F21" s="7">
        <v>2</v>
      </c>
      <c r="G21" s="5" t="s">
        <v>305</v>
      </c>
      <c r="H21" s="5" t="s">
        <v>562</v>
      </c>
      <c r="I21" s="5" t="s">
        <v>563</v>
      </c>
      <c r="J21" s="5" t="s">
        <v>34</v>
      </c>
      <c r="K21" s="5" t="s">
        <v>50</v>
      </c>
      <c r="L21" s="5" t="s">
        <v>288</v>
      </c>
      <c r="M21" s="5" t="s">
        <v>289</v>
      </c>
      <c r="N21" s="5" t="s">
        <v>56</v>
      </c>
      <c r="O21" s="6" t="s">
        <v>564</v>
      </c>
      <c r="P21" s="5" t="s">
        <v>318</v>
      </c>
      <c r="Q21" s="5"/>
      <c r="R21" s="5" t="s">
        <v>319</v>
      </c>
      <c r="S21" s="5" t="s">
        <v>565</v>
      </c>
      <c r="T21" s="5" t="s">
        <v>342</v>
      </c>
      <c r="U21" s="5" t="s">
        <v>566</v>
      </c>
      <c r="V21" s="8">
        <v>19</v>
      </c>
      <c r="W21" s="9">
        <v>41800</v>
      </c>
      <c r="X21" s="5" t="s">
        <v>35</v>
      </c>
      <c r="Y21" s="10">
        <v>100</v>
      </c>
      <c r="Z21" s="10">
        <v>25.44</v>
      </c>
      <c r="AA21" s="10">
        <v>25.44</v>
      </c>
      <c r="AB21" s="10">
        <v>1018</v>
      </c>
      <c r="AC21" s="10">
        <v>5838</v>
      </c>
      <c r="AD21" s="10">
        <v>0</v>
      </c>
      <c r="AE21" s="11">
        <v>6856</v>
      </c>
      <c r="AF21" s="12" t="s">
        <v>52</v>
      </c>
      <c r="AG21" s="14" t="s">
        <v>214</v>
      </c>
      <c r="AH21" s="14" t="e">
        <v>#N/A</v>
      </c>
      <c r="AI21" s="14" t="s">
        <v>217</v>
      </c>
      <c r="AJ21" s="14">
        <v>50000</v>
      </c>
      <c r="AK21" s="14">
        <v>45000</v>
      </c>
      <c r="AL21" s="13">
        <v>24</v>
      </c>
      <c r="AM21" s="13">
        <v>21</v>
      </c>
      <c r="AN21" s="14" t="s">
        <v>286</v>
      </c>
      <c r="AO21" s="14" t="s">
        <v>86</v>
      </c>
      <c r="AP21" s="14" t="s">
        <v>289</v>
      </c>
      <c r="AQ21" s="14">
        <v>202604</v>
      </c>
      <c r="AR21" s="14" t="s">
        <v>164</v>
      </c>
      <c r="AS21" s="14"/>
      <c r="AT21" s="12" t="s">
        <v>52</v>
      </c>
      <c r="AU21" s="14" t="s">
        <v>309</v>
      </c>
      <c r="AV21" s="14" t="s">
        <v>461</v>
      </c>
    </row>
    <row r="22" spans="1:48" x14ac:dyDescent="0.3">
      <c r="A22" s="5" t="s">
        <v>30</v>
      </c>
      <c r="B22" s="5" t="s">
        <v>31</v>
      </c>
      <c r="C22" s="5" t="s">
        <v>556</v>
      </c>
      <c r="D22" s="5" t="s">
        <v>32</v>
      </c>
      <c r="E22" s="6" t="s">
        <v>33</v>
      </c>
      <c r="F22" s="7">
        <v>3</v>
      </c>
      <c r="G22" s="5" t="s">
        <v>305</v>
      </c>
      <c r="H22" s="5" t="s">
        <v>567</v>
      </c>
      <c r="I22" s="5" t="s">
        <v>568</v>
      </c>
      <c r="J22" s="5" t="s">
        <v>34</v>
      </c>
      <c r="K22" s="5" t="s">
        <v>50</v>
      </c>
      <c r="L22" s="5" t="s">
        <v>288</v>
      </c>
      <c r="M22" s="5" t="s">
        <v>289</v>
      </c>
      <c r="N22" s="5" t="s">
        <v>56</v>
      </c>
      <c r="O22" s="6" t="s">
        <v>569</v>
      </c>
      <c r="P22" s="5" t="s">
        <v>318</v>
      </c>
      <c r="Q22" s="5"/>
      <c r="R22" s="5" t="s">
        <v>570</v>
      </c>
      <c r="S22" s="5" t="s">
        <v>389</v>
      </c>
      <c r="T22" s="5" t="s">
        <v>314</v>
      </c>
      <c r="U22" s="5" t="s">
        <v>389</v>
      </c>
      <c r="V22" s="8">
        <v>11</v>
      </c>
      <c r="W22" s="9">
        <v>14518</v>
      </c>
      <c r="X22" s="5" t="s">
        <v>35</v>
      </c>
      <c r="Y22" s="10">
        <v>100</v>
      </c>
      <c r="Z22" s="10">
        <v>25.44</v>
      </c>
      <c r="AA22" s="10">
        <v>25.44</v>
      </c>
      <c r="AB22" s="10">
        <v>755</v>
      </c>
      <c r="AC22" s="10">
        <v>4198</v>
      </c>
      <c r="AD22" s="10">
        <v>0</v>
      </c>
      <c r="AE22" s="11">
        <v>4953</v>
      </c>
      <c r="AF22" s="12" t="s">
        <v>52</v>
      </c>
      <c r="AG22" s="14" t="s">
        <v>391</v>
      </c>
      <c r="AH22" s="14" t="e">
        <v>#N/A</v>
      </c>
      <c r="AI22" s="14" t="s">
        <v>217</v>
      </c>
      <c r="AJ22" s="14">
        <v>20000</v>
      </c>
      <c r="AK22" s="14">
        <v>15000</v>
      </c>
      <c r="AL22" s="13">
        <v>12</v>
      </c>
      <c r="AM22" s="13">
        <v>12</v>
      </c>
      <c r="AN22" s="14" t="s">
        <v>290</v>
      </c>
      <c r="AO22" s="14" t="s">
        <v>86</v>
      </c>
      <c r="AP22" s="14" t="s">
        <v>289</v>
      </c>
      <c r="AQ22" s="14">
        <v>202604</v>
      </c>
      <c r="AR22" s="14" t="s">
        <v>164</v>
      </c>
      <c r="AS22" s="14"/>
      <c r="AT22" s="12" t="s">
        <v>52</v>
      </c>
      <c r="AU22" s="14" t="s">
        <v>309</v>
      </c>
      <c r="AV22" s="14" t="s">
        <v>461</v>
      </c>
    </row>
    <row r="23" spans="1:48" x14ac:dyDescent="0.3">
      <c r="A23" s="5" t="s">
        <v>30</v>
      </c>
      <c r="B23" s="5" t="s">
        <v>54</v>
      </c>
      <c r="C23" s="5" t="s">
        <v>443</v>
      </c>
      <c r="D23" s="5" t="s">
        <v>32</v>
      </c>
      <c r="E23" s="6" t="s">
        <v>33</v>
      </c>
      <c r="F23" s="7">
        <v>1</v>
      </c>
      <c r="G23" s="5" t="s">
        <v>444</v>
      </c>
      <c r="H23" s="5" t="s">
        <v>571</v>
      </c>
      <c r="I23" s="5" t="s">
        <v>572</v>
      </c>
      <c r="J23" s="5" t="s">
        <v>34</v>
      </c>
      <c r="K23" s="5" t="s">
        <v>42</v>
      </c>
      <c r="L23" s="5" t="s">
        <v>573</v>
      </c>
      <c r="M23" s="5" t="s">
        <v>574</v>
      </c>
      <c r="N23" s="5" t="s">
        <v>56</v>
      </c>
      <c r="O23" s="6" t="s">
        <v>575</v>
      </c>
      <c r="P23" s="5" t="s">
        <v>47</v>
      </c>
      <c r="Q23" s="5" t="s">
        <v>64</v>
      </c>
      <c r="R23" s="5" t="s">
        <v>70</v>
      </c>
      <c r="S23" s="5" t="s">
        <v>576</v>
      </c>
      <c r="T23" s="5" t="s">
        <v>474</v>
      </c>
      <c r="U23" s="5" t="s">
        <v>264</v>
      </c>
      <c r="V23" s="8">
        <v>13</v>
      </c>
      <c r="W23" s="9">
        <v>6903</v>
      </c>
      <c r="X23" s="5" t="s">
        <v>35</v>
      </c>
      <c r="Y23" s="10">
        <v>100</v>
      </c>
      <c r="Z23" s="10">
        <v>18.18</v>
      </c>
      <c r="AA23" s="10">
        <v>18.18</v>
      </c>
      <c r="AB23" s="10">
        <v>7902</v>
      </c>
      <c r="AC23" s="10">
        <v>2147</v>
      </c>
      <c r="AD23" s="10">
        <v>0</v>
      </c>
      <c r="AE23" s="11">
        <v>10049</v>
      </c>
      <c r="AF23" s="12" t="s">
        <v>44</v>
      </c>
      <c r="AG23" s="14" t="s">
        <v>250</v>
      </c>
      <c r="AH23" s="14" t="s">
        <v>65</v>
      </c>
      <c r="AI23" s="14" t="s">
        <v>49</v>
      </c>
      <c r="AJ23" s="14">
        <v>10000</v>
      </c>
      <c r="AK23" s="14">
        <v>10000</v>
      </c>
      <c r="AL23" s="13">
        <v>18</v>
      </c>
      <c r="AM23" s="13">
        <v>15</v>
      </c>
      <c r="AN23" s="14" t="s">
        <v>577</v>
      </c>
      <c r="AO23" s="14" t="s">
        <v>578</v>
      </c>
      <c r="AP23" s="14" t="s">
        <v>53</v>
      </c>
      <c r="AQ23" s="14">
        <v>202604</v>
      </c>
      <c r="AR23" s="14" t="s">
        <v>164</v>
      </c>
      <c r="AS23" s="14"/>
      <c r="AT23" s="12" t="s">
        <v>44</v>
      </c>
      <c r="AU23" s="14" t="s">
        <v>309</v>
      </c>
      <c r="AV23" s="14" t="s">
        <v>461</v>
      </c>
    </row>
    <row r="24" spans="1:48" x14ac:dyDescent="0.3">
      <c r="A24" s="5" t="s">
        <v>30</v>
      </c>
      <c r="B24" s="5" t="s">
        <v>54</v>
      </c>
      <c r="C24" s="5" t="s">
        <v>443</v>
      </c>
      <c r="D24" s="5" t="s">
        <v>32</v>
      </c>
      <c r="E24" s="6" t="s">
        <v>33</v>
      </c>
      <c r="F24" s="7">
        <v>2</v>
      </c>
      <c r="G24" s="5" t="s">
        <v>444</v>
      </c>
      <c r="H24" s="5" t="s">
        <v>579</v>
      </c>
      <c r="I24" s="5" t="s">
        <v>580</v>
      </c>
      <c r="J24" s="5" t="s">
        <v>34</v>
      </c>
      <c r="K24" s="5" t="s">
        <v>55</v>
      </c>
      <c r="L24" s="5" t="s">
        <v>581</v>
      </c>
      <c r="M24" s="5" t="s">
        <v>582</v>
      </c>
      <c r="N24" s="5" t="s">
        <v>56</v>
      </c>
      <c r="O24" s="6" t="s">
        <v>583</v>
      </c>
      <c r="P24" s="5" t="s">
        <v>584</v>
      </c>
      <c r="Q24" s="5" t="s">
        <v>64</v>
      </c>
      <c r="R24" s="5" t="s">
        <v>144</v>
      </c>
      <c r="S24" s="5" t="s">
        <v>585</v>
      </c>
      <c r="T24" s="5" t="s">
        <v>349</v>
      </c>
      <c r="U24" s="5" t="s">
        <v>586</v>
      </c>
      <c r="V24" s="8">
        <v>94</v>
      </c>
      <c r="W24" s="9">
        <v>77646</v>
      </c>
      <c r="X24" s="5" t="s">
        <v>35</v>
      </c>
      <c r="Y24" s="10">
        <v>100</v>
      </c>
      <c r="Z24" s="10">
        <v>18.18</v>
      </c>
      <c r="AA24" s="10">
        <v>18.18</v>
      </c>
      <c r="AB24" s="10">
        <v>194656</v>
      </c>
      <c r="AC24" s="10">
        <v>45647</v>
      </c>
      <c r="AD24" s="10">
        <v>0</v>
      </c>
      <c r="AE24" s="11">
        <v>240303</v>
      </c>
      <c r="AF24" s="12" t="s">
        <v>57</v>
      </c>
      <c r="AG24" s="14" t="s">
        <v>587</v>
      </c>
      <c r="AH24" s="14" t="s">
        <v>65</v>
      </c>
      <c r="AI24" s="14" t="s">
        <v>36</v>
      </c>
      <c r="AJ24" s="14">
        <v>80000</v>
      </c>
      <c r="AK24" s="14">
        <v>80000</v>
      </c>
      <c r="AL24" s="13" t="s">
        <v>123</v>
      </c>
      <c r="AM24" s="13" t="s">
        <v>123</v>
      </c>
      <c r="AN24" s="14" t="s">
        <v>58</v>
      </c>
      <c r="AO24" s="14" t="s">
        <v>59</v>
      </c>
      <c r="AP24" s="14" t="s">
        <v>37</v>
      </c>
      <c r="AQ24" s="14">
        <v>202604</v>
      </c>
      <c r="AR24" s="14" t="s">
        <v>152</v>
      </c>
      <c r="AS24" s="14" t="s">
        <v>163</v>
      </c>
      <c r="AT24" s="12" t="s">
        <v>163</v>
      </c>
      <c r="AU24" s="14" t="s">
        <v>309</v>
      </c>
      <c r="AV24" s="14" t="s">
        <v>461</v>
      </c>
    </row>
    <row r="25" spans="1:48" x14ac:dyDescent="0.3">
      <c r="A25" s="5" t="s">
        <v>30</v>
      </c>
      <c r="B25" s="5" t="s">
        <v>54</v>
      </c>
      <c r="C25" s="5" t="s">
        <v>443</v>
      </c>
      <c r="D25" s="5" t="s">
        <v>32</v>
      </c>
      <c r="E25" s="6" t="s">
        <v>33</v>
      </c>
      <c r="F25" s="7">
        <v>3</v>
      </c>
      <c r="G25" s="5" t="s">
        <v>444</v>
      </c>
      <c r="H25" s="5" t="s">
        <v>588</v>
      </c>
      <c r="I25" s="5" t="s">
        <v>589</v>
      </c>
      <c r="J25" s="5" t="s">
        <v>34</v>
      </c>
      <c r="K25" s="5" t="s">
        <v>55</v>
      </c>
      <c r="L25" s="5" t="s">
        <v>581</v>
      </c>
      <c r="M25" s="5" t="s">
        <v>582</v>
      </c>
      <c r="N25" s="5" t="s">
        <v>56</v>
      </c>
      <c r="O25" s="6" t="s">
        <v>590</v>
      </c>
      <c r="P25" s="5" t="s">
        <v>584</v>
      </c>
      <c r="Q25" s="5" t="s">
        <v>320</v>
      </c>
      <c r="R25" s="5" t="s">
        <v>144</v>
      </c>
      <c r="S25" s="5" t="s">
        <v>591</v>
      </c>
      <c r="T25" s="5" t="s">
        <v>397</v>
      </c>
      <c r="U25" s="5" t="s">
        <v>592</v>
      </c>
      <c r="V25" s="8">
        <v>89</v>
      </c>
      <c r="W25" s="9">
        <v>55442</v>
      </c>
      <c r="X25" s="5" t="s">
        <v>35</v>
      </c>
      <c r="Y25" s="10">
        <v>100</v>
      </c>
      <c r="Z25" s="10">
        <v>18.18</v>
      </c>
      <c r="AA25" s="10">
        <v>18.18</v>
      </c>
      <c r="AB25" s="10">
        <v>182593</v>
      </c>
      <c r="AC25" s="10">
        <v>46227</v>
      </c>
      <c r="AD25" s="10">
        <v>0</v>
      </c>
      <c r="AE25" s="11">
        <v>228820</v>
      </c>
      <c r="AF25" s="12" t="s">
        <v>57</v>
      </c>
      <c r="AG25" s="14" t="s">
        <v>593</v>
      </c>
      <c r="AH25" s="14" t="s">
        <v>322</v>
      </c>
      <c r="AI25" s="14" t="s">
        <v>36</v>
      </c>
      <c r="AJ25" s="14">
        <v>60000</v>
      </c>
      <c r="AK25" s="14">
        <v>60000</v>
      </c>
      <c r="AL25" s="13" t="s">
        <v>123</v>
      </c>
      <c r="AM25" s="13" t="s">
        <v>123</v>
      </c>
      <c r="AN25" s="14" t="s">
        <v>58</v>
      </c>
      <c r="AO25" s="14" t="s">
        <v>59</v>
      </c>
      <c r="AP25" s="14" t="s">
        <v>37</v>
      </c>
      <c r="AQ25" s="14">
        <v>202604</v>
      </c>
      <c r="AR25" s="14" t="s">
        <v>152</v>
      </c>
      <c r="AS25" s="14" t="s">
        <v>163</v>
      </c>
      <c r="AT25" s="12" t="s">
        <v>163</v>
      </c>
      <c r="AU25" s="14" t="s">
        <v>309</v>
      </c>
      <c r="AV25" s="14" t="s">
        <v>461</v>
      </c>
    </row>
    <row r="26" spans="1:48" x14ac:dyDescent="0.3">
      <c r="A26" s="5" t="s">
        <v>30</v>
      </c>
      <c r="B26" s="5" t="s">
        <v>54</v>
      </c>
      <c r="C26" s="5" t="s">
        <v>443</v>
      </c>
      <c r="D26" s="5" t="s">
        <v>32</v>
      </c>
      <c r="E26" s="6" t="s">
        <v>33</v>
      </c>
      <c r="F26" s="7">
        <v>48</v>
      </c>
      <c r="G26" s="5" t="s">
        <v>444</v>
      </c>
      <c r="H26" s="5" t="s">
        <v>594</v>
      </c>
      <c r="I26" s="5" t="s">
        <v>595</v>
      </c>
      <c r="J26" s="5" t="s">
        <v>34</v>
      </c>
      <c r="K26" s="5" t="s">
        <v>134</v>
      </c>
      <c r="L26" s="5" t="s">
        <v>222</v>
      </c>
      <c r="M26" s="5" t="s">
        <v>39</v>
      </c>
      <c r="N26" s="5" t="s">
        <v>596</v>
      </c>
      <c r="O26" s="6" t="s">
        <v>597</v>
      </c>
      <c r="P26" s="5" t="s">
        <v>177</v>
      </c>
      <c r="Q26" s="5" t="s">
        <v>188</v>
      </c>
      <c r="R26" s="5" t="s">
        <v>144</v>
      </c>
      <c r="S26" s="5" t="s">
        <v>598</v>
      </c>
      <c r="T26" s="5" t="s">
        <v>372</v>
      </c>
      <c r="U26" s="5" t="s">
        <v>599</v>
      </c>
      <c r="V26" s="8">
        <v>4</v>
      </c>
      <c r="W26" s="9">
        <v>9320</v>
      </c>
      <c r="X26" s="5" t="s">
        <v>35</v>
      </c>
      <c r="Y26" s="10">
        <v>100</v>
      </c>
      <c r="Z26" s="10">
        <v>18.18</v>
      </c>
      <c r="AA26" s="10">
        <v>18.18</v>
      </c>
      <c r="AB26" s="10">
        <v>192053</v>
      </c>
      <c r="AC26" s="10">
        <v>66842</v>
      </c>
      <c r="AD26" s="10">
        <v>0</v>
      </c>
      <c r="AE26" s="11">
        <v>258895</v>
      </c>
      <c r="AF26" s="12" t="s">
        <v>135</v>
      </c>
      <c r="AG26" s="14" t="s">
        <v>321</v>
      </c>
      <c r="AH26" s="14" t="s">
        <v>189</v>
      </c>
      <c r="AI26" s="14" t="s">
        <v>36</v>
      </c>
      <c r="AJ26" s="14">
        <v>10000</v>
      </c>
      <c r="AK26" s="14">
        <v>10000</v>
      </c>
      <c r="AL26" s="13">
        <v>6</v>
      </c>
      <c r="AM26" s="13">
        <v>6</v>
      </c>
      <c r="AN26" s="14" t="s">
        <v>58</v>
      </c>
      <c r="AO26" s="14" t="s">
        <v>59</v>
      </c>
      <c r="AP26" s="14" t="s">
        <v>37</v>
      </c>
      <c r="AQ26" s="14">
        <v>202604</v>
      </c>
      <c r="AR26" s="14" t="s">
        <v>152</v>
      </c>
      <c r="AS26" s="14" t="s">
        <v>180</v>
      </c>
      <c r="AT26" s="14" t="s">
        <v>180</v>
      </c>
      <c r="AU26" s="14" t="s">
        <v>309</v>
      </c>
      <c r="AV26" s="14" t="s">
        <v>461</v>
      </c>
    </row>
    <row r="27" spans="1:48" x14ac:dyDescent="0.3">
      <c r="A27" s="5" t="s">
        <v>30</v>
      </c>
      <c r="B27" s="5" t="s">
        <v>54</v>
      </c>
      <c r="C27" s="5" t="s">
        <v>443</v>
      </c>
      <c r="D27" s="5" t="s">
        <v>32</v>
      </c>
      <c r="E27" s="6" t="s">
        <v>33</v>
      </c>
      <c r="F27" s="7">
        <v>49</v>
      </c>
      <c r="G27" s="5" t="s">
        <v>444</v>
      </c>
      <c r="H27" s="5" t="s">
        <v>600</v>
      </c>
      <c r="I27" s="5" t="s">
        <v>601</v>
      </c>
      <c r="J27" s="5" t="s">
        <v>34</v>
      </c>
      <c r="K27" s="5" t="s">
        <v>134</v>
      </c>
      <c r="L27" s="5" t="s">
        <v>232</v>
      </c>
      <c r="M27" s="5" t="s">
        <v>39</v>
      </c>
      <c r="N27" s="5" t="s">
        <v>596</v>
      </c>
      <c r="O27" s="6" t="s">
        <v>602</v>
      </c>
      <c r="P27" s="5" t="s">
        <v>177</v>
      </c>
      <c r="Q27" s="5" t="s">
        <v>71</v>
      </c>
      <c r="R27" s="5" t="s">
        <v>145</v>
      </c>
      <c r="S27" s="5" t="s">
        <v>603</v>
      </c>
      <c r="T27" s="5" t="s">
        <v>374</v>
      </c>
      <c r="U27" s="5" t="s">
        <v>604</v>
      </c>
      <c r="V27" s="8">
        <v>43</v>
      </c>
      <c r="W27" s="9">
        <v>69901</v>
      </c>
      <c r="X27" s="5" t="s">
        <v>35</v>
      </c>
      <c r="Y27" s="10">
        <v>100</v>
      </c>
      <c r="Z27" s="10">
        <v>18.18</v>
      </c>
      <c r="AA27" s="10">
        <v>18.18</v>
      </c>
      <c r="AB27" s="10">
        <v>42797</v>
      </c>
      <c r="AC27" s="10">
        <v>33273</v>
      </c>
      <c r="AD27" s="10">
        <v>0</v>
      </c>
      <c r="AE27" s="11">
        <v>76070</v>
      </c>
      <c r="AF27" s="12" t="s">
        <v>135</v>
      </c>
      <c r="AG27" s="14" t="s">
        <v>356</v>
      </c>
      <c r="AH27" s="14" t="s">
        <v>72</v>
      </c>
      <c r="AI27" s="14" t="s">
        <v>36</v>
      </c>
      <c r="AJ27" s="14">
        <v>70000</v>
      </c>
      <c r="AK27" s="14">
        <v>70000</v>
      </c>
      <c r="AL27" s="13">
        <v>48</v>
      </c>
      <c r="AM27" s="13">
        <v>45</v>
      </c>
      <c r="AN27" s="14" t="s">
        <v>215</v>
      </c>
      <c r="AO27" s="14" t="s">
        <v>216</v>
      </c>
      <c r="AP27" s="14" t="s">
        <v>37</v>
      </c>
      <c r="AQ27" s="14">
        <v>202604</v>
      </c>
      <c r="AR27" s="14" t="s">
        <v>152</v>
      </c>
      <c r="AS27" s="14" t="s">
        <v>180</v>
      </c>
      <c r="AT27" s="14" t="s">
        <v>180</v>
      </c>
      <c r="AU27" s="14" t="s">
        <v>309</v>
      </c>
      <c r="AV27" s="14" t="s">
        <v>461</v>
      </c>
    </row>
    <row r="28" spans="1:48" x14ac:dyDescent="0.3">
      <c r="A28" s="5" t="s">
        <v>30</v>
      </c>
      <c r="B28" s="5" t="s">
        <v>54</v>
      </c>
      <c r="C28" s="5" t="s">
        <v>443</v>
      </c>
      <c r="D28" s="5" t="s">
        <v>32</v>
      </c>
      <c r="E28" s="6" t="s">
        <v>33</v>
      </c>
      <c r="F28" s="7">
        <v>50</v>
      </c>
      <c r="G28" s="5" t="s">
        <v>444</v>
      </c>
      <c r="H28" s="5" t="s">
        <v>605</v>
      </c>
      <c r="I28" s="5" t="s">
        <v>606</v>
      </c>
      <c r="J28" s="5" t="s">
        <v>34</v>
      </c>
      <c r="K28" s="5" t="s">
        <v>134</v>
      </c>
      <c r="L28" s="5" t="s">
        <v>232</v>
      </c>
      <c r="M28" s="5" t="s">
        <v>39</v>
      </c>
      <c r="N28" s="5" t="s">
        <v>596</v>
      </c>
      <c r="O28" s="6" t="s">
        <v>607</v>
      </c>
      <c r="P28" s="5" t="s">
        <v>177</v>
      </c>
      <c r="Q28" s="5" t="s">
        <v>64</v>
      </c>
      <c r="R28" s="5" t="s">
        <v>144</v>
      </c>
      <c r="S28" s="5" t="s">
        <v>608</v>
      </c>
      <c r="T28" s="5" t="s">
        <v>528</v>
      </c>
      <c r="U28" s="5" t="s">
        <v>609</v>
      </c>
      <c r="V28" s="8">
        <v>29</v>
      </c>
      <c r="W28" s="9">
        <v>107082</v>
      </c>
      <c r="X28" s="5" t="s">
        <v>35</v>
      </c>
      <c r="Y28" s="10">
        <v>100</v>
      </c>
      <c r="Z28" s="10">
        <v>18.18</v>
      </c>
      <c r="AA28" s="10">
        <v>18.18</v>
      </c>
      <c r="AB28" s="10">
        <v>56343</v>
      </c>
      <c r="AC28" s="10">
        <v>10466</v>
      </c>
      <c r="AD28" s="10">
        <v>0</v>
      </c>
      <c r="AE28" s="11">
        <v>66809</v>
      </c>
      <c r="AF28" s="12" t="s">
        <v>135</v>
      </c>
      <c r="AG28" s="14" t="s">
        <v>185</v>
      </c>
      <c r="AH28" s="14" t="s">
        <v>65</v>
      </c>
      <c r="AI28" s="14" t="s">
        <v>36</v>
      </c>
      <c r="AJ28" s="14" t="s">
        <v>141</v>
      </c>
      <c r="AK28" s="14" t="s">
        <v>141</v>
      </c>
      <c r="AL28" s="13">
        <v>30</v>
      </c>
      <c r="AM28" s="13">
        <v>30</v>
      </c>
      <c r="AN28" s="14" t="s">
        <v>352</v>
      </c>
      <c r="AO28" s="14" t="s">
        <v>353</v>
      </c>
      <c r="AP28" s="14" t="s">
        <v>37</v>
      </c>
      <c r="AQ28" s="14">
        <v>202604</v>
      </c>
      <c r="AR28" s="14" t="s">
        <v>152</v>
      </c>
      <c r="AS28" s="14" t="s">
        <v>180</v>
      </c>
      <c r="AT28" s="14" t="s">
        <v>180</v>
      </c>
      <c r="AU28" s="14" t="s">
        <v>309</v>
      </c>
      <c r="AV28" s="14" t="s">
        <v>461</v>
      </c>
    </row>
    <row r="29" spans="1:48" x14ac:dyDescent="0.3">
      <c r="A29" s="5" t="s">
        <v>30</v>
      </c>
      <c r="B29" s="5" t="s">
        <v>54</v>
      </c>
      <c r="C29" s="5" t="s">
        <v>443</v>
      </c>
      <c r="D29" s="5" t="s">
        <v>32</v>
      </c>
      <c r="E29" s="6" t="s">
        <v>33</v>
      </c>
      <c r="F29" s="7">
        <v>51</v>
      </c>
      <c r="G29" s="5" t="s">
        <v>444</v>
      </c>
      <c r="H29" s="5" t="s">
        <v>610</v>
      </c>
      <c r="I29" s="5" t="s">
        <v>611</v>
      </c>
      <c r="J29" s="5" t="s">
        <v>34</v>
      </c>
      <c r="K29" s="5" t="s">
        <v>38</v>
      </c>
      <c r="L29" s="5" t="s">
        <v>69</v>
      </c>
      <c r="M29" s="5" t="s">
        <v>39</v>
      </c>
      <c r="N29" s="5" t="s">
        <v>56</v>
      </c>
      <c r="O29" s="6" t="s">
        <v>612</v>
      </c>
      <c r="P29" s="5" t="s">
        <v>68</v>
      </c>
      <c r="Q29" s="5" t="s">
        <v>188</v>
      </c>
      <c r="R29" s="5" t="s">
        <v>144</v>
      </c>
      <c r="S29" s="5" t="s">
        <v>613</v>
      </c>
      <c r="T29" s="5" t="s">
        <v>614</v>
      </c>
      <c r="U29" s="5" t="s">
        <v>615</v>
      </c>
      <c r="V29" s="8">
        <v>90</v>
      </c>
      <c r="W29" s="9">
        <v>118970</v>
      </c>
      <c r="X29" s="5" t="s">
        <v>35</v>
      </c>
      <c r="Y29" s="10">
        <v>100</v>
      </c>
      <c r="Z29" s="10">
        <v>18.18</v>
      </c>
      <c r="AA29" s="10">
        <v>18.18</v>
      </c>
      <c r="AB29" s="10">
        <v>509953</v>
      </c>
      <c r="AC29" s="10">
        <v>97091</v>
      </c>
      <c r="AD29" s="10">
        <v>0</v>
      </c>
      <c r="AE29" s="11">
        <v>607044</v>
      </c>
      <c r="AF29" s="12" t="s">
        <v>41</v>
      </c>
      <c r="AG29" s="14" t="s">
        <v>327</v>
      </c>
      <c r="AH29" s="14" t="s">
        <v>189</v>
      </c>
      <c r="AI29" s="14" t="s">
        <v>36</v>
      </c>
      <c r="AJ29" s="14" t="s">
        <v>141</v>
      </c>
      <c r="AK29" s="14" t="s">
        <v>141</v>
      </c>
      <c r="AL29" s="13" t="s">
        <v>123</v>
      </c>
      <c r="AM29" s="13" t="s">
        <v>123</v>
      </c>
      <c r="AN29" s="14" t="s">
        <v>58</v>
      </c>
      <c r="AO29" s="14" t="s">
        <v>59</v>
      </c>
      <c r="AP29" s="14" t="s">
        <v>37</v>
      </c>
      <c r="AQ29" s="14">
        <v>202604</v>
      </c>
      <c r="AR29" s="14" t="s">
        <v>152</v>
      </c>
      <c r="AS29" s="14" t="s">
        <v>163</v>
      </c>
      <c r="AT29" s="12" t="s">
        <v>163</v>
      </c>
      <c r="AU29" s="14" t="s">
        <v>309</v>
      </c>
      <c r="AV29" s="14" t="s">
        <v>461</v>
      </c>
    </row>
    <row r="30" spans="1:48" x14ac:dyDescent="0.3">
      <c r="A30" s="5" t="s">
        <v>30</v>
      </c>
      <c r="B30" s="5" t="s">
        <v>54</v>
      </c>
      <c r="C30" s="5" t="s">
        <v>443</v>
      </c>
      <c r="D30" s="5" t="s">
        <v>32</v>
      </c>
      <c r="E30" s="6" t="s">
        <v>33</v>
      </c>
      <c r="F30" s="7">
        <v>52</v>
      </c>
      <c r="G30" s="5" t="s">
        <v>444</v>
      </c>
      <c r="H30" s="5" t="s">
        <v>616</v>
      </c>
      <c r="I30" s="5" t="s">
        <v>617</v>
      </c>
      <c r="J30" s="5" t="s">
        <v>34</v>
      </c>
      <c r="K30" s="5" t="s">
        <v>38</v>
      </c>
      <c r="L30" s="5" t="s">
        <v>69</v>
      </c>
      <c r="M30" s="5" t="s">
        <v>39</v>
      </c>
      <c r="N30" s="5" t="s">
        <v>56</v>
      </c>
      <c r="O30" s="6" t="s">
        <v>618</v>
      </c>
      <c r="P30" s="5" t="s">
        <v>142</v>
      </c>
      <c r="Q30" s="5" t="s">
        <v>64</v>
      </c>
      <c r="R30" s="5" t="s">
        <v>40</v>
      </c>
      <c r="S30" s="5" t="s">
        <v>328</v>
      </c>
      <c r="T30" s="5" t="s">
        <v>537</v>
      </c>
      <c r="U30" s="5" t="s">
        <v>619</v>
      </c>
      <c r="V30" s="8">
        <v>79</v>
      </c>
      <c r="W30" s="9">
        <v>92091</v>
      </c>
      <c r="X30" s="5" t="s">
        <v>35</v>
      </c>
      <c r="Y30" s="10">
        <v>100</v>
      </c>
      <c r="Z30" s="10">
        <v>18.18</v>
      </c>
      <c r="AA30" s="10">
        <v>18.18</v>
      </c>
      <c r="AB30" s="10">
        <v>510397</v>
      </c>
      <c r="AC30" s="10">
        <v>144912</v>
      </c>
      <c r="AD30" s="10">
        <v>0</v>
      </c>
      <c r="AE30" s="11">
        <v>655309</v>
      </c>
      <c r="AF30" s="12" t="s">
        <v>41</v>
      </c>
      <c r="AG30" s="14" t="s">
        <v>329</v>
      </c>
      <c r="AH30" s="14" t="s">
        <v>65</v>
      </c>
      <c r="AI30" s="14" t="s">
        <v>36</v>
      </c>
      <c r="AJ30" s="14">
        <v>100000</v>
      </c>
      <c r="AK30" s="14">
        <v>95000</v>
      </c>
      <c r="AL30" s="13" t="s">
        <v>123</v>
      </c>
      <c r="AM30" s="13" t="s">
        <v>123</v>
      </c>
      <c r="AN30" s="14" t="s">
        <v>58</v>
      </c>
      <c r="AO30" s="14" t="s">
        <v>59</v>
      </c>
      <c r="AP30" s="14" t="s">
        <v>37</v>
      </c>
      <c r="AQ30" s="14">
        <v>202604</v>
      </c>
      <c r="AR30" s="14" t="s">
        <v>152</v>
      </c>
      <c r="AS30" s="14" t="s">
        <v>163</v>
      </c>
      <c r="AT30" s="12" t="s">
        <v>163</v>
      </c>
      <c r="AU30" s="14" t="s">
        <v>309</v>
      </c>
      <c r="AV30" s="14" t="s">
        <v>461</v>
      </c>
    </row>
    <row r="31" spans="1:48" x14ac:dyDescent="0.3">
      <c r="A31" s="5" t="s">
        <v>30</v>
      </c>
      <c r="B31" s="5" t="s">
        <v>54</v>
      </c>
      <c r="C31" s="5" t="s">
        <v>443</v>
      </c>
      <c r="D31" s="5" t="s">
        <v>32</v>
      </c>
      <c r="E31" s="6" t="s">
        <v>33</v>
      </c>
      <c r="F31" s="7">
        <v>53</v>
      </c>
      <c r="G31" s="5" t="s">
        <v>444</v>
      </c>
      <c r="H31" s="5" t="s">
        <v>620</v>
      </c>
      <c r="I31" s="5" t="s">
        <v>621</v>
      </c>
      <c r="J31" s="5" t="s">
        <v>34</v>
      </c>
      <c r="K31" s="5" t="s">
        <v>38</v>
      </c>
      <c r="L31" s="5" t="s">
        <v>69</v>
      </c>
      <c r="M31" s="5" t="s">
        <v>39</v>
      </c>
      <c r="N31" s="5" t="s">
        <v>56</v>
      </c>
      <c r="O31" s="6" t="s">
        <v>622</v>
      </c>
      <c r="P31" s="5" t="s">
        <v>68</v>
      </c>
      <c r="Q31" s="5" t="s">
        <v>64</v>
      </c>
      <c r="R31" s="5" t="s">
        <v>144</v>
      </c>
      <c r="S31" s="5" t="s">
        <v>623</v>
      </c>
      <c r="T31" s="5" t="s">
        <v>624</v>
      </c>
      <c r="U31" s="5" t="s">
        <v>625</v>
      </c>
      <c r="V31" s="8">
        <v>64</v>
      </c>
      <c r="W31" s="9">
        <v>68126</v>
      </c>
      <c r="X31" s="5" t="s">
        <v>35</v>
      </c>
      <c r="Y31" s="10">
        <v>100</v>
      </c>
      <c r="Z31" s="10">
        <v>18.18</v>
      </c>
      <c r="AA31" s="10">
        <v>18.18</v>
      </c>
      <c r="AB31" s="10">
        <v>510212</v>
      </c>
      <c r="AC31" s="10">
        <v>71127</v>
      </c>
      <c r="AD31" s="10">
        <v>0</v>
      </c>
      <c r="AE31" s="11">
        <v>581339</v>
      </c>
      <c r="AF31" s="12" t="s">
        <v>41</v>
      </c>
      <c r="AG31" s="14" t="s">
        <v>285</v>
      </c>
      <c r="AH31" s="14" t="s">
        <v>65</v>
      </c>
      <c r="AI31" s="14" t="s">
        <v>36</v>
      </c>
      <c r="AJ31" s="14">
        <v>70000</v>
      </c>
      <c r="AK31" s="14">
        <v>70000</v>
      </c>
      <c r="AL31" s="13" t="s">
        <v>123</v>
      </c>
      <c r="AM31" s="13" t="s">
        <v>123</v>
      </c>
      <c r="AN31" s="14" t="s">
        <v>58</v>
      </c>
      <c r="AO31" s="14" t="s">
        <v>59</v>
      </c>
      <c r="AP31" s="14" t="s">
        <v>37</v>
      </c>
      <c r="AQ31" s="14">
        <v>202604</v>
      </c>
      <c r="AR31" s="14" t="s">
        <v>152</v>
      </c>
      <c r="AS31" s="14" t="s">
        <v>163</v>
      </c>
      <c r="AT31" s="12" t="s">
        <v>163</v>
      </c>
      <c r="AU31" s="14" t="s">
        <v>309</v>
      </c>
      <c r="AV31" s="14" t="s">
        <v>461</v>
      </c>
    </row>
    <row r="32" spans="1:48" x14ac:dyDescent="0.3">
      <c r="A32" s="5" t="s">
        <v>30</v>
      </c>
      <c r="B32" s="5" t="s">
        <v>54</v>
      </c>
      <c r="C32" s="5" t="s">
        <v>443</v>
      </c>
      <c r="D32" s="5" t="s">
        <v>32</v>
      </c>
      <c r="E32" s="6" t="s">
        <v>33</v>
      </c>
      <c r="F32" s="7">
        <v>54</v>
      </c>
      <c r="G32" s="5" t="s">
        <v>444</v>
      </c>
      <c r="H32" s="5" t="s">
        <v>626</v>
      </c>
      <c r="I32" s="5" t="s">
        <v>627</v>
      </c>
      <c r="J32" s="5" t="s">
        <v>34</v>
      </c>
      <c r="K32" s="5" t="s">
        <v>55</v>
      </c>
      <c r="L32" s="5" t="s">
        <v>331</v>
      </c>
      <c r="M32" s="5" t="s">
        <v>39</v>
      </c>
      <c r="N32" s="5" t="s">
        <v>56</v>
      </c>
      <c r="O32" s="6" t="s">
        <v>628</v>
      </c>
      <c r="P32" s="5" t="s">
        <v>68</v>
      </c>
      <c r="Q32" s="5" t="s">
        <v>64</v>
      </c>
      <c r="R32" s="5" t="s">
        <v>144</v>
      </c>
      <c r="S32" s="5" t="s">
        <v>308</v>
      </c>
      <c r="T32" s="5" t="s">
        <v>367</v>
      </c>
      <c r="U32" s="5" t="s">
        <v>629</v>
      </c>
      <c r="V32" s="8">
        <v>67</v>
      </c>
      <c r="W32" s="9">
        <v>67368</v>
      </c>
      <c r="X32" s="5" t="s">
        <v>35</v>
      </c>
      <c r="Y32" s="10">
        <v>100</v>
      </c>
      <c r="Z32" s="10">
        <v>18.18</v>
      </c>
      <c r="AA32" s="10">
        <v>18.18</v>
      </c>
      <c r="AB32" s="10">
        <v>231309</v>
      </c>
      <c r="AC32" s="10">
        <v>196302</v>
      </c>
      <c r="AD32" s="10">
        <v>0</v>
      </c>
      <c r="AE32" s="11">
        <v>427611</v>
      </c>
      <c r="AF32" s="12" t="s">
        <v>57</v>
      </c>
      <c r="AG32" s="14" t="s">
        <v>332</v>
      </c>
      <c r="AH32" s="14" t="s">
        <v>65</v>
      </c>
      <c r="AI32" s="14" t="s">
        <v>36</v>
      </c>
      <c r="AJ32" s="14">
        <v>70000</v>
      </c>
      <c r="AK32" s="14">
        <v>70000</v>
      </c>
      <c r="AL32" s="13" t="s">
        <v>123</v>
      </c>
      <c r="AM32" s="13" t="s">
        <v>123</v>
      </c>
      <c r="AN32" s="14" t="s">
        <v>58</v>
      </c>
      <c r="AO32" s="14" t="s">
        <v>59</v>
      </c>
      <c r="AP32" s="14" t="s">
        <v>37</v>
      </c>
      <c r="AQ32" s="14">
        <v>202604</v>
      </c>
      <c r="AR32" s="14" t="s">
        <v>152</v>
      </c>
      <c r="AS32" s="14" t="s">
        <v>163</v>
      </c>
      <c r="AT32" s="12" t="s">
        <v>163</v>
      </c>
      <c r="AU32" s="14" t="s">
        <v>309</v>
      </c>
      <c r="AV32" s="14" t="s">
        <v>461</v>
      </c>
    </row>
    <row r="33" spans="1:48" x14ac:dyDescent="0.3">
      <c r="A33" s="5" t="s">
        <v>30</v>
      </c>
      <c r="B33" s="5" t="s">
        <v>54</v>
      </c>
      <c r="C33" s="5" t="s">
        <v>443</v>
      </c>
      <c r="D33" s="5" t="s">
        <v>32</v>
      </c>
      <c r="E33" s="6" t="s">
        <v>33</v>
      </c>
      <c r="F33" s="7">
        <v>55</v>
      </c>
      <c r="G33" s="5" t="s">
        <v>444</v>
      </c>
      <c r="H33" s="5" t="s">
        <v>630</v>
      </c>
      <c r="I33" s="5" t="s">
        <v>627</v>
      </c>
      <c r="J33" s="5" t="s">
        <v>34</v>
      </c>
      <c r="K33" s="5" t="s">
        <v>55</v>
      </c>
      <c r="L33" s="5" t="s">
        <v>331</v>
      </c>
      <c r="M33" s="5" t="s">
        <v>39</v>
      </c>
      <c r="N33" s="5" t="s">
        <v>56</v>
      </c>
      <c r="O33" s="6" t="s">
        <v>628</v>
      </c>
      <c r="P33" s="5" t="s">
        <v>187</v>
      </c>
      <c r="Q33" s="5" t="s">
        <v>64</v>
      </c>
      <c r="R33" s="5" t="s">
        <v>144</v>
      </c>
      <c r="S33" s="5" t="s">
        <v>308</v>
      </c>
      <c r="T33" s="5" t="s">
        <v>367</v>
      </c>
      <c r="U33" s="5" t="s">
        <v>629</v>
      </c>
      <c r="V33" s="8">
        <v>67</v>
      </c>
      <c r="W33" s="9">
        <v>67368</v>
      </c>
      <c r="X33" s="5" t="s">
        <v>35</v>
      </c>
      <c r="Y33" s="10">
        <v>100</v>
      </c>
      <c r="Z33" s="10">
        <v>18.18</v>
      </c>
      <c r="AA33" s="10">
        <v>18.18</v>
      </c>
      <c r="AB33" s="10">
        <v>0</v>
      </c>
      <c r="AC33" s="10">
        <v>0</v>
      </c>
      <c r="AD33" s="10">
        <v>96608</v>
      </c>
      <c r="AE33" s="11">
        <v>96608</v>
      </c>
      <c r="AF33" s="12" t="s">
        <v>57</v>
      </c>
      <c r="AG33" s="14" t="s">
        <v>332</v>
      </c>
      <c r="AH33" s="14" t="s">
        <v>65</v>
      </c>
      <c r="AI33" s="14" t="s">
        <v>36</v>
      </c>
      <c r="AJ33" s="14">
        <v>70000</v>
      </c>
      <c r="AK33" s="14">
        <v>70000</v>
      </c>
      <c r="AL33" s="13" t="s">
        <v>123</v>
      </c>
      <c r="AM33" s="13" t="s">
        <v>123</v>
      </c>
      <c r="AN33" s="14" t="s">
        <v>58</v>
      </c>
      <c r="AO33" s="14" t="s">
        <v>59</v>
      </c>
      <c r="AP33" s="14" t="s">
        <v>37</v>
      </c>
      <c r="AQ33" s="14">
        <v>202604</v>
      </c>
      <c r="AR33" s="14" t="s">
        <v>152</v>
      </c>
      <c r="AS33" s="14" t="s">
        <v>163</v>
      </c>
      <c r="AT33" s="12" t="s">
        <v>163</v>
      </c>
      <c r="AU33" s="14" t="s">
        <v>309</v>
      </c>
      <c r="AV33" s="14" t="s">
        <v>461</v>
      </c>
    </row>
    <row r="34" spans="1:48" x14ac:dyDescent="0.3">
      <c r="A34" s="5" t="s">
        <v>30</v>
      </c>
      <c r="B34" s="5" t="s">
        <v>54</v>
      </c>
      <c r="C34" s="5" t="s">
        <v>443</v>
      </c>
      <c r="D34" s="5" t="s">
        <v>32</v>
      </c>
      <c r="E34" s="6" t="s">
        <v>33</v>
      </c>
      <c r="F34" s="7">
        <v>56</v>
      </c>
      <c r="G34" s="5" t="s">
        <v>444</v>
      </c>
      <c r="H34" s="5" t="s">
        <v>631</v>
      </c>
      <c r="I34" s="5" t="s">
        <v>632</v>
      </c>
      <c r="J34" s="5" t="s">
        <v>34</v>
      </c>
      <c r="K34" s="5" t="s">
        <v>55</v>
      </c>
      <c r="L34" s="5" t="s">
        <v>331</v>
      </c>
      <c r="M34" s="5" t="s">
        <v>39</v>
      </c>
      <c r="N34" s="5" t="s">
        <v>56</v>
      </c>
      <c r="O34" s="6" t="s">
        <v>633</v>
      </c>
      <c r="P34" s="5" t="s">
        <v>68</v>
      </c>
      <c r="Q34" s="5" t="s">
        <v>320</v>
      </c>
      <c r="R34" s="5" t="s">
        <v>291</v>
      </c>
      <c r="S34" s="5" t="s">
        <v>634</v>
      </c>
      <c r="T34" s="5" t="s">
        <v>635</v>
      </c>
      <c r="U34" s="5" t="s">
        <v>636</v>
      </c>
      <c r="V34" s="8">
        <v>69</v>
      </c>
      <c r="W34" s="9">
        <v>121824</v>
      </c>
      <c r="X34" s="5" t="s">
        <v>35</v>
      </c>
      <c r="Y34" s="10">
        <v>100</v>
      </c>
      <c r="Z34" s="10">
        <v>18.18</v>
      </c>
      <c r="AA34" s="10">
        <v>18.18</v>
      </c>
      <c r="AB34" s="10">
        <v>250206</v>
      </c>
      <c r="AC34" s="10">
        <v>131282</v>
      </c>
      <c r="AD34" s="10">
        <v>0</v>
      </c>
      <c r="AE34" s="11">
        <v>381488</v>
      </c>
      <c r="AF34" s="12" t="s">
        <v>57</v>
      </c>
      <c r="AG34" s="14" t="s">
        <v>330</v>
      </c>
      <c r="AH34" s="14" t="s">
        <v>322</v>
      </c>
      <c r="AI34" s="14" t="s">
        <v>36</v>
      </c>
      <c r="AJ34" s="14" t="s">
        <v>141</v>
      </c>
      <c r="AK34" s="14" t="s">
        <v>141</v>
      </c>
      <c r="AL34" s="13" t="s">
        <v>123</v>
      </c>
      <c r="AM34" s="13" t="s">
        <v>123</v>
      </c>
      <c r="AN34" s="14" t="s">
        <v>58</v>
      </c>
      <c r="AO34" s="14" t="s">
        <v>59</v>
      </c>
      <c r="AP34" s="14" t="s">
        <v>37</v>
      </c>
      <c r="AQ34" s="14">
        <v>202604</v>
      </c>
      <c r="AR34" s="14" t="s">
        <v>152</v>
      </c>
      <c r="AS34" s="14" t="s">
        <v>163</v>
      </c>
      <c r="AT34" s="12" t="s">
        <v>163</v>
      </c>
      <c r="AU34" s="14" t="s">
        <v>309</v>
      </c>
      <c r="AV34" s="14" t="s">
        <v>461</v>
      </c>
    </row>
    <row r="35" spans="1:48" x14ac:dyDescent="0.3">
      <c r="A35" s="5" t="s">
        <v>30</v>
      </c>
      <c r="B35" s="5" t="s">
        <v>54</v>
      </c>
      <c r="C35" s="5" t="s">
        <v>443</v>
      </c>
      <c r="D35" s="5" t="s">
        <v>32</v>
      </c>
      <c r="E35" s="6" t="s">
        <v>33</v>
      </c>
      <c r="F35" s="7">
        <v>57</v>
      </c>
      <c r="G35" s="5" t="s">
        <v>444</v>
      </c>
      <c r="H35" s="5" t="s">
        <v>637</v>
      </c>
      <c r="I35" s="5" t="s">
        <v>638</v>
      </c>
      <c r="J35" s="5" t="s">
        <v>34</v>
      </c>
      <c r="K35" s="5" t="s">
        <v>55</v>
      </c>
      <c r="L35" s="5" t="s">
        <v>233</v>
      </c>
      <c r="M35" s="5" t="s">
        <v>39</v>
      </c>
      <c r="N35" s="5" t="s">
        <v>56</v>
      </c>
      <c r="O35" s="6" t="s">
        <v>639</v>
      </c>
      <c r="P35" s="5" t="s">
        <v>68</v>
      </c>
      <c r="Q35" s="5" t="s">
        <v>64</v>
      </c>
      <c r="R35" s="5" t="s">
        <v>144</v>
      </c>
      <c r="S35" s="5" t="s">
        <v>640</v>
      </c>
      <c r="T35" s="5" t="s">
        <v>641</v>
      </c>
      <c r="U35" s="5" t="s">
        <v>642</v>
      </c>
      <c r="V35" s="8">
        <v>80</v>
      </c>
      <c r="W35" s="9">
        <v>68818</v>
      </c>
      <c r="X35" s="5" t="s">
        <v>35</v>
      </c>
      <c r="Y35" s="10">
        <v>100</v>
      </c>
      <c r="Z35" s="10">
        <v>18.18</v>
      </c>
      <c r="AA35" s="10">
        <v>18.18</v>
      </c>
      <c r="AB35" s="10">
        <v>229870</v>
      </c>
      <c r="AC35" s="10">
        <v>84934</v>
      </c>
      <c r="AD35" s="10">
        <v>0</v>
      </c>
      <c r="AE35" s="11">
        <v>314804</v>
      </c>
      <c r="AF35" s="12" t="s">
        <v>57</v>
      </c>
      <c r="AG35" s="14" t="s">
        <v>329</v>
      </c>
      <c r="AH35" s="14" t="s">
        <v>65</v>
      </c>
      <c r="AI35" s="14" t="s">
        <v>36</v>
      </c>
      <c r="AJ35" s="14">
        <v>70000</v>
      </c>
      <c r="AK35" s="14">
        <v>70000</v>
      </c>
      <c r="AL35" s="13" t="s">
        <v>123</v>
      </c>
      <c r="AM35" s="13" t="s">
        <v>123</v>
      </c>
      <c r="AN35" s="14" t="s">
        <v>58</v>
      </c>
      <c r="AO35" s="14" t="s">
        <v>59</v>
      </c>
      <c r="AP35" s="14" t="s">
        <v>37</v>
      </c>
      <c r="AQ35" s="14">
        <v>202604</v>
      </c>
      <c r="AR35" s="14" t="s">
        <v>152</v>
      </c>
      <c r="AS35" s="14" t="s">
        <v>163</v>
      </c>
      <c r="AT35" s="12" t="s">
        <v>163</v>
      </c>
      <c r="AU35" s="14" t="s">
        <v>309</v>
      </c>
      <c r="AV35" s="14" t="s">
        <v>461</v>
      </c>
    </row>
    <row r="36" spans="1:48" x14ac:dyDescent="0.3">
      <c r="A36" s="5" t="s">
        <v>30</v>
      </c>
      <c r="B36" s="5" t="s">
        <v>54</v>
      </c>
      <c r="C36" s="5" t="s">
        <v>443</v>
      </c>
      <c r="D36" s="5" t="s">
        <v>32</v>
      </c>
      <c r="E36" s="6" t="s">
        <v>33</v>
      </c>
      <c r="F36" s="7">
        <v>58</v>
      </c>
      <c r="G36" s="5" t="s">
        <v>444</v>
      </c>
      <c r="H36" s="5" t="s">
        <v>643</v>
      </c>
      <c r="I36" s="5" t="s">
        <v>644</v>
      </c>
      <c r="J36" s="5" t="s">
        <v>34</v>
      </c>
      <c r="K36" s="5" t="s">
        <v>55</v>
      </c>
      <c r="L36" s="5" t="s">
        <v>233</v>
      </c>
      <c r="M36" s="5" t="s">
        <v>39</v>
      </c>
      <c r="N36" s="5" t="s">
        <v>56</v>
      </c>
      <c r="O36" s="6" t="s">
        <v>645</v>
      </c>
      <c r="P36" s="5" t="s">
        <v>584</v>
      </c>
      <c r="Q36" s="5" t="s">
        <v>71</v>
      </c>
      <c r="R36" s="5" t="s">
        <v>399</v>
      </c>
      <c r="S36" s="5" t="s">
        <v>646</v>
      </c>
      <c r="T36" s="5" t="s">
        <v>340</v>
      </c>
      <c r="U36" s="5" t="s">
        <v>647</v>
      </c>
      <c r="V36" s="8">
        <v>59</v>
      </c>
      <c r="W36" s="9">
        <v>110317</v>
      </c>
      <c r="X36" s="5" t="s">
        <v>35</v>
      </c>
      <c r="Y36" s="10">
        <v>100</v>
      </c>
      <c r="Z36" s="10">
        <v>18.18</v>
      </c>
      <c r="AA36" s="10">
        <v>18.18</v>
      </c>
      <c r="AB36" s="10">
        <v>223576</v>
      </c>
      <c r="AC36" s="10">
        <v>37457</v>
      </c>
      <c r="AD36" s="10">
        <v>0</v>
      </c>
      <c r="AE36" s="11">
        <v>261033</v>
      </c>
      <c r="AF36" s="12" t="s">
        <v>57</v>
      </c>
      <c r="AG36" s="14" t="s">
        <v>392</v>
      </c>
      <c r="AH36" s="14" t="s">
        <v>72</v>
      </c>
      <c r="AI36" s="14" t="s">
        <v>226</v>
      </c>
      <c r="AJ36" s="14" t="s">
        <v>141</v>
      </c>
      <c r="AK36" s="14" t="s">
        <v>141</v>
      </c>
      <c r="AL36" s="13">
        <v>60</v>
      </c>
      <c r="AM36" s="13">
        <v>60</v>
      </c>
      <c r="AN36" s="14" t="s">
        <v>58</v>
      </c>
      <c r="AO36" s="14" t="s">
        <v>59</v>
      </c>
      <c r="AP36" s="14" t="s">
        <v>37</v>
      </c>
      <c r="AQ36" s="14">
        <v>202604</v>
      </c>
      <c r="AR36" s="14" t="s">
        <v>152</v>
      </c>
      <c r="AS36" s="14" t="s">
        <v>163</v>
      </c>
      <c r="AT36" s="12" t="s">
        <v>163</v>
      </c>
      <c r="AU36" s="14" t="s">
        <v>309</v>
      </c>
      <c r="AV36" s="14" t="s">
        <v>461</v>
      </c>
    </row>
    <row r="37" spans="1:48" x14ac:dyDescent="0.3">
      <c r="A37" s="5" t="s">
        <v>30</v>
      </c>
      <c r="B37" s="5" t="s">
        <v>54</v>
      </c>
      <c r="C37" s="5" t="s">
        <v>443</v>
      </c>
      <c r="D37" s="5" t="s">
        <v>32</v>
      </c>
      <c r="E37" s="6" t="s">
        <v>33</v>
      </c>
      <c r="F37" s="7">
        <v>59</v>
      </c>
      <c r="G37" s="5" t="s">
        <v>444</v>
      </c>
      <c r="H37" s="5" t="s">
        <v>648</v>
      </c>
      <c r="I37" s="5" t="s">
        <v>649</v>
      </c>
      <c r="J37" s="5" t="s">
        <v>34</v>
      </c>
      <c r="K37" s="5" t="s">
        <v>55</v>
      </c>
      <c r="L37" s="5" t="s">
        <v>233</v>
      </c>
      <c r="M37" s="5" t="s">
        <v>39</v>
      </c>
      <c r="N37" s="5" t="s">
        <v>56</v>
      </c>
      <c r="O37" s="6" t="s">
        <v>650</v>
      </c>
      <c r="P37" s="5" t="s">
        <v>68</v>
      </c>
      <c r="Q37" s="5" t="s">
        <v>64</v>
      </c>
      <c r="R37" s="5" t="s">
        <v>144</v>
      </c>
      <c r="S37" s="5" t="s">
        <v>651</v>
      </c>
      <c r="T37" s="5" t="s">
        <v>307</v>
      </c>
      <c r="U37" s="5" t="s">
        <v>652</v>
      </c>
      <c r="V37" s="8">
        <v>72</v>
      </c>
      <c r="W37" s="9">
        <v>120626</v>
      </c>
      <c r="X37" s="5" t="s">
        <v>35</v>
      </c>
      <c r="Y37" s="10">
        <v>100</v>
      </c>
      <c r="Z37" s="10">
        <v>18.18</v>
      </c>
      <c r="AA37" s="10">
        <v>18.18</v>
      </c>
      <c r="AB37" s="10">
        <v>240780</v>
      </c>
      <c r="AC37" s="10">
        <v>66493</v>
      </c>
      <c r="AD37" s="10">
        <v>0</v>
      </c>
      <c r="AE37" s="11">
        <v>307273</v>
      </c>
      <c r="AF37" s="12" t="s">
        <v>57</v>
      </c>
      <c r="AG37" s="14" t="s">
        <v>253</v>
      </c>
      <c r="AH37" s="14" t="s">
        <v>65</v>
      </c>
      <c r="AI37" s="14" t="s">
        <v>36</v>
      </c>
      <c r="AJ37" s="14" t="s">
        <v>141</v>
      </c>
      <c r="AK37" s="14" t="s">
        <v>141</v>
      </c>
      <c r="AL37" s="13" t="s">
        <v>123</v>
      </c>
      <c r="AM37" s="13" t="s">
        <v>123</v>
      </c>
      <c r="AN37" s="14" t="s">
        <v>58</v>
      </c>
      <c r="AO37" s="14" t="s">
        <v>59</v>
      </c>
      <c r="AP37" s="14" t="s">
        <v>37</v>
      </c>
      <c r="AQ37" s="14">
        <v>202604</v>
      </c>
      <c r="AR37" s="14" t="s">
        <v>152</v>
      </c>
      <c r="AS37" s="14" t="s">
        <v>163</v>
      </c>
      <c r="AT37" s="12" t="s">
        <v>163</v>
      </c>
      <c r="AU37" s="14" t="s">
        <v>309</v>
      </c>
      <c r="AV37" s="14" t="s">
        <v>461</v>
      </c>
    </row>
    <row r="38" spans="1:48" x14ac:dyDescent="0.3">
      <c r="A38" s="5" t="s">
        <v>30</v>
      </c>
      <c r="B38" s="5" t="s">
        <v>54</v>
      </c>
      <c r="C38" s="5" t="s">
        <v>443</v>
      </c>
      <c r="D38" s="5" t="s">
        <v>32</v>
      </c>
      <c r="E38" s="6" t="s">
        <v>33</v>
      </c>
      <c r="F38" s="7">
        <v>60</v>
      </c>
      <c r="G38" s="5" t="s">
        <v>444</v>
      </c>
      <c r="H38" s="5" t="s">
        <v>653</v>
      </c>
      <c r="I38" s="5" t="s">
        <v>654</v>
      </c>
      <c r="J38" s="5" t="s">
        <v>34</v>
      </c>
      <c r="K38" s="5" t="s">
        <v>55</v>
      </c>
      <c r="L38" s="5" t="s">
        <v>233</v>
      </c>
      <c r="M38" s="5" t="s">
        <v>39</v>
      </c>
      <c r="N38" s="5" t="s">
        <v>56</v>
      </c>
      <c r="O38" s="6" t="s">
        <v>655</v>
      </c>
      <c r="P38" s="5" t="s">
        <v>68</v>
      </c>
      <c r="Q38" s="5" t="s">
        <v>64</v>
      </c>
      <c r="R38" s="5" t="s">
        <v>144</v>
      </c>
      <c r="S38" s="5" t="s">
        <v>656</v>
      </c>
      <c r="T38" s="5" t="s">
        <v>474</v>
      </c>
      <c r="U38" s="5" t="s">
        <v>657</v>
      </c>
      <c r="V38" s="8">
        <v>71</v>
      </c>
      <c r="W38" s="9">
        <v>87984</v>
      </c>
      <c r="X38" s="5" t="s">
        <v>35</v>
      </c>
      <c r="Y38" s="10">
        <v>100</v>
      </c>
      <c r="Z38" s="10">
        <v>18.18</v>
      </c>
      <c r="AA38" s="10">
        <v>18.18</v>
      </c>
      <c r="AB38" s="10">
        <v>230124</v>
      </c>
      <c r="AC38" s="10">
        <v>107643</v>
      </c>
      <c r="AD38" s="10">
        <v>0</v>
      </c>
      <c r="AE38" s="11">
        <v>337767</v>
      </c>
      <c r="AF38" s="12" t="s">
        <v>57</v>
      </c>
      <c r="AG38" s="14" t="s">
        <v>332</v>
      </c>
      <c r="AH38" s="14" t="s">
        <v>65</v>
      </c>
      <c r="AI38" s="14" t="s">
        <v>36</v>
      </c>
      <c r="AJ38" s="14">
        <v>90000</v>
      </c>
      <c r="AK38" s="14">
        <v>90000</v>
      </c>
      <c r="AL38" s="13" t="s">
        <v>123</v>
      </c>
      <c r="AM38" s="13" t="s">
        <v>123</v>
      </c>
      <c r="AN38" s="14" t="s">
        <v>58</v>
      </c>
      <c r="AO38" s="14" t="s">
        <v>59</v>
      </c>
      <c r="AP38" s="14" t="s">
        <v>37</v>
      </c>
      <c r="AQ38" s="14">
        <v>202604</v>
      </c>
      <c r="AR38" s="14" t="s">
        <v>152</v>
      </c>
      <c r="AS38" s="14" t="s">
        <v>163</v>
      </c>
      <c r="AT38" s="12" t="s">
        <v>163</v>
      </c>
      <c r="AU38" s="14" t="s">
        <v>309</v>
      </c>
      <c r="AV38" s="14" t="s">
        <v>461</v>
      </c>
    </row>
    <row r="39" spans="1:48" x14ac:dyDescent="0.3">
      <c r="A39" s="5" t="s">
        <v>30</v>
      </c>
      <c r="B39" s="5" t="s">
        <v>54</v>
      </c>
      <c r="C39" s="5" t="s">
        <v>443</v>
      </c>
      <c r="D39" s="5" t="s">
        <v>32</v>
      </c>
      <c r="E39" s="6" t="s">
        <v>33</v>
      </c>
      <c r="F39" s="7">
        <v>62</v>
      </c>
      <c r="G39" s="5" t="s">
        <v>444</v>
      </c>
      <c r="H39" s="5" t="s">
        <v>658</v>
      </c>
      <c r="I39" s="5" t="s">
        <v>659</v>
      </c>
      <c r="J39" s="5" t="s">
        <v>34</v>
      </c>
      <c r="K39" s="5" t="s">
        <v>42</v>
      </c>
      <c r="L39" s="5" t="s">
        <v>126</v>
      </c>
      <c r="M39" s="5" t="s">
        <v>43</v>
      </c>
      <c r="N39" s="5" t="s">
        <v>56</v>
      </c>
      <c r="O39" s="6" t="s">
        <v>660</v>
      </c>
      <c r="P39" s="5" t="s">
        <v>47</v>
      </c>
      <c r="Q39" s="5" t="s">
        <v>661</v>
      </c>
      <c r="R39" s="5" t="s">
        <v>144</v>
      </c>
      <c r="S39" s="5" t="s">
        <v>662</v>
      </c>
      <c r="T39" s="5" t="s">
        <v>380</v>
      </c>
      <c r="U39" s="5" t="s">
        <v>663</v>
      </c>
      <c r="V39" s="8">
        <v>23</v>
      </c>
      <c r="W39" s="9">
        <v>53958</v>
      </c>
      <c r="X39" s="5" t="s">
        <v>35</v>
      </c>
      <c r="Y39" s="10">
        <v>100</v>
      </c>
      <c r="Z39" s="10">
        <v>18.18</v>
      </c>
      <c r="AA39" s="10">
        <v>18.18</v>
      </c>
      <c r="AB39" s="10">
        <v>169173</v>
      </c>
      <c r="AC39" s="10">
        <v>4455</v>
      </c>
      <c r="AD39" s="10">
        <v>0</v>
      </c>
      <c r="AE39" s="11">
        <v>173628</v>
      </c>
      <c r="AF39" s="12" t="s">
        <v>44</v>
      </c>
      <c r="AG39" s="14" t="s">
        <v>173</v>
      </c>
      <c r="AH39" s="14" t="s">
        <v>664</v>
      </c>
      <c r="AI39" s="14" t="s">
        <v>36</v>
      </c>
      <c r="AJ39" s="14">
        <v>60000</v>
      </c>
      <c r="AK39" s="14">
        <v>55000</v>
      </c>
      <c r="AL39" s="13">
        <v>24</v>
      </c>
      <c r="AM39" s="13">
        <v>24</v>
      </c>
      <c r="AN39" s="14" t="s">
        <v>171</v>
      </c>
      <c r="AO39" s="14" t="s">
        <v>172</v>
      </c>
      <c r="AP39" s="14" t="s">
        <v>46</v>
      </c>
      <c r="AQ39" s="14">
        <v>202604</v>
      </c>
      <c r="AR39" s="20" t="s">
        <v>152</v>
      </c>
      <c r="AS39" s="14" t="s">
        <v>243</v>
      </c>
      <c r="AT39" s="12" t="s">
        <v>44</v>
      </c>
      <c r="AU39" s="14" t="s">
        <v>309</v>
      </c>
      <c r="AV39" s="14" t="s">
        <v>461</v>
      </c>
    </row>
    <row r="40" spans="1:48" x14ac:dyDescent="0.3">
      <c r="A40" s="5" t="s">
        <v>30</v>
      </c>
      <c r="B40" s="5" t="s">
        <v>54</v>
      </c>
      <c r="C40" s="5" t="s">
        <v>443</v>
      </c>
      <c r="D40" s="5" t="s">
        <v>32</v>
      </c>
      <c r="E40" s="6" t="s">
        <v>33</v>
      </c>
      <c r="F40" s="7">
        <v>65</v>
      </c>
      <c r="G40" s="5" t="s">
        <v>444</v>
      </c>
      <c r="H40" s="5" t="s">
        <v>665</v>
      </c>
      <c r="I40" s="5" t="s">
        <v>666</v>
      </c>
      <c r="J40" s="5" t="s">
        <v>34</v>
      </c>
      <c r="K40" s="5" t="s">
        <v>273</v>
      </c>
      <c r="L40" s="5" t="s">
        <v>667</v>
      </c>
      <c r="M40" s="5" t="s">
        <v>43</v>
      </c>
      <c r="N40" s="5" t="s">
        <v>56</v>
      </c>
      <c r="O40" s="6" t="s">
        <v>668</v>
      </c>
      <c r="P40" s="5" t="s">
        <v>47</v>
      </c>
      <c r="Q40" s="5" t="s">
        <v>71</v>
      </c>
      <c r="R40" s="5" t="s">
        <v>70</v>
      </c>
      <c r="S40" s="5" t="s">
        <v>669</v>
      </c>
      <c r="T40" s="5" t="s">
        <v>670</v>
      </c>
      <c r="U40" s="5" t="s">
        <v>671</v>
      </c>
      <c r="V40" s="8">
        <v>17</v>
      </c>
      <c r="W40" s="9">
        <v>13041</v>
      </c>
      <c r="X40" s="5" t="s">
        <v>35</v>
      </c>
      <c r="Y40" s="10">
        <v>100</v>
      </c>
      <c r="Z40" s="10">
        <v>18.18</v>
      </c>
      <c r="AA40" s="10">
        <v>18.18</v>
      </c>
      <c r="AB40" s="10">
        <v>41432</v>
      </c>
      <c r="AC40" s="10">
        <v>8504</v>
      </c>
      <c r="AD40" s="10">
        <v>0</v>
      </c>
      <c r="AE40" s="11">
        <v>49936</v>
      </c>
      <c r="AF40" s="12" t="s">
        <v>274</v>
      </c>
      <c r="AG40" s="14" t="s">
        <v>193</v>
      </c>
      <c r="AH40" s="14" t="s">
        <v>72</v>
      </c>
      <c r="AI40" s="14" t="s">
        <v>49</v>
      </c>
      <c r="AJ40" s="14">
        <v>20000</v>
      </c>
      <c r="AK40" s="14">
        <v>15000</v>
      </c>
      <c r="AL40" s="13">
        <v>18</v>
      </c>
      <c r="AM40" s="13">
        <v>18</v>
      </c>
      <c r="AN40" s="14" t="s">
        <v>77</v>
      </c>
      <c r="AO40" s="14" t="s">
        <v>78</v>
      </c>
      <c r="AP40" s="14" t="s">
        <v>46</v>
      </c>
      <c r="AQ40" s="14">
        <v>202604</v>
      </c>
      <c r="AR40" s="14" t="s">
        <v>164</v>
      </c>
      <c r="AS40" s="14"/>
      <c r="AT40" s="12" t="s">
        <v>274</v>
      </c>
      <c r="AU40" s="14" t="s">
        <v>309</v>
      </c>
      <c r="AV40" s="14" t="s">
        <v>461</v>
      </c>
    </row>
    <row r="41" spans="1:48" x14ac:dyDescent="0.3">
      <c r="A41" s="5" t="s">
        <v>30</v>
      </c>
      <c r="B41" s="5" t="s">
        <v>54</v>
      </c>
      <c r="C41" s="5" t="s">
        <v>443</v>
      </c>
      <c r="D41" s="5" t="s">
        <v>32</v>
      </c>
      <c r="E41" s="6" t="s">
        <v>33</v>
      </c>
      <c r="F41" s="7">
        <v>66</v>
      </c>
      <c r="G41" s="5" t="s">
        <v>444</v>
      </c>
      <c r="H41" s="5" t="s">
        <v>672</v>
      </c>
      <c r="I41" s="5" t="s">
        <v>673</v>
      </c>
      <c r="J41" s="5" t="s">
        <v>34</v>
      </c>
      <c r="K41" s="5" t="s">
        <v>191</v>
      </c>
      <c r="L41" s="5" t="s">
        <v>674</v>
      </c>
      <c r="M41" s="5" t="s">
        <v>43</v>
      </c>
      <c r="N41" s="5" t="s">
        <v>675</v>
      </c>
      <c r="O41" s="6" t="s">
        <v>676</v>
      </c>
      <c r="P41" s="5" t="s">
        <v>276</v>
      </c>
      <c r="Q41" s="5" t="s">
        <v>61</v>
      </c>
      <c r="R41" s="5" t="s">
        <v>74</v>
      </c>
      <c r="S41" s="5" t="s">
        <v>677</v>
      </c>
      <c r="T41" s="5" t="s">
        <v>678</v>
      </c>
      <c r="U41" s="5" t="s">
        <v>401</v>
      </c>
      <c r="V41" s="8">
        <v>16</v>
      </c>
      <c r="W41" s="9">
        <v>51202</v>
      </c>
      <c r="X41" s="5" t="s">
        <v>35</v>
      </c>
      <c r="Y41" s="10">
        <v>100</v>
      </c>
      <c r="Z41" s="10">
        <v>18.18</v>
      </c>
      <c r="AA41" s="10">
        <v>18.18</v>
      </c>
      <c r="AB41" s="10">
        <v>32342</v>
      </c>
      <c r="AC41" s="10">
        <v>11746</v>
      </c>
      <c r="AD41" s="10">
        <v>0</v>
      </c>
      <c r="AE41" s="11">
        <v>44088</v>
      </c>
      <c r="AF41" s="12" t="s">
        <v>192</v>
      </c>
      <c r="AG41" s="14" t="s">
        <v>214</v>
      </c>
      <c r="AH41" s="14" t="s">
        <v>63</v>
      </c>
      <c r="AI41" s="14" t="s">
        <v>49</v>
      </c>
      <c r="AJ41" s="14">
        <v>60000</v>
      </c>
      <c r="AK41" s="14">
        <v>55000</v>
      </c>
      <c r="AL41" s="13">
        <v>18</v>
      </c>
      <c r="AM41" s="13">
        <v>18</v>
      </c>
      <c r="AN41" s="14" t="s">
        <v>679</v>
      </c>
      <c r="AO41" s="14" t="s">
        <v>680</v>
      </c>
      <c r="AP41" s="14" t="s">
        <v>46</v>
      </c>
      <c r="AQ41" s="14">
        <v>202604</v>
      </c>
      <c r="AR41" s="14" t="s">
        <v>164</v>
      </c>
      <c r="AS41" s="14"/>
      <c r="AT41" s="12" t="s">
        <v>192</v>
      </c>
      <c r="AU41" s="14" t="s">
        <v>309</v>
      </c>
      <c r="AV41" s="14" t="s">
        <v>461</v>
      </c>
    </row>
    <row r="42" spans="1:48" x14ac:dyDescent="0.3">
      <c r="A42" s="5" t="s">
        <v>30</v>
      </c>
      <c r="B42" s="5" t="s">
        <v>54</v>
      </c>
      <c r="C42" s="5" t="s">
        <v>443</v>
      </c>
      <c r="D42" s="5" t="s">
        <v>32</v>
      </c>
      <c r="E42" s="6" t="s">
        <v>33</v>
      </c>
      <c r="F42" s="7">
        <v>77</v>
      </c>
      <c r="G42" s="5" t="s">
        <v>444</v>
      </c>
      <c r="H42" s="5" t="s">
        <v>681</v>
      </c>
      <c r="I42" s="5" t="s">
        <v>682</v>
      </c>
      <c r="J42" s="5" t="s">
        <v>34</v>
      </c>
      <c r="K42" s="5" t="s">
        <v>191</v>
      </c>
      <c r="L42" s="5" t="s">
        <v>683</v>
      </c>
      <c r="M42" s="5" t="s">
        <v>43</v>
      </c>
      <c r="N42" s="5" t="s">
        <v>684</v>
      </c>
      <c r="O42" s="6" t="s">
        <v>685</v>
      </c>
      <c r="P42" s="5" t="s">
        <v>465</v>
      </c>
      <c r="Q42" s="5" t="s">
        <v>64</v>
      </c>
      <c r="R42" s="5" t="s">
        <v>686</v>
      </c>
      <c r="S42" s="5" t="s">
        <v>687</v>
      </c>
      <c r="T42" s="5" t="s">
        <v>315</v>
      </c>
      <c r="U42" s="5" t="s">
        <v>341</v>
      </c>
      <c r="V42" s="8">
        <v>10</v>
      </c>
      <c r="W42" s="9">
        <v>40360</v>
      </c>
      <c r="X42" s="5" t="s">
        <v>35</v>
      </c>
      <c r="Y42" s="10">
        <v>100</v>
      </c>
      <c r="Z42" s="10">
        <v>18.18</v>
      </c>
      <c r="AA42" s="10">
        <v>18.18</v>
      </c>
      <c r="AB42" s="10">
        <v>110792</v>
      </c>
      <c r="AC42" s="10">
        <v>46533</v>
      </c>
      <c r="AD42" s="10">
        <v>0</v>
      </c>
      <c r="AE42" s="11">
        <v>157325</v>
      </c>
      <c r="AF42" s="12" t="s">
        <v>192</v>
      </c>
      <c r="AG42" s="14" t="s">
        <v>223</v>
      </c>
      <c r="AH42" s="14" t="s">
        <v>65</v>
      </c>
      <c r="AI42" s="14" t="s">
        <v>217</v>
      </c>
      <c r="AJ42" s="14">
        <v>50000</v>
      </c>
      <c r="AK42" s="14">
        <v>45000</v>
      </c>
      <c r="AL42" s="13">
        <v>12</v>
      </c>
      <c r="AM42" s="13">
        <v>12</v>
      </c>
      <c r="AN42" s="14" t="s">
        <v>58</v>
      </c>
      <c r="AO42" s="14" t="s">
        <v>59</v>
      </c>
      <c r="AP42" s="14" t="s">
        <v>46</v>
      </c>
      <c r="AQ42" s="14">
        <v>202604</v>
      </c>
      <c r="AR42" s="14" t="s">
        <v>164</v>
      </c>
      <c r="AS42" s="14"/>
      <c r="AT42" s="12" t="s">
        <v>192</v>
      </c>
      <c r="AU42" s="14" t="s">
        <v>309</v>
      </c>
      <c r="AV42" s="14" t="s">
        <v>461</v>
      </c>
    </row>
    <row r="43" spans="1:48" x14ac:dyDescent="0.3">
      <c r="A43" s="5" t="s">
        <v>30</v>
      </c>
      <c r="B43" s="5" t="s">
        <v>54</v>
      </c>
      <c r="C43" s="5" t="s">
        <v>443</v>
      </c>
      <c r="D43" s="5" t="s">
        <v>32</v>
      </c>
      <c r="E43" s="6" t="s">
        <v>33</v>
      </c>
      <c r="F43" s="7">
        <v>78</v>
      </c>
      <c r="G43" s="5" t="s">
        <v>444</v>
      </c>
      <c r="H43" s="5" t="s">
        <v>688</v>
      </c>
      <c r="I43" s="5" t="s">
        <v>689</v>
      </c>
      <c r="J43" s="5" t="s">
        <v>34</v>
      </c>
      <c r="K43" s="5" t="s">
        <v>134</v>
      </c>
      <c r="L43" s="5" t="s">
        <v>157</v>
      </c>
      <c r="M43" s="5" t="s">
        <v>154</v>
      </c>
      <c r="N43" s="5" t="s">
        <v>56</v>
      </c>
      <c r="O43" s="6" t="s">
        <v>690</v>
      </c>
      <c r="P43" s="5" t="s">
        <v>158</v>
      </c>
      <c r="Q43" s="5" t="s">
        <v>64</v>
      </c>
      <c r="R43" s="5" t="s">
        <v>148</v>
      </c>
      <c r="S43" s="5" t="s">
        <v>323</v>
      </c>
      <c r="T43" s="5" t="s">
        <v>449</v>
      </c>
      <c r="U43" s="5" t="s">
        <v>691</v>
      </c>
      <c r="V43" s="8">
        <v>38</v>
      </c>
      <c r="W43" s="9">
        <v>77971</v>
      </c>
      <c r="X43" s="5" t="s">
        <v>35</v>
      </c>
      <c r="Y43" s="10">
        <v>100</v>
      </c>
      <c r="Z43" s="10">
        <v>18.18</v>
      </c>
      <c r="AA43" s="10">
        <v>18.18</v>
      </c>
      <c r="AB43" s="10">
        <v>64223</v>
      </c>
      <c r="AC43" s="10">
        <v>47177</v>
      </c>
      <c r="AD43" s="10">
        <v>0</v>
      </c>
      <c r="AE43" s="11">
        <v>111400</v>
      </c>
      <c r="AF43" s="12" t="s">
        <v>135</v>
      </c>
      <c r="AG43" s="14" t="s">
        <v>244</v>
      </c>
      <c r="AH43" s="14" t="s">
        <v>65</v>
      </c>
      <c r="AI43" s="14" t="s">
        <v>143</v>
      </c>
      <c r="AJ43" s="14">
        <v>80000</v>
      </c>
      <c r="AK43" s="14">
        <v>80000</v>
      </c>
      <c r="AL43" s="13">
        <v>42</v>
      </c>
      <c r="AM43" s="13">
        <v>39</v>
      </c>
      <c r="AN43" s="14" t="s">
        <v>58</v>
      </c>
      <c r="AO43" s="14" t="s">
        <v>59</v>
      </c>
      <c r="AP43" s="14" t="s">
        <v>439</v>
      </c>
      <c r="AQ43" s="14">
        <v>202604</v>
      </c>
      <c r="AR43" s="14" t="s">
        <v>164</v>
      </c>
      <c r="AS43" s="14"/>
      <c r="AT43" s="12" t="s">
        <v>135</v>
      </c>
      <c r="AU43" s="14" t="s">
        <v>309</v>
      </c>
      <c r="AV43" s="14" t="s">
        <v>461</v>
      </c>
    </row>
    <row r="44" spans="1:48" x14ac:dyDescent="0.3">
      <c r="A44" s="5" t="s">
        <v>30</v>
      </c>
      <c r="B44" s="5" t="s">
        <v>54</v>
      </c>
      <c r="C44" s="5" t="s">
        <v>443</v>
      </c>
      <c r="D44" s="5" t="s">
        <v>32</v>
      </c>
      <c r="E44" s="6" t="s">
        <v>33</v>
      </c>
      <c r="F44" s="7">
        <v>79</v>
      </c>
      <c r="G44" s="5" t="s">
        <v>444</v>
      </c>
      <c r="H44" s="5" t="s">
        <v>692</v>
      </c>
      <c r="I44" s="5" t="s">
        <v>689</v>
      </c>
      <c r="J44" s="5" t="s">
        <v>34</v>
      </c>
      <c r="K44" s="5" t="s">
        <v>134</v>
      </c>
      <c r="L44" s="5" t="s">
        <v>157</v>
      </c>
      <c r="M44" s="5" t="s">
        <v>154</v>
      </c>
      <c r="N44" s="5" t="s">
        <v>56</v>
      </c>
      <c r="O44" s="6" t="s">
        <v>690</v>
      </c>
      <c r="P44" s="5" t="s">
        <v>693</v>
      </c>
      <c r="Q44" s="5" t="s">
        <v>64</v>
      </c>
      <c r="R44" s="5" t="s">
        <v>148</v>
      </c>
      <c r="S44" s="5" t="s">
        <v>323</v>
      </c>
      <c r="T44" s="5" t="s">
        <v>449</v>
      </c>
      <c r="U44" s="5" t="s">
        <v>691</v>
      </c>
      <c r="V44" s="8">
        <v>38</v>
      </c>
      <c r="W44" s="9">
        <v>77971</v>
      </c>
      <c r="X44" s="5" t="s">
        <v>35</v>
      </c>
      <c r="Y44" s="10">
        <v>100</v>
      </c>
      <c r="Z44" s="10">
        <v>18.18</v>
      </c>
      <c r="AA44" s="10">
        <v>18.18</v>
      </c>
      <c r="AB44" s="10">
        <v>0</v>
      </c>
      <c r="AC44" s="10">
        <v>0</v>
      </c>
      <c r="AD44" s="10">
        <v>36228</v>
      </c>
      <c r="AE44" s="11">
        <v>36228</v>
      </c>
      <c r="AF44" s="12" t="s">
        <v>135</v>
      </c>
      <c r="AG44" s="14" t="s">
        <v>244</v>
      </c>
      <c r="AH44" s="14" t="s">
        <v>65</v>
      </c>
      <c r="AI44" s="14" t="s">
        <v>143</v>
      </c>
      <c r="AJ44" s="14">
        <v>80000</v>
      </c>
      <c r="AK44" s="14">
        <v>80000</v>
      </c>
      <c r="AL44" s="13">
        <v>42</v>
      </c>
      <c r="AM44" s="13">
        <v>39</v>
      </c>
      <c r="AN44" s="14" t="s">
        <v>58</v>
      </c>
      <c r="AO44" s="14" t="s">
        <v>59</v>
      </c>
      <c r="AP44" s="14" t="s">
        <v>439</v>
      </c>
      <c r="AQ44" s="14">
        <v>202604</v>
      </c>
      <c r="AR44" s="14" t="s">
        <v>164</v>
      </c>
      <c r="AS44" s="14"/>
      <c r="AT44" s="12" t="s">
        <v>135</v>
      </c>
      <c r="AU44" s="14" t="s">
        <v>309</v>
      </c>
      <c r="AV44" s="14" t="s">
        <v>461</v>
      </c>
    </row>
    <row r="45" spans="1:48" x14ac:dyDescent="0.3">
      <c r="A45" s="5" t="s">
        <v>30</v>
      </c>
      <c r="B45" s="5" t="s">
        <v>54</v>
      </c>
      <c r="C45" s="5" t="s">
        <v>443</v>
      </c>
      <c r="D45" s="5" t="s">
        <v>32</v>
      </c>
      <c r="E45" s="6" t="s">
        <v>33</v>
      </c>
      <c r="F45" s="7">
        <v>80</v>
      </c>
      <c r="G45" s="5" t="s">
        <v>444</v>
      </c>
      <c r="H45" s="5" t="s">
        <v>694</v>
      </c>
      <c r="I45" s="5" t="s">
        <v>695</v>
      </c>
      <c r="J45" s="5" t="s">
        <v>34</v>
      </c>
      <c r="K45" s="5" t="s">
        <v>134</v>
      </c>
      <c r="L45" s="5" t="s">
        <v>157</v>
      </c>
      <c r="M45" s="5" t="s">
        <v>154</v>
      </c>
      <c r="N45" s="5" t="s">
        <v>56</v>
      </c>
      <c r="O45" s="6" t="s">
        <v>696</v>
      </c>
      <c r="P45" s="5" t="s">
        <v>51</v>
      </c>
      <c r="Q45" s="5" t="s">
        <v>64</v>
      </c>
      <c r="R45" s="5" t="s">
        <v>326</v>
      </c>
      <c r="S45" s="5" t="s">
        <v>604</v>
      </c>
      <c r="T45" s="5" t="s">
        <v>468</v>
      </c>
      <c r="U45" s="5" t="s">
        <v>313</v>
      </c>
      <c r="V45" s="8">
        <v>37</v>
      </c>
      <c r="W45" s="9">
        <v>70398</v>
      </c>
      <c r="X45" s="5" t="s">
        <v>35</v>
      </c>
      <c r="Y45" s="10">
        <v>100</v>
      </c>
      <c r="Z45" s="10">
        <v>18.18</v>
      </c>
      <c r="AA45" s="10">
        <v>18.18</v>
      </c>
      <c r="AB45" s="10">
        <v>62179</v>
      </c>
      <c r="AC45" s="10">
        <v>28966</v>
      </c>
      <c r="AD45" s="10">
        <v>0</v>
      </c>
      <c r="AE45" s="11">
        <v>91145</v>
      </c>
      <c r="AF45" s="12" t="s">
        <v>135</v>
      </c>
      <c r="AG45" s="14" t="s">
        <v>138</v>
      </c>
      <c r="AH45" s="14" t="s">
        <v>65</v>
      </c>
      <c r="AI45" s="14" t="s">
        <v>143</v>
      </c>
      <c r="AJ45" s="14">
        <v>80000</v>
      </c>
      <c r="AK45" s="14">
        <v>75000</v>
      </c>
      <c r="AL45" s="13">
        <v>42</v>
      </c>
      <c r="AM45" s="13">
        <v>39</v>
      </c>
      <c r="AN45" s="14" t="s">
        <v>58</v>
      </c>
      <c r="AO45" s="14" t="s">
        <v>59</v>
      </c>
      <c r="AP45" s="14" t="s">
        <v>439</v>
      </c>
      <c r="AQ45" s="14">
        <v>202604</v>
      </c>
      <c r="AR45" s="14" t="s">
        <v>164</v>
      </c>
      <c r="AS45" s="14"/>
      <c r="AT45" s="12" t="s">
        <v>135</v>
      </c>
      <c r="AU45" s="14" t="s">
        <v>309</v>
      </c>
      <c r="AV45" s="14" t="s">
        <v>461</v>
      </c>
    </row>
    <row r="46" spans="1:48" x14ac:dyDescent="0.3">
      <c r="A46" s="5" t="s">
        <v>30</v>
      </c>
      <c r="B46" s="5" t="s">
        <v>54</v>
      </c>
      <c r="C46" s="5" t="s">
        <v>443</v>
      </c>
      <c r="D46" s="5" t="s">
        <v>32</v>
      </c>
      <c r="E46" s="6" t="s">
        <v>33</v>
      </c>
      <c r="F46" s="7">
        <v>81</v>
      </c>
      <c r="G46" s="5" t="s">
        <v>444</v>
      </c>
      <c r="H46" s="5" t="s">
        <v>697</v>
      </c>
      <c r="I46" s="5" t="s">
        <v>698</v>
      </c>
      <c r="J46" s="5" t="s">
        <v>34</v>
      </c>
      <c r="K46" s="5" t="s">
        <v>134</v>
      </c>
      <c r="L46" s="5" t="s">
        <v>157</v>
      </c>
      <c r="M46" s="5" t="s">
        <v>154</v>
      </c>
      <c r="N46" s="5" t="s">
        <v>56</v>
      </c>
      <c r="O46" s="6" t="s">
        <v>699</v>
      </c>
      <c r="P46" s="5" t="s">
        <v>158</v>
      </c>
      <c r="Q46" s="5" t="s">
        <v>64</v>
      </c>
      <c r="R46" s="5" t="s">
        <v>700</v>
      </c>
      <c r="S46" s="5" t="s">
        <v>701</v>
      </c>
      <c r="T46" s="5" t="s">
        <v>702</v>
      </c>
      <c r="U46" s="5" t="s">
        <v>703</v>
      </c>
      <c r="V46" s="8">
        <v>38</v>
      </c>
      <c r="W46" s="9">
        <v>38478</v>
      </c>
      <c r="X46" s="5" t="s">
        <v>35</v>
      </c>
      <c r="Y46" s="10">
        <v>100</v>
      </c>
      <c r="Z46" s="10">
        <v>18.18</v>
      </c>
      <c r="AA46" s="10">
        <v>18.18</v>
      </c>
      <c r="AB46" s="10">
        <v>64772</v>
      </c>
      <c r="AC46" s="10">
        <v>45808</v>
      </c>
      <c r="AD46" s="10">
        <v>0</v>
      </c>
      <c r="AE46" s="11">
        <v>110580</v>
      </c>
      <c r="AF46" s="12" t="s">
        <v>135</v>
      </c>
      <c r="AG46" s="14" t="s">
        <v>185</v>
      </c>
      <c r="AH46" s="14" t="s">
        <v>65</v>
      </c>
      <c r="AI46" s="14" t="s">
        <v>251</v>
      </c>
      <c r="AJ46" s="14">
        <v>40000</v>
      </c>
      <c r="AK46" s="14">
        <v>40000</v>
      </c>
      <c r="AL46" s="13">
        <v>42</v>
      </c>
      <c r="AM46" s="13">
        <v>39</v>
      </c>
      <c r="AN46" s="14" t="s">
        <v>58</v>
      </c>
      <c r="AO46" s="14" t="s">
        <v>59</v>
      </c>
      <c r="AP46" s="14" t="s">
        <v>439</v>
      </c>
      <c r="AQ46" s="14">
        <v>202604</v>
      </c>
      <c r="AR46" s="14" t="s">
        <v>164</v>
      </c>
      <c r="AS46" s="14"/>
      <c r="AT46" s="12" t="s">
        <v>135</v>
      </c>
      <c r="AU46" s="14" t="s">
        <v>309</v>
      </c>
      <c r="AV46" s="14" t="s">
        <v>461</v>
      </c>
    </row>
    <row r="47" spans="1:48" x14ac:dyDescent="0.3">
      <c r="A47" s="5" t="s">
        <v>30</v>
      </c>
      <c r="B47" s="5" t="s">
        <v>54</v>
      </c>
      <c r="C47" s="5" t="s">
        <v>443</v>
      </c>
      <c r="D47" s="5" t="s">
        <v>32</v>
      </c>
      <c r="E47" s="6" t="s">
        <v>33</v>
      </c>
      <c r="F47" s="7">
        <v>82</v>
      </c>
      <c r="G47" s="5" t="s">
        <v>444</v>
      </c>
      <c r="H47" s="5" t="s">
        <v>704</v>
      </c>
      <c r="I47" s="5" t="s">
        <v>705</v>
      </c>
      <c r="J47" s="5" t="s">
        <v>34</v>
      </c>
      <c r="K47" s="5" t="s">
        <v>131</v>
      </c>
      <c r="L47" s="5" t="s">
        <v>160</v>
      </c>
      <c r="M47" s="5" t="s">
        <v>88</v>
      </c>
      <c r="N47" s="5" t="s">
        <v>56</v>
      </c>
      <c r="O47" s="6" t="s">
        <v>706</v>
      </c>
      <c r="P47" s="5" t="s">
        <v>155</v>
      </c>
      <c r="Q47" s="5" t="s">
        <v>61</v>
      </c>
      <c r="R47" s="5" t="s">
        <v>145</v>
      </c>
      <c r="S47" s="5" t="s">
        <v>338</v>
      </c>
      <c r="T47" s="5" t="s">
        <v>503</v>
      </c>
      <c r="U47" s="5" t="s">
        <v>707</v>
      </c>
      <c r="V47" s="8">
        <v>31</v>
      </c>
      <c r="W47" s="9">
        <v>28949</v>
      </c>
      <c r="X47" s="5" t="s">
        <v>35</v>
      </c>
      <c r="Y47" s="10">
        <v>100</v>
      </c>
      <c r="Z47" s="10">
        <v>18.18</v>
      </c>
      <c r="AA47" s="10">
        <v>18.18</v>
      </c>
      <c r="AB47" s="10">
        <v>93921</v>
      </c>
      <c r="AC47" s="10">
        <v>16823</v>
      </c>
      <c r="AD47" s="10">
        <v>27659</v>
      </c>
      <c r="AE47" s="11">
        <v>138403</v>
      </c>
      <c r="AF47" s="12" t="s">
        <v>133</v>
      </c>
      <c r="AG47" s="14" t="s">
        <v>355</v>
      </c>
      <c r="AH47" s="14" t="s">
        <v>63</v>
      </c>
      <c r="AI47" s="14" t="s">
        <v>36</v>
      </c>
      <c r="AJ47" s="14">
        <v>30000</v>
      </c>
      <c r="AK47" s="14">
        <v>30000</v>
      </c>
      <c r="AL47" s="13">
        <v>36</v>
      </c>
      <c r="AM47" s="13">
        <v>33</v>
      </c>
      <c r="AN47" s="14" t="s">
        <v>215</v>
      </c>
      <c r="AO47" s="14" t="s">
        <v>216</v>
      </c>
      <c r="AP47" s="14" t="s">
        <v>89</v>
      </c>
      <c r="AQ47" s="14">
        <v>202604</v>
      </c>
      <c r="AR47" s="14" t="s">
        <v>152</v>
      </c>
      <c r="AS47" s="14" t="s">
        <v>186</v>
      </c>
      <c r="AT47" s="12" t="s">
        <v>133</v>
      </c>
      <c r="AU47" s="14" t="s">
        <v>309</v>
      </c>
      <c r="AV47" s="14" t="s">
        <v>461</v>
      </c>
    </row>
    <row r="48" spans="1:48" x14ac:dyDescent="0.3">
      <c r="A48" s="5" t="s">
        <v>30</v>
      </c>
      <c r="B48" s="5" t="s">
        <v>54</v>
      </c>
      <c r="C48" s="5" t="s">
        <v>443</v>
      </c>
      <c r="D48" s="5" t="s">
        <v>32</v>
      </c>
      <c r="E48" s="6" t="s">
        <v>33</v>
      </c>
      <c r="F48" s="7">
        <v>83</v>
      </c>
      <c r="G48" s="5" t="s">
        <v>444</v>
      </c>
      <c r="H48" s="5" t="s">
        <v>708</v>
      </c>
      <c r="I48" s="5" t="s">
        <v>709</v>
      </c>
      <c r="J48" s="5" t="s">
        <v>34</v>
      </c>
      <c r="K48" s="5" t="s">
        <v>131</v>
      </c>
      <c r="L48" s="5" t="s">
        <v>160</v>
      </c>
      <c r="M48" s="5" t="s">
        <v>88</v>
      </c>
      <c r="N48" s="5" t="s">
        <v>56</v>
      </c>
      <c r="O48" s="6" t="s">
        <v>710</v>
      </c>
      <c r="P48" s="5" t="s">
        <v>711</v>
      </c>
      <c r="Q48" s="5" t="s">
        <v>64</v>
      </c>
      <c r="R48" s="5" t="s">
        <v>145</v>
      </c>
      <c r="S48" s="5" t="s">
        <v>712</v>
      </c>
      <c r="T48" s="5" t="s">
        <v>713</v>
      </c>
      <c r="U48" s="5" t="s">
        <v>714</v>
      </c>
      <c r="V48" s="8">
        <v>23</v>
      </c>
      <c r="W48" s="9">
        <v>74186</v>
      </c>
      <c r="X48" s="5" t="s">
        <v>35</v>
      </c>
      <c r="Y48" s="10">
        <v>100</v>
      </c>
      <c r="Z48" s="10">
        <v>18.18</v>
      </c>
      <c r="AA48" s="10">
        <v>18.18</v>
      </c>
      <c r="AB48" s="10">
        <v>117480</v>
      </c>
      <c r="AC48" s="10">
        <v>16517</v>
      </c>
      <c r="AD48" s="10">
        <v>0</v>
      </c>
      <c r="AE48" s="11">
        <v>133997</v>
      </c>
      <c r="AF48" s="12" t="s">
        <v>133</v>
      </c>
      <c r="AG48" s="14" t="s">
        <v>173</v>
      </c>
      <c r="AH48" s="14" t="s">
        <v>65</v>
      </c>
      <c r="AI48" s="14" t="s">
        <v>36</v>
      </c>
      <c r="AJ48" s="14">
        <v>80000</v>
      </c>
      <c r="AK48" s="14">
        <v>75000</v>
      </c>
      <c r="AL48" s="13">
        <v>24</v>
      </c>
      <c r="AM48" s="13">
        <v>24</v>
      </c>
      <c r="AN48" s="14" t="s">
        <v>715</v>
      </c>
      <c r="AO48" s="14" t="s">
        <v>716</v>
      </c>
      <c r="AP48" s="14" t="s">
        <v>89</v>
      </c>
      <c r="AQ48" s="14">
        <v>202604</v>
      </c>
      <c r="AR48" s="14" t="s">
        <v>152</v>
      </c>
      <c r="AS48" s="14" t="s">
        <v>186</v>
      </c>
      <c r="AT48" s="12" t="s">
        <v>133</v>
      </c>
      <c r="AU48" s="14" t="s">
        <v>309</v>
      </c>
      <c r="AV48" s="14" t="s">
        <v>461</v>
      </c>
    </row>
    <row r="49" spans="1:48" x14ac:dyDescent="0.3">
      <c r="A49" s="5" t="s">
        <v>30</v>
      </c>
      <c r="B49" s="5" t="s">
        <v>54</v>
      </c>
      <c r="C49" s="5" t="s">
        <v>443</v>
      </c>
      <c r="D49" s="5" t="s">
        <v>32</v>
      </c>
      <c r="E49" s="6" t="s">
        <v>33</v>
      </c>
      <c r="F49" s="7">
        <v>84</v>
      </c>
      <c r="G49" s="5" t="s">
        <v>444</v>
      </c>
      <c r="H49" s="5" t="s">
        <v>717</v>
      </c>
      <c r="I49" s="5" t="s">
        <v>718</v>
      </c>
      <c r="J49" s="5" t="s">
        <v>34</v>
      </c>
      <c r="K49" s="5" t="s">
        <v>60</v>
      </c>
      <c r="L49" s="5" t="s">
        <v>719</v>
      </c>
      <c r="M49" s="5" t="s">
        <v>48</v>
      </c>
      <c r="N49" s="5" t="s">
        <v>56</v>
      </c>
      <c r="O49" s="6" t="s">
        <v>720</v>
      </c>
      <c r="P49" s="5" t="s">
        <v>51</v>
      </c>
      <c r="Q49" s="5" t="s">
        <v>61</v>
      </c>
      <c r="R49" s="5" t="s">
        <v>70</v>
      </c>
      <c r="S49" s="5" t="s">
        <v>721</v>
      </c>
      <c r="T49" s="5" t="s">
        <v>449</v>
      </c>
      <c r="U49" s="5" t="s">
        <v>722</v>
      </c>
      <c r="V49" s="8">
        <v>11</v>
      </c>
      <c r="W49" s="9">
        <v>31674</v>
      </c>
      <c r="X49" s="5" t="s">
        <v>35</v>
      </c>
      <c r="Y49" s="10">
        <v>100</v>
      </c>
      <c r="Z49" s="10">
        <v>18.18</v>
      </c>
      <c r="AA49" s="10">
        <v>18.18</v>
      </c>
      <c r="AB49" s="10">
        <v>13842</v>
      </c>
      <c r="AC49" s="10">
        <v>3456</v>
      </c>
      <c r="AD49" s="10">
        <v>0</v>
      </c>
      <c r="AE49" s="11">
        <v>17298</v>
      </c>
      <c r="AF49" s="12" t="s">
        <v>62</v>
      </c>
      <c r="AG49" s="14" t="s">
        <v>223</v>
      </c>
      <c r="AH49" s="14" t="s">
        <v>63</v>
      </c>
      <c r="AI49" s="14" t="s">
        <v>49</v>
      </c>
      <c r="AJ49" s="14">
        <v>40000</v>
      </c>
      <c r="AK49" s="14">
        <v>35000</v>
      </c>
      <c r="AL49" s="13">
        <v>12</v>
      </c>
      <c r="AM49" s="13">
        <v>12</v>
      </c>
      <c r="AN49" s="14" t="s">
        <v>295</v>
      </c>
      <c r="AO49" s="14" t="s">
        <v>723</v>
      </c>
      <c r="AP49" s="14" t="s">
        <v>48</v>
      </c>
      <c r="AQ49" s="14">
        <v>202604</v>
      </c>
      <c r="AR49" s="14" t="s">
        <v>164</v>
      </c>
      <c r="AS49" s="14"/>
      <c r="AT49" s="12" t="s">
        <v>62</v>
      </c>
      <c r="AU49" s="14" t="s">
        <v>309</v>
      </c>
      <c r="AV49" s="14" t="s">
        <v>461</v>
      </c>
    </row>
    <row r="50" spans="1:48" x14ac:dyDescent="0.3">
      <c r="A50" s="5" t="s">
        <v>30</v>
      </c>
      <c r="B50" s="5" t="s">
        <v>54</v>
      </c>
      <c r="C50" s="5" t="s">
        <v>443</v>
      </c>
      <c r="D50" s="5" t="s">
        <v>32</v>
      </c>
      <c r="E50" s="6" t="s">
        <v>33</v>
      </c>
      <c r="F50" s="7">
        <v>85</v>
      </c>
      <c r="G50" s="5" t="s">
        <v>444</v>
      </c>
      <c r="H50" s="5" t="s">
        <v>724</v>
      </c>
      <c r="I50" s="5" t="s">
        <v>725</v>
      </c>
      <c r="J50" s="5" t="s">
        <v>34</v>
      </c>
      <c r="K50" s="5" t="s">
        <v>60</v>
      </c>
      <c r="L50" s="5" t="s">
        <v>719</v>
      </c>
      <c r="M50" s="5" t="s">
        <v>48</v>
      </c>
      <c r="N50" s="5" t="s">
        <v>56</v>
      </c>
      <c r="O50" s="6" t="s">
        <v>726</v>
      </c>
      <c r="P50" s="5" t="s">
        <v>51</v>
      </c>
      <c r="Q50" s="5" t="s">
        <v>61</v>
      </c>
      <c r="R50" s="5" t="s">
        <v>70</v>
      </c>
      <c r="S50" s="5" t="s">
        <v>373</v>
      </c>
      <c r="T50" s="5" t="s">
        <v>314</v>
      </c>
      <c r="U50" s="5" t="s">
        <v>351</v>
      </c>
      <c r="V50" s="8">
        <v>9</v>
      </c>
      <c r="W50" s="9">
        <v>28243</v>
      </c>
      <c r="X50" s="5" t="s">
        <v>35</v>
      </c>
      <c r="Y50" s="10">
        <v>100</v>
      </c>
      <c r="Z50" s="10">
        <v>18.18</v>
      </c>
      <c r="AA50" s="10">
        <v>18.18</v>
      </c>
      <c r="AB50" s="10">
        <v>13842</v>
      </c>
      <c r="AC50" s="10">
        <v>3456</v>
      </c>
      <c r="AD50" s="10">
        <v>0</v>
      </c>
      <c r="AE50" s="11">
        <v>17298</v>
      </c>
      <c r="AF50" s="12" t="s">
        <v>62</v>
      </c>
      <c r="AG50" s="14" t="s">
        <v>223</v>
      </c>
      <c r="AH50" s="14" t="s">
        <v>63</v>
      </c>
      <c r="AI50" s="14" t="s">
        <v>49</v>
      </c>
      <c r="AJ50" s="14">
        <v>30000</v>
      </c>
      <c r="AK50" s="14">
        <v>30000</v>
      </c>
      <c r="AL50" s="13">
        <v>12</v>
      </c>
      <c r="AM50" s="13">
        <v>12</v>
      </c>
      <c r="AN50" s="14" t="s">
        <v>295</v>
      </c>
      <c r="AO50" s="14" t="s">
        <v>723</v>
      </c>
      <c r="AP50" s="14" t="s">
        <v>48</v>
      </c>
      <c r="AQ50" s="14">
        <v>202604</v>
      </c>
      <c r="AR50" s="14" t="s">
        <v>164</v>
      </c>
      <c r="AS50" s="14"/>
      <c r="AT50" s="12" t="s">
        <v>62</v>
      </c>
      <c r="AU50" s="14" t="s">
        <v>309</v>
      </c>
      <c r="AV50" s="14" t="s">
        <v>461</v>
      </c>
    </row>
    <row r="51" spans="1:48" x14ac:dyDescent="0.3">
      <c r="A51" s="5" t="s">
        <v>30</v>
      </c>
      <c r="B51" s="5" t="s">
        <v>54</v>
      </c>
      <c r="C51" s="5" t="s">
        <v>443</v>
      </c>
      <c r="D51" s="5" t="s">
        <v>32</v>
      </c>
      <c r="E51" s="6" t="s">
        <v>33</v>
      </c>
      <c r="F51" s="7">
        <v>86</v>
      </c>
      <c r="G51" s="5" t="s">
        <v>444</v>
      </c>
      <c r="H51" s="5" t="s">
        <v>727</v>
      </c>
      <c r="I51" s="5" t="s">
        <v>728</v>
      </c>
      <c r="J51" s="5" t="s">
        <v>34</v>
      </c>
      <c r="K51" s="5" t="s">
        <v>60</v>
      </c>
      <c r="L51" s="5" t="s">
        <v>729</v>
      </c>
      <c r="M51" s="5" t="s">
        <v>730</v>
      </c>
      <c r="N51" s="5" t="s">
        <v>56</v>
      </c>
      <c r="O51" s="6" t="e">
        <v>#N/A</v>
      </c>
      <c r="P51" s="5" t="s">
        <v>47</v>
      </c>
      <c r="Q51" s="5" t="s">
        <v>64</v>
      </c>
      <c r="R51" s="5" t="s">
        <v>268</v>
      </c>
      <c r="S51" s="5" t="s">
        <v>731</v>
      </c>
      <c r="T51" s="5" t="s">
        <v>480</v>
      </c>
      <c r="U51" s="5" t="s">
        <v>732</v>
      </c>
      <c r="V51" s="8">
        <v>13</v>
      </c>
      <c r="W51" s="9">
        <v>16314</v>
      </c>
      <c r="X51" s="5" t="s">
        <v>35</v>
      </c>
      <c r="Y51" s="10">
        <v>100</v>
      </c>
      <c r="Z51" s="10">
        <v>18.18</v>
      </c>
      <c r="AA51" s="10">
        <v>18.18</v>
      </c>
      <c r="AB51" s="10">
        <v>33330</v>
      </c>
      <c r="AC51" s="10">
        <v>5807</v>
      </c>
      <c r="AD51" s="10">
        <v>0</v>
      </c>
      <c r="AE51" s="11">
        <v>39137</v>
      </c>
      <c r="AF51" s="12" t="s">
        <v>62</v>
      </c>
      <c r="AG51" s="14" t="s">
        <v>250</v>
      </c>
      <c r="AH51" s="14" t="s">
        <v>65</v>
      </c>
      <c r="AI51" s="14" t="s">
        <v>49</v>
      </c>
      <c r="AJ51" s="14">
        <v>20000</v>
      </c>
      <c r="AK51" s="14">
        <v>20000</v>
      </c>
      <c r="AL51" s="13">
        <v>18</v>
      </c>
      <c r="AM51" s="13">
        <v>15</v>
      </c>
      <c r="AN51" s="14" t="s">
        <v>733</v>
      </c>
      <c r="AO51" s="14" t="s">
        <v>734</v>
      </c>
      <c r="AP51" s="14" t="s">
        <v>735</v>
      </c>
      <c r="AQ51" s="14">
        <v>202604</v>
      </c>
      <c r="AR51" s="14" t="s">
        <v>164</v>
      </c>
      <c r="AS51" s="14"/>
      <c r="AT51" s="12" t="s">
        <v>62</v>
      </c>
      <c r="AU51" s="14" t="s">
        <v>309</v>
      </c>
      <c r="AV51" s="14" t="s">
        <v>461</v>
      </c>
    </row>
    <row r="52" spans="1:48" x14ac:dyDescent="0.3">
      <c r="A52" s="5" t="s">
        <v>30</v>
      </c>
      <c r="B52" s="5" t="s">
        <v>54</v>
      </c>
      <c r="C52" s="5" t="s">
        <v>443</v>
      </c>
      <c r="D52" s="5" t="s">
        <v>32</v>
      </c>
      <c r="E52" s="6" t="s">
        <v>33</v>
      </c>
      <c r="F52" s="7">
        <v>100</v>
      </c>
      <c r="G52" s="5" t="s">
        <v>444</v>
      </c>
      <c r="H52" s="5" t="s">
        <v>736</v>
      </c>
      <c r="I52" s="5" t="s">
        <v>737</v>
      </c>
      <c r="J52" s="5" t="s">
        <v>34</v>
      </c>
      <c r="K52" s="5" t="s">
        <v>191</v>
      </c>
      <c r="L52" s="5" t="s">
        <v>336</v>
      </c>
      <c r="M52" s="5" t="s">
        <v>46</v>
      </c>
      <c r="N52" s="5" t="s">
        <v>596</v>
      </c>
      <c r="O52" s="6" t="s">
        <v>738</v>
      </c>
      <c r="P52" s="5" t="s">
        <v>51</v>
      </c>
      <c r="Q52" s="5" t="s">
        <v>320</v>
      </c>
      <c r="R52" s="5" t="s">
        <v>248</v>
      </c>
      <c r="S52" s="5" t="s">
        <v>369</v>
      </c>
      <c r="T52" s="5" t="s">
        <v>293</v>
      </c>
      <c r="U52" s="5" t="s">
        <v>739</v>
      </c>
      <c r="V52" s="8">
        <v>31</v>
      </c>
      <c r="W52" s="9">
        <v>40931</v>
      </c>
      <c r="X52" s="5" t="s">
        <v>35</v>
      </c>
      <c r="Y52" s="10">
        <v>100</v>
      </c>
      <c r="Z52" s="10">
        <v>18.18</v>
      </c>
      <c r="AA52" s="10">
        <v>18.18</v>
      </c>
      <c r="AB52" s="10">
        <v>53338</v>
      </c>
      <c r="AC52" s="10">
        <v>21978</v>
      </c>
      <c r="AD52" s="10">
        <v>0</v>
      </c>
      <c r="AE52" s="11">
        <v>75316</v>
      </c>
      <c r="AF52" s="12" t="s">
        <v>192</v>
      </c>
      <c r="AG52" s="14" t="s">
        <v>184</v>
      </c>
      <c r="AH52" s="14" t="s">
        <v>322</v>
      </c>
      <c r="AI52" s="14" t="s">
        <v>122</v>
      </c>
      <c r="AJ52" s="14">
        <v>50000</v>
      </c>
      <c r="AK52" s="14">
        <v>45000</v>
      </c>
      <c r="AL52" s="13">
        <v>36</v>
      </c>
      <c r="AM52" s="13">
        <v>33</v>
      </c>
      <c r="AN52" s="14" t="s">
        <v>58</v>
      </c>
      <c r="AO52" s="14" t="s">
        <v>59</v>
      </c>
      <c r="AP52" s="14" t="s">
        <v>46</v>
      </c>
      <c r="AQ52" s="14">
        <v>202604</v>
      </c>
      <c r="AR52" s="14" t="s">
        <v>164</v>
      </c>
      <c r="AS52" s="14"/>
      <c r="AT52" s="12" t="s">
        <v>192</v>
      </c>
      <c r="AU52" s="14" t="s">
        <v>309</v>
      </c>
      <c r="AV52" s="14" t="s">
        <v>461</v>
      </c>
    </row>
    <row r="53" spans="1:48" x14ac:dyDescent="0.3">
      <c r="A53" s="5" t="s">
        <v>30</v>
      </c>
      <c r="B53" s="5" t="s">
        <v>54</v>
      </c>
      <c r="C53" s="5" t="s">
        <v>443</v>
      </c>
      <c r="D53" s="5" t="s">
        <v>32</v>
      </c>
      <c r="E53" s="6" t="s">
        <v>33</v>
      </c>
      <c r="F53" s="7">
        <v>102</v>
      </c>
      <c r="G53" s="5" t="s">
        <v>444</v>
      </c>
      <c r="H53" s="5" t="s">
        <v>740</v>
      </c>
      <c r="I53" s="5" t="s">
        <v>741</v>
      </c>
      <c r="J53" s="5" t="s">
        <v>34</v>
      </c>
      <c r="K53" s="5" t="s">
        <v>191</v>
      </c>
      <c r="L53" s="5" t="s">
        <v>336</v>
      </c>
      <c r="M53" s="5" t="s">
        <v>46</v>
      </c>
      <c r="N53" s="5" t="s">
        <v>742</v>
      </c>
      <c r="O53" s="6" t="s">
        <v>743</v>
      </c>
      <c r="P53" s="5"/>
      <c r="Q53" s="5" t="s">
        <v>744</v>
      </c>
      <c r="R53" s="5" t="s">
        <v>745</v>
      </c>
      <c r="S53" s="5" t="s">
        <v>746</v>
      </c>
      <c r="T53" s="5" t="s">
        <v>365</v>
      </c>
      <c r="U53" s="5" t="s">
        <v>747</v>
      </c>
      <c r="V53" s="8">
        <v>30</v>
      </c>
      <c r="W53" s="9">
        <v>43653</v>
      </c>
      <c r="X53" s="5" t="s">
        <v>35</v>
      </c>
      <c r="Y53" s="10">
        <v>100</v>
      </c>
      <c r="Z53" s="10">
        <v>18.18</v>
      </c>
      <c r="AA53" s="10">
        <v>18.18</v>
      </c>
      <c r="AB53" s="10">
        <v>0</v>
      </c>
      <c r="AC53" s="10">
        <v>0</v>
      </c>
      <c r="AD53" s="10">
        <v>38198</v>
      </c>
      <c r="AE53" s="11">
        <v>38198</v>
      </c>
      <c r="AF53" s="12" t="s">
        <v>192</v>
      </c>
      <c r="AG53" s="14" t="s">
        <v>151</v>
      </c>
      <c r="AH53" s="14" t="s">
        <v>748</v>
      </c>
      <c r="AI53" s="14" t="e">
        <v>#N/A</v>
      </c>
      <c r="AJ53" s="14">
        <v>50000</v>
      </c>
      <c r="AK53" s="14">
        <v>45000</v>
      </c>
      <c r="AL53" s="13">
        <v>36</v>
      </c>
      <c r="AM53" s="13">
        <v>33</v>
      </c>
      <c r="AN53" s="14" t="s">
        <v>58</v>
      </c>
      <c r="AO53" s="14" t="s">
        <v>59</v>
      </c>
      <c r="AP53" s="14" t="s">
        <v>46</v>
      </c>
      <c r="AQ53" s="14">
        <v>202604</v>
      </c>
      <c r="AR53" s="14" t="s">
        <v>164</v>
      </c>
      <c r="AS53" s="14"/>
      <c r="AT53" s="12" t="s">
        <v>192</v>
      </c>
      <c r="AU53" s="14" t="s">
        <v>309</v>
      </c>
      <c r="AV53" s="14" t="s">
        <v>461</v>
      </c>
    </row>
    <row r="54" spans="1:48" x14ac:dyDescent="0.3">
      <c r="A54" s="5" t="s">
        <v>30</v>
      </c>
      <c r="B54" s="5" t="s">
        <v>54</v>
      </c>
      <c r="C54" s="5" t="s">
        <v>443</v>
      </c>
      <c r="D54" s="5" t="s">
        <v>32</v>
      </c>
      <c r="E54" s="6" t="s">
        <v>33</v>
      </c>
      <c r="F54" s="7">
        <v>103</v>
      </c>
      <c r="G54" s="5" t="s">
        <v>444</v>
      </c>
      <c r="H54" s="5" t="s">
        <v>749</v>
      </c>
      <c r="I54" s="5" t="s">
        <v>741</v>
      </c>
      <c r="J54" s="5" t="s">
        <v>34</v>
      </c>
      <c r="K54" s="5" t="s">
        <v>191</v>
      </c>
      <c r="L54" s="5" t="s">
        <v>336</v>
      </c>
      <c r="M54" s="5" t="s">
        <v>46</v>
      </c>
      <c r="N54" s="5" t="s">
        <v>742</v>
      </c>
      <c r="O54" s="6" t="s">
        <v>743</v>
      </c>
      <c r="P54" s="5" t="s">
        <v>276</v>
      </c>
      <c r="Q54" s="5" t="s">
        <v>64</v>
      </c>
      <c r="R54" s="5" t="s">
        <v>296</v>
      </c>
      <c r="S54" s="5" t="s">
        <v>746</v>
      </c>
      <c r="T54" s="5" t="s">
        <v>750</v>
      </c>
      <c r="U54" s="5" t="s">
        <v>747</v>
      </c>
      <c r="V54" s="8">
        <v>30</v>
      </c>
      <c r="W54" s="9">
        <v>43653</v>
      </c>
      <c r="X54" s="5" t="s">
        <v>35</v>
      </c>
      <c r="Y54" s="10">
        <v>100</v>
      </c>
      <c r="Z54" s="10">
        <v>18.18</v>
      </c>
      <c r="AA54" s="10">
        <v>18.18</v>
      </c>
      <c r="AB54" s="10">
        <v>52757</v>
      </c>
      <c r="AC54" s="10">
        <v>38283</v>
      </c>
      <c r="AD54" s="10">
        <v>0</v>
      </c>
      <c r="AE54" s="11">
        <v>91040</v>
      </c>
      <c r="AF54" s="12" t="s">
        <v>192</v>
      </c>
      <c r="AG54" s="14" t="s">
        <v>151</v>
      </c>
      <c r="AH54" s="14" t="s">
        <v>65</v>
      </c>
      <c r="AI54" s="14" t="s">
        <v>49</v>
      </c>
      <c r="AJ54" s="14">
        <v>50000</v>
      </c>
      <c r="AK54" s="14">
        <v>45000</v>
      </c>
      <c r="AL54" s="13">
        <v>36</v>
      </c>
      <c r="AM54" s="13">
        <v>33</v>
      </c>
      <c r="AN54" s="14" t="s">
        <v>58</v>
      </c>
      <c r="AO54" s="14" t="s">
        <v>59</v>
      </c>
      <c r="AP54" s="14" t="s">
        <v>46</v>
      </c>
      <c r="AQ54" s="14">
        <v>202604</v>
      </c>
      <c r="AR54" s="14" t="s">
        <v>164</v>
      </c>
      <c r="AS54" s="14"/>
      <c r="AT54" s="12" t="s">
        <v>192</v>
      </c>
      <c r="AU54" s="14" t="s">
        <v>309</v>
      </c>
      <c r="AV54" s="14" t="s">
        <v>461</v>
      </c>
    </row>
    <row r="55" spans="1:48" x14ac:dyDescent="0.3">
      <c r="A55" s="5" t="s">
        <v>30</v>
      </c>
      <c r="B55" s="5" t="s">
        <v>54</v>
      </c>
      <c r="C55" s="5" t="s">
        <v>443</v>
      </c>
      <c r="D55" s="5" t="s">
        <v>32</v>
      </c>
      <c r="E55" s="6" t="s">
        <v>33</v>
      </c>
      <c r="F55" s="7">
        <v>104</v>
      </c>
      <c r="G55" s="5" t="s">
        <v>444</v>
      </c>
      <c r="H55" s="5" t="s">
        <v>751</v>
      </c>
      <c r="I55" s="5" t="s">
        <v>752</v>
      </c>
      <c r="J55" s="5" t="s">
        <v>34</v>
      </c>
      <c r="K55" s="5" t="s">
        <v>191</v>
      </c>
      <c r="L55" s="5" t="s">
        <v>275</v>
      </c>
      <c r="M55" s="5" t="s">
        <v>46</v>
      </c>
      <c r="N55" s="5" t="s">
        <v>742</v>
      </c>
      <c r="O55" s="6" t="e">
        <v>#N/A</v>
      </c>
      <c r="P55" s="5" t="s">
        <v>276</v>
      </c>
      <c r="Q55" s="5" t="s">
        <v>71</v>
      </c>
      <c r="R55" s="5" t="s">
        <v>148</v>
      </c>
      <c r="S55" s="5" t="s">
        <v>753</v>
      </c>
      <c r="T55" s="5" t="s">
        <v>367</v>
      </c>
      <c r="U55" s="5" t="s">
        <v>277</v>
      </c>
      <c r="V55" s="8">
        <v>34</v>
      </c>
      <c r="W55" s="9">
        <v>58764</v>
      </c>
      <c r="X55" s="5" t="s">
        <v>35</v>
      </c>
      <c r="Y55" s="10">
        <v>100</v>
      </c>
      <c r="Z55" s="10">
        <v>18.18</v>
      </c>
      <c r="AA55" s="10">
        <v>18.18</v>
      </c>
      <c r="AB55" s="10">
        <v>62194</v>
      </c>
      <c r="AC55" s="10">
        <v>10023</v>
      </c>
      <c r="AD55" s="10">
        <v>10780</v>
      </c>
      <c r="AE55" s="11">
        <v>82997</v>
      </c>
      <c r="AF55" s="12" t="s">
        <v>192</v>
      </c>
      <c r="AG55" s="14" t="s">
        <v>270</v>
      </c>
      <c r="AH55" s="14" t="s">
        <v>72</v>
      </c>
      <c r="AI55" s="14" t="s">
        <v>143</v>
      </c>
      <c r="AJ55" s="14">
        <v>60000</v>
      </c>
      <c r="AK55" s="14">
        <v>60000</v>
      </c>
      <c r="AL55" s="13">
        <v>36</v>
      </c>
      <c r="AM55" s="13">
        <v>36</v>
      </c>
      <c r="AN55" s="14" t="s">
        <v>171</v>
      </c>
      <c r="AO55" s="14" t="s">
        <v>172</v>
      </c>
      <c r="AP55" s="14" t="s">
        <v>46</v>
      </c>
      <c r="AQ55" s="14">
        <v>202604</v>
      </c>
      <c r="AR55" s="14" t="s">
        <v>164</v>
      </c>
      <c r="AS55" s="14"/>
      <c r="AT55" s="12" t="s">
        <v>192</v>
      </c>
      <c r="AU55" s="14" t="s">
        <v>309</v>
      </c>
      <c r="AV55" s="14" t="s">
        <v>461</v>
      </c>
    </row>
    <row r="56" spans="1:48" x14ac:dyDescent="0.3">
      <c r="A56" s="5" t="s">
        <v>30</v>
      </c>
      <c r="B56" s="5" t="s">
        <v>54</v>
      </c>
      <c r="C56" s="5" t="s">
        <v>443</v>
      </c>
      <c r="D56" s="5" t="s">
        <v>32</v>
      </c>
      <c r="E56" s="6" t="s">
        <v>33</v>
      </c>
      <c r="F56" s="7">
        <v>105</v>
      </c>
      <c r="G56" s="5" t="s">
        <v>444</v>
      </c>
      <c r="H56" s="5" t="s">
        <v>754</v>
      </c>
      <c r="I56" s="5" t="s">
        <v>755</v>
      </c>
      <c r="J56" s="5" t="s">
        <v>34</v>
      </c>
      <c r="K56" s="5" t="s">
        <v>42</v>
      </c>
      <c r="L56" s="5" t="s">
        <v>227</v>
      </c>
      <c r="M56" s="5" t="s">
        <v>197</v>
      </c>
      <c r="N56" s="5" t="s">
        <v>56</v>
      </c>
      <c r="O56" s="6" t="s">
        <v>756</v>
      </c>
      <c r="P56" s="5" t="s">
        <v>225</v>
      </c>
      <c r="Q56" s="5" t="s">
        <v>188</v>
      </c>
      <c r="R56" s="5" t="s">
        <v>255</v>
      </c>
      <c r="S56" s="5" t="s">
        <v>757</v>
      </c>
      <c r="T56" s="5" t="s">
        <v>374</v>
      </c>
      <c r="U56" s="5" t="s">
        <v>758</v>
      </c>
      <c r="V56" s="8">
        <v>6</v>
      </c>
      <c r="W56" s="9">
        <v>20646</v>
      </c>
      <c r="X56" s="5" t="s">
        <v>35</v>
      </c>
      <c r="Y56" s="10">
        <v>100</v>
      </c>
      <c r="Z56" s="10">
        <v>18.18</v>
      </c>
      <c r="AA56" s="10">
        <v>18.18</v>
      </c>
      <c r="AB56" s="10">
        <v>31528</v>
      </c>
      <c r="AC56" s="10">
        <v>7036</v>
      </c>
      <c r="AD56" s="10">
        <v>0</v>
      </c>
      <c r="AE56" s="11">
        <v>38564</v>
      </c>
      <c r="AF56" s="12" t="s">
        <v>44</v>
      </c>
      <c r="AG56" s="14" t="s">
        <v>396</v>
      </c>
      <c r="AH56" s="14" t="s">
        <v>189</v>
      </c>
      <c r="AI56" s="14" t="s">
        <v>251</v>
      </c>
      <c r="AJ56" s="14">
        <v>30000</v>
      </c>
      <c r="AK56" s="14">
        <v>25000</v>
      </c>
      <c r="AL56" s="13">
        <v>12</v>
      </c>
      <c r="AM56" s="13">
        <v>9</v>
      </c>
      <c r="AN56" s="14" t="s">
        <v>228</v>
      </c>
      <c r="AO56" s="14" t="s">
        <v>229</v>
      </c>
      <c r="AP56" s="14" t="s">
        <v>53</v>
      </c>
      <c r="AQ56" s="14">
        <v>202604</v>
      </c>
      <c r="AR56" s="14" t="s">
        <v>164</v>
      </c>
      <c r="AS56" s="14"/>
      <c r="AT56" s="12" t="s">
        <v>44</v>
      </c>
      <c r="AU56" s="14" t="s">
        <v>309</v>
      </c>
      <c r="AV56" s="14" t="s">
        <v>461</v>
      </c>
    </row>
    <row r="57" spans="1:48" x14ac:dyDescent="0.3">
      <c r="A57" s="5" t="s">
        <v>30</v>
      </c>
      <c r="B57" s="5" t="s">
        <v>54</v>
      </c>
      <c r="C57" s="5" t="s">
        <v>443</v>
      </c>
      <c r="D57" s="5" t="s">
        <v>32</v>
      </c>
      <c r="E57" s="6" t="s">
        <v>33</v>
      </c>
      <c r="F57" s="7">
        <v>106</v>
      </c>
      <c r="G57" s="5" t="s">
        <v>444</v>
      </c>
      <c r="H57" s="5" t="s">
        <v>759</v>
      </c>
      <c r="I57" s="5" t="s">
        <v>760</v>
      </c>
      <c r="J57" s="5" t="s">
        <v>34</v>
      </c>
      <c r="K57" s="5" t="s">
        <v>60</v>
      </c>
      <c r="L57" s="5" t="s">
        <v>761</v>
      </c>
      <c r="M57" s="5" t="s">
        <v>53</v>
      </c>
      <c r="N57" s="5" t="s">
        <v>56</v>
      </c>
      <c r="O57" s="6" t="s">
        <v>762</v>
      </c>
      <c r="P57" s="5" t="s">
        <v>73</v>
      </c>
      <c r="Q57" s="5" t="s">
        <v>64</v>
      </c>
      <c r="R57" s="5" t="s">
        <v>395</v>
      </c>
      <c r="S57" s="5" t="s">
        <v>763</v>
      </c>
      <c r="T57" s="5" t="s">
        <v>764</v>
      </c>
      <c r="U57" s="5" t="s">
        <v>246</v>
      </c>
      <c r="V57" s="8">
        <v>23</v>
      </c>
      <c r="W57" s="9">
        <v>15798</v>
      </c>
      <c r="X57" s="5" t="s">
        <v>35</v>
      </c>
      <c r="Y57" s="10">
        <v>100</v>
      </c>
      <c r="Z57" s="10">
        <v>18.18</v>
      </c>
      <c r="AA57" s="10">
        <v>18.18</v>
      </c>
      <c r="AB57" s="10">
        <v>12044</v>
      </c>
      <c r="AC57" s="10">
        <v>4186</v>
      </c>
      <c r="AD57" s="10">
        <v>0</v>
      </c>
      <c r="AE57" s="11">
        <v>16230</v>
      </c>
      <c r="AF57" s="12" t="s">
        <v>62</v>
      </c>
      <c r="AG57" s="14" t="s">
        <v>176</v>
      </c>
      <c r="AH57" s="14" t="s">
        <v>65</v>
      </c>
      <c r="AI57" s="14" t="s">
        <v>226</v>
      </c>
      <c r="AJ57" s="14">
        <v>20000</v>
      </c>
      <c r="AK57" s="14">
        <v>20000</v>
      </c>
      <c r="AL57" s="13">
        <v>24</v>
      </c>
      <c r="AM57" s="13">
        <v>24</v>
      </c>
      <c r="AN57" s="14" t="s">
        <v>337</v>
      </c>
      <c r="AO57" s="14" t="s">
        <v>765</v>
      </c>
      <c r="AP57" s="14" t="s">
        <v>53</v>
      </c>
      <c r="AQ57" s="14">
        <v>202604</v>
      </c>
      <c r="AR57" s="14" t="s">
        <v>164</v>
      </c>
      <c r="AS57" s="14"/>
      <c r="AT57" s="12" t="s">
        <v>62</v>
      </c>
      <c r="AU57" s="14" t="s">
        <v>309</v>
      </c>
      <c r="AV57" s="14" t="s">
        <v>461</v>
      </c>
    </row>
    <row r="58" spans="1:48" x14ac:dyDescent="0.3">
      <c r="A58" s="5" t="s">
        <v>30</v>
      </c>
      <c r="B58" s="5" t="s">
        <v>54</v>
      </c>
      <c r="C58" s="5" t="s">
        <v>443</v>
      </c>
      <c r="D58" s="5" t="s">
        <v>32</v>
      </c>
      <c r="E58" s="6" t="s">
        <v>33</v>
      </c>
      <c r="F58" s="7">
        <v>107</v>
      </c>
      <c r="G58" s="5" t="s">
        <v>444</v>
      </c>
      <c r="H58" s="5" t="s">
        <v>766</v>
      </c>
      <c r="I58" s="5" t="s">
        <v>767</v>
      </c>
      <c r="J58" s="5" t="s">
        <v>34</v>
      </c>
      <c r="K58" s="5" t="s">
        <v>60</v>
      </c>
      <c r="L58" s="5" t="s">
        <v>768</v>
      </c>
      <c r="M58" s="5" t="s">
        <v>53</v>
      </c>
      <c r="N58" s="5" t="s">
        <v>56</v>
      </c>
      <c r="O58" s="6" t="s">
        <v>769</v>
      </c>
      <c r="P58" s="5" t="s">
        <v>73</v>
      </c>
      <c r="Q58" s="5" t="s">
        <v>64</v>
      </c>
      <c r="R58" s="5" t="s">
        <v>74</v>
      </c>
      <c r="S58" s="5" t="s">
        <v>375</v>
      </c>
      <c r="T58" s="5" t="s">
        <v>360</v>
      </c>
      <c r="U58" s="5" t="s">
        <v>770</v>
      </c>
      <c r="V58" s="8">
        <v>33</v>
      </c>
      <c r="W58" s="9">
        <v>20264</v>
      </c>
      <c r="X58" s="5" t="s">
        <v>35</v>
      </c>
      <c r="Y58" s="10">
        <v>100</v>
      </c>
      <c r="Z58" s="10">
        <v>18.18</v>
      </c>
      <c r="AA58" s="10">
        <v>18.18</v>
      </c>
      <c r="AB58" s="10">
        <v>9669</v>
      </c>
      <c r="AC58" s="10">
        <v>6792</v>
      </c>
      <c r="AD58" s="10">
        <v>0</v>
      </c>
      <c r="AE58" s="11">
        <v>16461</v>
      </c>
      <c r="AF58" s="12" t="s">
        <v>62</v>
      </c>
      <c r="AG58" s="14" t="s">
        <v>270</v>
      </c>
      <c r="AH58" s="14" t="s">
        <v>65</v>
      </c>
      <c r="AI58" s="14" t="s">
        <v>49</v>
      </c>
      <c r="AJ58" s="14">
        <v>30000</v>
      </c>
      <c r="AK58" s="14">
        <v>25000</v>
      </c>
      <c r="AL58" s="13">
        <v>36</v>
      </c>
      <c r="AM58" s="13">
        <v>36</v>
      </c>
      <c r="AN58" s="14" t="s">
        <v>101</v>
      </c>
      <c r="AO58" s="14" t="s">
        <v>102</v>
      </c>
      <c r="AP58" s="14" t="s">
        <v>53</v>
      </c>
      <c r="AQ58" s="14">
        <v>202604</v>
      </c>
      <c r="AR58" s="14" t="s">
        <v>164</v>
      </c>
      <c r="AS58" s="14"/>
      <c r="AT58" s="12" t="s">
        <v>62</v>
      </c>
      <c r="AU58" s="14" t="s">
        <v>309</v>
      </c>
      <c r="AV58" s="14" t="s">
        <v>461</v>
      </c>
    </row>
    <row r="59" spans="1:48" x14ac:dyDescent="0.3">
      <c r="A59" s="5" t="s">
        <v>30</v>
      </c>
      <c r="B59" s="5" t="s">
        <v>54</v>
      </c>
      <c r="C59" s="5" t="s">
        <v>443</v>
      </c>
      <c r="D59" s="5" t="s">
        <v>32</v>
      </c>
      <c r="E59" s="6" t="s">
        <v>33</v>
      </c>
      <c r="F59" s="7">
        <v>108</v>
      </c>
      <c r="G59" s="5" t="s">
        <v>444</v>
      </c>
      <c r="H59" s="5" t="s">
        <v>771</v>
      </c>
      <c r="I59" s="5" t="s">
        <v>772</v>
      </c>
      <c r="J59" s="5" t="s">
        <v>34</v>
      </c>
      <c r="K59" s="5" t="s">
        <v>42</v>
      </c>
      <c r="L59" s="5" t="s">
        <v>167</v>
      </c>
      <c r="M59" s="5" t="s">
        <v>168</v>
      </c>
      <c r="N59" s="5" t="s">
        <v>56</v>
      </c>
      <c r="O59" s="6" t="s">
        <v>773</v>
      </c>
      <c r="P59" s="5" t="s">
        <v>169</v>
      </c>
      <c r="Q59" s="5" t="s">
        <v>61</v>
      </c>
      <c r="R59" s="5" t="s">
        <v>774</v>
      </c>
      <c r="S59" s="5" t="s">
        <v>403</v>
      </c>
      <c r="T59" s="5" t="s">
        <v>775</v>
      </c>
      <c r="U59" s="5" t="s">
        <v>401</v>
      </c>
      <c r="V59" s="8">
        <v>19</v>
      </c>
      <c r="W59" s="9">
        <v>25237</v>
      </c>
      <c r="X59" s="5" t="s">
        <v>35</v>
      </c>
      <c r="Y59" s="10">
        <v>100</v>
      </c>
      <c r="Z59" s="10">
        <v>18.18</v>
      </c>
      <c r="AA59" s="10">
        <v>18.18</v>
      </c>
      <c r="AB59" s="10">
        <v>7565</v>
      </c>
      <c r="AC59" s="10">
        <v>1073</v>
      </c>
      <c r="AD59" s="10">
        <v>1784</v>
      </c>
      <c r="AE59" s="11">
        <v>10422</v>
      </c>
      <c r="AF59" s="12" t="s">
        <v>44</v>
      </c>
      <c r="AG59" s="14" t="s">
        <v>214</v>
      </c>
      <c r="AH59" s="14" t="s">
        <v>63</v>
      </c>
      <c r="AI59" s="14" t="s">
        <v>181</v>
      </c>
      <c r="AJ59" s="14">
        <v>30000</v>
      </c>
      <c r="AK59" s="14">
        <v>30000</v>
      </c>
      <c r="AL59" s="13">
        <v>24</v>
      </c>
      <c r="AM59" s="13">
        <v>21</v>
      </c>
      <c r="AN59" s="14" t="s">
        <v>235</v>
      </c>
      <c r="AO59" s="14" t="s">
        <v>236</v>
      </c>
      <c r="AP59" s="14" t="s">
        <v>168</v>
      </c>
      <c r="AQ59" s="14">
        <v>202604</v>
      </c>
      <c r="AR59" s="14" t="s">
        <v>164</v>
      </c>
      <c r="AS59" s="14"/>
      <c r="AT59" s="12" t="s">
        <v>44</v>
      </c>
      <c r="AU59" s="14" t="s">
        <v>309</v>
      </c>
      <c r="AV59" s="14" t="s">
        <v>461</v>
      </c>
    </row>
    <row r="60" spans="1:48" x14ac:dyDescent="0.3">
      <c r="A60" s="5" t="s">
        <v>30</v>
      </c>
      <c r="B60" s="5" t="s">
        <v>54</v>
      </c>
      <c r="C60" s="5" t="s">
        <v>443</v>
      </c>
      <c r="D60" s="5" t="s">
        <v>32</v>
      </c>
      <c r="E60" s="6" t="s">
        <v>33</v>
      </c>
      <c r="F60" s="7">
        <v>109</v>
      </c>
      <c r="G60" s="5" t="s">
        <v>444</v>
      </c>
      <c r="H60" s="5" t="s">
        <v>776</v>
      </c>
      <c r="I60" s="5" t="s">
        <v>777</v>
      </c>
      <c r="J60" s="5" t="s">
        <v>34</v>
      </c>
      <c r="K60" s="5" t="s">
        <v>42</v>
      </c>
      <c r="L60" s="5" t="s">
        <v>167</v>
      </c>
      <c r="M60" s="5" t="s">
        <v>168</v>
      </c>
      <c r="N60" s="5" t="s">
        <v>56</v>
      </c>
      <c r="O60" s="6" t="s">
        <v>778</v>
      </c>
      <c r="P60" s="5" t="s">
        <v>169</v>
      </c>
      <c r="Q60" s="5" t="s">
        <v>61</v>
      </c>
      <c r="R60" s="5" t="s">
        <v>774</v>
      </c>
      <c r="S60" s="5" t="s">
        <v>779</v>
      </c>
      <c r="T60" s="5" t="s">
        <v>492</v>
      </c>
      <c r="U60" s="5" t="s">
        <v>780</v>
      </c>
      <c r="V60" s="8">
        <v>10</v>
      </c>
      <c r="W60" s="9">
        <v>15535</v>
      </c>
      <c r="X60" s="5" t="s">
        <v>35</v>
      </c>
      <c r="Y60" s="10">
        <v>100</v>
      </c>
      <c r="Z60" s="10">
        <v>18.18</v>
      </c>
      <c r="AA60" s="10">
        <v>18.18</v>
      </c>
      <c r="AB60" s="10">
        <v>7396</v>
      </c>
      <c r="AC60" s="10">
        <v>644</v>
      </c>
      <c r="AD60" s="10">
        <v>0</v>
      </c>
      <c r="AE60" s="11">
        <v>8040</v>
      </c>
      <c r="AF60" s="12" t="s">
        <v>44</v>
      </c>
      <c r="AG60" s="14" t="s">
        <v>398</v>
      </c>
      <c r="AH60" s="14" t="s">
        <v>63</v>
      </c>
      <c r="AI60" s="14" t="s">
        <v>181</v>
      </c>
      <c r="AJ60" s="14">
        <v>20000</v>
      </c>
      <c r="AK60" s="14">
        <v>20000</v>
      </c>
      <c r="AL60" s="13">
        <v>12</v>
      </c>
      <c r="AM60" s="13">
        <v>12</v>
      </c>
      <c r="AN60" s="14" t="s">
        <v>235</v>
      </c>
      <c r="AO60" s="14" t="s">
        <v>236</v>
      </c>
      <c r="AP60" s="14" t="s">
        <v>168</v>
      </c>
      <c r="AQ60" s="14">
        <v>202604</v>
      </c>
      <c r="AR60" s="14" t="s">
        <v>164</v>
      </c>
      <c r="AS60" s="14"/>
      <c r="AT60" s="12" t="s">
        <v>44</v>
      </c>
      <c r="AU60" s="14" t="s">
        <v>309</v>
      </c>
      <c r="AV60" s="14" t="s">
        <v>461</v>
      </c>
    </row>
    <row r="61" spans="1:48" x14ac:dyDescent="0.3">
      <c r="A61" s="5" t="s">
        <v>30</v>
      </c>
      <c r="B61" s="5" t="s">
        <v>54</v>
      </c>
      <c r="C61" s="5" t="s">
        <v>443</v>
      </c>
      <c r="D61" s="5" t="s">
        <v>32</v>
      </c>
      <c r="E61" s="6" t="s">
        <v>33</v>
      </c>
      <c r="F61" s="7">
        <v>110</v>
      </c>
      <c r="G61" s="5" t="s">
        <v>444</v>
      </c>
      <c r="H61" s="5" t="s">
        <v>781</v>
      </c>
      <c r="I61" s="5" t="s">
        <v>782</v>
      </c>
      <c r="J61" s="5" t="s">
        <v>34</v>
      </c>
      <c r="K61" s="5" t="s">
        <v>42</v>
      </c>
      <c r="L61" s="5" t="s">
        <v>167</v>
      </c>
      <c r="M61" s="5" t="s">
        <v>168</v>
      </c>
      <c r="N61" s="5" t="s">
        <v>56</v>
      </c>
      <c r="O61" s="6" t="s">
        <v>783</v>
      </c>
      <c r="P61" s="5" t="s">
        <v>169</v>
      </c>
      <c r="Q61" s="5" t="s">
        <v>61</v>
      </c>
      <c r="R61" s="5" t="s">
        <v>774</v>
      </c>
      <c r="S61" s="5" t="s">
        <v>784</v>
      </c>
      <c r="T61" s="5" t="s">
        <v>458</v>
      </c>
      <c r="U61" s="5" t="s">
        <v>239</v>
      </c>
      <c r="V61" s="8">
        <v>6</v>
      </c>
      <c r="W61" s="9">
        <v>12517</v>
      </c>
      <c r="X61" s="5" t="s">
        <v>35</v>
      </c>
      <c r="Y61" s="10">
        <v>100</v>
      </c>
      <c r="Z61" s="10">
        <v>18.18</v>
      </c>
      <c r="AA61" s="10">
        <v>18.18</v>
      </c>
      <c r="AB61" s="10">
        <v>7396</v>
      </c>
      <c r="AC61" s="10">
        <v>644</v>
      </c>
      <c r="AD61" s="10">
        <v>0</v>
      </c>
      <c r="AE61" s="11">
        <v>8040</v>
      </c>
      <c r="AF61" s="12" t="s">
        <v>44</v>
      </c>
      <c r="AG61" s="14" t="s">
        <v>266</v>
      </c>
      <c r="AH61" s="14" t="s">
        <v>63</v>
      </c>
      <c r="AI61" s="14" t="s">
        <v>181</v>
      </c>
      <c r="AJ61" s="14">
        <v>20000</v>
      </c>
      <c r="AK61" s="14">
        <v>15000</v>
      </c>
      <c r="AL61" s="13">
        <v>12</v>
      </c>
      <c r="AM61" s="13">
        <v>9</v>
      </c>
      <c r="AN61" s="14" t="s">
        <v>235</v>
      </c>
      <c r="AO61" s="14" t="s">
        <v>236</v>
      </c>
      <c r="AP61" s="14" t="s">
        <v>168</v>
      </c>
      <c r="AQ61" s="14">
        <v>202604</v>
      </c>
      <c r="AR61" s="14" t="s">
        <v>164</v>
      </c>
      <c r="AS61" s="14"/>
      <c r="AT61" s="12" t="s">
        <v>44</v>
      </c>
      <c r="AU61" s="14" t="s">
        <v>309</v>
      </c>
      <c r="AV61" s="14" t="s">
        <v>461</v>
      </c>
    </row>
    <row r="62" spans="1:48" x14ac:dyDescent="0.3">
      <c r="A62" s="5" t="s">
        <v>30</v>
      </c>
      <c r="B62" s="5" t="s">
        <v>54</v>
      </c>
      <c r="C62" s="5" t="s">
        <v>443</v>
      </c>
      <c r="D62" s="5" t="s">
        <v>32</v>
      </c>
      <c r="E62" s="6" t="s">
        <v>33</v>
      </c>
      <c r="F62" s="7">
        <v>111</v>
      </c>
      <c r="G62" s="5" t="s">
        <v>444</v>
      </c>
      <c r="H62" s="5" t="s">
        <v>785</v>
      </c>
      <c r="I62" s="5" t="s">
        <v>786</v>
      </c>
      <c r="J62" s="5" t="s">
        <v>34</v>
      </c>
      <c r="K62" s="5" t="s">
        <v>191</v>
      </c>
      <c r="L62" s="5" t="s">
        <v>787</v>
      </c>
      <c r="M62" s="5" t="s">
        <v>289</v>
      </c>
      <c r="N62" s="5" t="s">
        <v>56</v>
      </c>
      <c r="O62" s="6" t="e">
        <v>#N/A</v>
      </c>
      <c r="P62" s="5" t="s">
        <v>318</v>
      </c>
      <c r="Q62" s="5" t="s">
        <v>64</v>
      </c>
      <c r="R62" s="5" t="s">
        <v>70</v>
      </c>
      <c r="S62" s="5" t="s">
        <v>788</v>
      </c>
      <c r="T62" s="5" t="s">
        <v>702</v>
      </c>
      <c r="U62" s="5" t="s">
        <v>240</v>
      </c>
      <c r="V62" s="8">
        <v>6</v>
      </c>
      <c r="W62" s="9">
        <v>4753</v>
      </c>
      <c r="X62" s="5" t="s">
        <v>35</v>
      </c>
      <c r="Y62" s="10">
        <v>100</v>
      </c>
      <c r="Z62" s="10">
        <v>18.18</v>
      </c>
      <c r="AA62" s="10">
        <v>18.18</v>
      </c>
      <c r="AB62" s="10">
        <v>232</v>
      </c>
      <c r="AC62" s="10">
        <v>9315</v>
      </c>
      <c r="AD62" s="10">
        <v>0</v>
      </c>
      <c r="AE62" s="11">
        <v>9547</v>
      </c>
      <c r="AF62" s="12" t="s">
        <v>192</v>
      </c>
      <c r="AG62" s="14" t="s">
        <v>398</v>
      </c>
      <c r="AH62" s="14" t="s">
        <v>65</v>
      </c>
      <c r="AI62" s="14" t="s">
        <v>49</v>
      </c>
      <c r="AJ62" s="14">
        <v>10000</v>
      </c>
      <c r="AK62" s="14">
        <v>5000</v>
      </c>
      <c r="AL62" s="13">
        <v>12</v>
      </c>
      <c r="AM62" s="13">
        <v>9</v>
      </c>
      <c r="AN62" s="14" t="s">
        <v>75</v>
      </c>
      <c r="AO62" s="14" t="s">
        <v>76</v>
      </c>
      <c r="AP62" s="14" t="s">
        <v>289</v>
      </c>
      <c r="AQ62" s="14">
        <v>202604</v>
      </c>
      <c r="AR62" s="14" t="s">
        <v>164</v>
      </c>
      <c r="AS62" s="14"/>
      <c r="AT62" s="12" t="s">
        <v>192</v>
      </c>
      <c r="AU62" s="14" t="s">
        <v>309</v>
      </c>
      <c r="AV62" s="14" t="s">
        <v>461</v>
      </c>
    </row>
    <row r="63" spans="1:48" x14ac:dyDescent="0.3">
      <c r="A63" s="5" t="s">
        <v>30</v>
      </c>
      <c r="B63" s="5" t="s">
        <v>54</v>
      </c>
      <c r="C63" s="5" t="s">
        <v>556</v>
      </c>
      <c r="D63" s="5" t="s">
        <v>32</v>
      </c>
      <c r="E63" s="6" t="s">
        <v>33</v>
      </c>
      <c r="F63" s="7">
        <v>1</v>
      </c>
      <c r="G63" s="5" t="s">
        <v>357</v>
      </c>
      <c r="H63" s="5" t="s">
        <v>789</v>
      </c>
      <c r="I63" s="5" t="s">
        <v>790</v>
      </c>
      <c r="J63" s="5" t="s">
        <v>34</v>
      </c>
      <c r="K63" s="5" t="s">
        <v>42</v>
      </c>
      <c r="L63" s="5" t="s">
        <v>298</v>
      </c>
      <c r="M63" s="5" t="s">
        <v>43</v>
      </c>
      <c r="N63" s="5" t="s">
        <v>56</v>
      </c>
      <c r="O63" s="6" t="s">
        <v>791</v>
      </c>
      <c r="P63" s="5" t="s">
        <v>47</v>
      </c>
      <c r="Q63" s="5" t="s">
        <v>64</v>
      </c>
      <c r="R63" s="5" t="s">
        <v>144</v>
      </c>
      <c r="S63" s="5" t="s">
        <v>792</v>
      </c>
      <c r="T63" s="5" t="s">
        <v>292</v>
      </c>
      <c r="U63" s="5" t="s">
        <v>294</v>
      </c>
      <c r="V63" s="8">
        <v>13</v>
      </c>
      <c r="W63" s="9">
        <v>707</v>
      </c>
      <c r="X63" s="5" t="s">
        <v>793</v>
      </c>
      <c r="Y63" s="10">
        <v>100</v>
      </c>
      <c r="Z63" s="10">
        <v>18.18</v>
      </c>
      <c r="AA63" s="10">
        <v>18.18</v>
      </c>
      <c r="AB63" s="10">
        <v>258115</v>
      </c>
      <c r="AC63" s="10">
        <v>8254</v>
      </c>
      <c r="AD63" s="10">
        <v>46223</v>
      </c>
      <c r="AE63" s="11">
        <v>312592</v>
      </c>
      <c r="AF63" s="12" t="s">
        <v>44</v>
      </c>
      <c r="AG63" s="14" t="s">
        <v>252</v>
      </c>
      <c r="AH63" s="14" t="s">
        <v>65</v>
      </c>
      <c r="AI63" s="14" t="s">
        <v>36</v>
      </c>
      <c r="AJ63" s="14">
        <v>10000</v>
      </c>
      <c r="AK63" s="14">
        <v>5000</v>
      </c>
      <c r="AL63" s="13">
        <v>18</v>
      </c>
      <c r="AM63" s="13">
        <v>15</v>
      </c>
      <c r="AN63" s="14" t="s">
        <v>794</v>
      </c>
      <c r="AO63" s="14" t="s">
        <v>795</v>
      </c>
      <c r="AP63" s="14" t="s">
        <v>46</v>
      </c>
      <c r="AQ63" s="14">
        <v>202604</v>
      </c>
      <c r="AR63" s="20" t="s">
        <v>152</v>
      </c>
      <c r="AS63" s="14" t="s">
        <v>243</v>
      </c>
      <c r="AT63" s="12" t="s">
        <v>44</v>
      </c>
      <c r="AU63" s="14" t="s">
        <v>309</v>
      </c>
      <c r="AV63" s="14" t="s">
        <v>461</v>
      </c>
    </row>
    <row r="64" spans="1:48" x14ac:dyDescent="0.3">
      <c r="A64" s="5" t="s">
        <v>30</v>
      </c>
      <c r="B64" s="5" t="s">
        <v>54</v>
      </c>
      <c r="C64" s="5" t="s">
        <v>556</v>
      </c>
      <c r="D64" s="5" t="s">
        <v>32</v>
      </c>
      <c r="E64" s="6" t="s">
        <v>33</v>
      </c>
      <c r="F64" s="7">
        <v>2</v>
      </c>
      <c r="G64" s="5" t="s">
        <v>357</v>
      </c>
      <c r="H64" s="5" t="s">
        <v>796</v>
      </c>
      <c r="I64" s="5" t="s">
        <v>797</v>
      </c>
      <c r="J64" s="5" t="s">
        <v>34</v>
      </c>
      <c r="K64" s="5" t="s">
        <v>131</v>
      </c>
      <c r="L64" s="5" t="s">
        <v>798</v>
      </c>
      <c r="M64" s="5" t="s">
        <v>289</v>
      </c>
      <c r="N64" s="5" t="s">
        <v>56</v>
      </c>
      <c r="O64" s="6" t="e">
        <v>#N/A</v>
      </c>
      <c r="P64" s="5" t="s">
        <v>318</v>
      </c>
      <c r="Q64" s="5" t="s">
        <v>71</v>
      </c>
      <c r="R64" s="5" t="s">
        <v>379</v>
      </c>
      <c r="S64" s="5" t="s">
        <v>799</v>
      </c>
      <c r="T64" s="5" t="s">
        <v>380</v>
      </c>
      <c r="U64" s="5" t="s">
        <v>800</v>
      </c>
      <c r="V64" s="8">
        <v>22</v>
      </c>
      <c r="W64" s="9">
        <v>31983</v>
      </c>
      <c r="X64" s="5" t="s">
        <v>35</v>
      </c>
      <c r="Y64" s="10">
        <v>100</v>
      </c>
      <c r="Z64" s="10">
        <v>18.18</v>
      </c>
      <c r="AA64" s="10">
        <v>18.18</v>
      </c>
      <c r="AB64" s="10">
        <v>269</v>
      </c>
      <c r="AC64" s="10">
        <v>1733</v>
      </c>
      <c r="AD64" s="10">
        <v>0</v>
      </c>
      <c r="AE64" s="11">
        <v>2002</v>
      </c>
      <c r="AF64" s="12" t="s">
        <v>133</v>
      </c>
      <c r="AG64" s="14" t="s">
        <v>173</v>
      </c>
      <c r="AH64" s="14" t="s">
        <v>72</v>
      </c>
      <c r="AI64" s="14" t="s">
        <v>49</v>
      </c>
      <c r="AJ64" s="14">
        <v>40000</v>
      </c>
      <c r="AK64" s="14">
        <v>35000</v>
      </c>
      <c r="AL64" s="13">
        <v>24</v>
      </c>
      <c r="AM64" s="13">
        <v>24</v>
      </c>
      <c r="AN64" s="14" t="s">
        <v>801</v>
      </c>
      <c r="AO64" s="14" t="s">
        <v>802</v>
      </c>
      <c r="AP64" s="14" t="s">
        <v>289</v>
      </c>
      <c r="AQ64" s="14">
        <v>202604</v>
      </c>
      <c r="AR64" s="14" t="s">
        <v>164</v>
      </c>
      <c r="AS64" s="14"/>
      <c r="AT64" s="12" t="s">
        <v>133</v>
      </c>
      <c r="AU64" s="14" t="s">
        <v>309</v>
      </c>
      <c r="AV64" s="14" t="s">
        <v>461</v>
      </c>
    </row>
    <row r="65" spans="1:49" x14ac:dyDescent="0.3">
      <c r="A65" s="5" t="s">
        <v>80</v>
      </c>
      <c r="B65" s="5" t="s">
        <v>31</v>
      </c>
      <c r="C65" s="5" t="s">
        <v>443</v>
      </c>
      <c r="D65" s="5" t="s">
        <v>81</v>
      </c>
      <c r="E65" s="6" t="s">
        <v>33</v>
      </c>
      <c r="F65" s="7">
        <v>1</v>
      </c>
      <c r="G65" s="5" t="s">
        <v>444</v>
      </c>
      <c r="H65" s="5" t="s">
        <v>803</v>
      </c>
      <c r="I65" s="5" t="s">
        <v>804</v>
      </c>
      <c r="J65" s="5" t="s">
        <v>34</v>
      </c>
      <c r="K65" s="5" t="s">
        <v>146</v>
      </c>
      <c r="L65" s="5" t="s">
        <v>237</v>
      </c>
      <c r="M65" s="5" t="s">
        <v>39</v>
      </c>
      <c r="N65" s="5" t="s">
        <v>56</v>
      </c>
      <c r="O65" s="6" t="s">
        <v>805</v>
      </c>
      <c r="P65" s="5" t="s">
        <v>806</v>
      </c>
      <c r="Q65" s="5"/>
      <c r="R65" s="5" t="s">
        <v>272</v>
      </c>
      <c r="S65" s="5" t="s">
        <v>807</v>
      </c>
      <c r="T65" s="5" t="s">
        <v>492</v>
      </c>
      <c r="U65" s="5" t="s">
        <v>363</v>
      </c>
      <c r="V65" s="8">
        <v>48</v>
      </c>
      <c r="W65" s="9">
        <v>41107</v>
      </c>
      <c r="X65" s="5" t="s">
        <v>35</v>
      </c>
      <c r="Y65" s="10">
        <v>100</v>
      </c>
      <c r="Z65" s="10">
        <v>27.72</v>
      </c>
      <c r="AA65" s="10">
        <v>27.72</v>
      </c>
      <c r="AB65" s="10">
        <v>136196</v>
      </c>
      <c r="AC65" s="10">
        <v>0</v>
      </c>
      <c r="AD65" s="10">
        <v>0</v>
      </c>
      <c r="AE65" s="11">
        <v>136196</v>
      </c>
      <c r="AF65" s="12" t="s">
        <v>147</v>
      </c>
      <c r="AG65" s="14" t="s">
        <v>128</v>
      </c>
      <c r="AH65" s="14" t="e">
        <v>#N/A</v>
      </c>
      <c r="AI65" s="14" t="s">
        <v>85</v>
      </c>
      <c r="AJ65" s="14">
        <v>50000</v>
      </c>
      <c r="AK65" s="14">
        <v>45000</v>
      </c>
      <c r="AL65" s="13">
        <v>54</v>
      </c>
      <c r="AM65" s="13">
        <v>51</v>
      </c>
      <c r="AN65" s="14" t="s">
        <v>348</v>
      </c>
      <c r="AO65" s="14" t="s">
        <v>86</v>
      </c>
      <c r="AP65" s="14" t="s">
        <v>37</v>
      </c>
      <c r="AQ65" s="14">
        <v>202604</v>
      </c>
      <c r="AR65" s="14" t="s">
        <v>152</v>
      </c>
      <c r="AS65" s="14" t="s">
        <v>163</v>
      </c>
      <c r="AT65" s="12" t="s">
        <v>163</v>
      </c>
      <c r="AU65" s="14" t="s">
        <v>309</v>
      </c>
      <c r="AV65" s="14" t="s">
        <v>461</v>
      </c>
      <c r="AW65"/>
    </row>
    <row r="66" spans="1:49" x14ac:dyDescent="0.3">
      <c r="A66" s="5" t="s">
        <v>80</v>
      </c>
      <c r="B66" s="5" t="s">
        <v>31</v>
      </c>
      <c r="C66" s="5" t="s">
        <v>443</v>
      </c>
      <c r="D66" s="5" t="s">
        <v>81</v>
      </c>
      <c r="E66" s="6" t="s">
        <v>33</v>
      </c>
      <c r="F66" s="7">
        <v>2</v>
      </c>
      <c r="G66" s="5" t="s">
        <v>444</v>
      </c>
      <c r="H66" s="5" t="s">
        <v>808</v>
      </c>
      <c r="I66" s="5" t="s">
        <v>809</v>
      </c>
      <c r="J66" s="5" t="s">
        <v>34</v>
      </c>
      <c r="K66" s="5" t="s">
        <v>218</v>
      </c>
      <c r="L66" s="5" t="s">
        <v>810</v>
      </c>
      <c r="M66" s="5" t="s">
        <v>39</v>
      </c>
      <c r="N66" s="5" t="s">
        <v>56</v>
      </c>
      <c r="O66" s="6" t="s">
        <v>811</v>
      </c>
      <c r="P66" s="5" t="s">
        <v>812</v>
      </c>
      <c r="Q66" s="5"/>
      <c r="R66" s="5" t="s">
        <v>194</v>
      </c>
      <c r="S66" s="5" t="s">
        <v>813</v>
      </c>
      <c r="T66" s="5" t="s">
        <v>702</v>
      </c>
      <c r="U66" s="5" t="s">
        <v>814</v>
      </c>
      <c r="V66" s="8">
        <v>58</v>
      </c>
      <c r="W66" s="9">
        <v>69407</v>
      </c>
      <c r="X66" s="5" t="s">
        <v>35</v>
      </c>
      <c r="Y66" s="10">
        <v>100</v>
      </c>
      <c r="Z66" s="10">
        <v>27.72</v>
      </c>
      <c r="AA66" s="10">
        <v>27.72</v>
      </c>
      <c r="AB66" s="10">
        <v>144680</v>
      </c>
      <c r="AC66" s="10">
        <v>1344</v>
      </c>
      <c r="AD66" s="10">
        <v>0</v>
      </c>
      <c r="AE66" s="11">
        <v>146024</v>
      </c>
      <c r="AF66" s="12" t="s">
        <v>815</v>
      </c>
      <c r="AG66" s="14" t="s">
        <v>247</v>
      </c>
      <c r="AH66" s="14" t="e">
        <v>#N/A</v>
      </c>
      <c r="AI66" s="14" t="s">
        <v>36</v>
      </c>
      <c r="AJ66" s="14">
        <v>70000</v>
      </c>
      <c r="AK66" s="14">
        <v>70000</v>
      </c>
      <c r="AL66" s="13">
        <v>60</v>
      </c>
      <c r="AM66" s="13">
        <v>60</v>
      </c>
      <c r="AN66" s="14" t="s">
        <v>816</v>
      </c>
      <c r="AO66" s="14" t="s">
        <v>86</v>
      </c>
      <c r="AP66" s="14" t="s">
        <v>37</v>
      </c>
      <c r="AQ66" s="14">
        <v>202604</v>
      </c>
      <c r="AR66" s="14" t="s">
        <v>152</v>
      </c>
      <c r="AS66" s="14" t="s">
        <v>163</v>
      </c>
      <c r="AT66" s="12" t="s">
        <v>163</v>
      </c>
      <c r="AU66" s="14" t="s">
        <v>309</v>
      </c>
      <c r="AV66" s="14" t="s">
        <v>461</v>
      </c>
      <c r="AW66"/>
    </row>
    <row r="67" spans="1:49" x14ac:dyDescent="0.3">
      <c r="A67" s="5" t="s">
        <v>80</v>
      </c>
      <c r="B67" s="5" t="s">
        <v>31</v>
      </c>
      <c r="C67" s="5" t="s">
        <v>443</v>
      </c>
      <c r="D67" s="5" t="s">
        <v>81</v>
      </c>
      <c r="E67" s="6" t="s">
        <v>33</v>
      </c>
      <c r="F67" s="7">
        <v>3</v>
      </c>
      <c r="G67" s="5" t="s">
        <v>444</v>
      </c>
      <c r="H67" s="5" t="s">
        <v>817</v>
      </c>
      <c r="I67" s="5" t="s">
        <v>818</v>
      </c>
      <c r="J67" s="5" t="s">
        <v>345</v>
      </c>
      <c r="K67" s="5" t="s">
        <v>82</v>
      </c>
      <c r="L67" s="5" t="s">
        <v>819</v>
      </c>
      <c r="M67" s="5" t="s">
        <v>820</v>
      </c>
      <c r="N67" s="5" t="s">
        <v>56</v>
      </c>
      <c r="O67" s="6" t="s">
        <v>821</v>
      </c>
      <c r="P67" s="5" t="s">
        <v>346</v>
      </c>
      <c r="Q67" s="5"/>
      <c r="R67" s="5" t="s">
        <v>144</v>
      </c>
      <c r="S67" s="5" t="s">
        <v>324</v>
      </c>
      <c r="T67" s="5" t="s">
        <v>670</v>
      </c>
      <c r="U67" s="5" t="s">
        <v>822</v>
      </c>
      <c r="V67" s="8">
        <v>30</v>
      </c>
      <c r="W67" s="9">
        <v>62942</v>
      </c>
      <c r="X67" s="5" t="s">
        <v>35</v>
      </c>
      <c r="Y67" s="10">
        <v>100</v>
      </c>
      <c r="Z67" s="10">
        <v>27.72</v>
      </c>
      <c r="AA67" s="10">
        <v>27.72</v>
      </c>
      <c r="AB67" s="10">
        <v>176806</v>
      </c>
      <c r="AC67" s="10">
        <v>0</v>
      </c>
      <c r="AD67" s="10">
        <v>0</v>
      </c>
      <c r="AE67" s="11">
        <v>176806</v>
      </c>
      <c r="AF67" s="12" t="s">
        <v>823</v>
      </c>
      <c r="AG67" s="14" t="s">
        <v>162</v>
      </c>
      <c r="AH67" s="14" t="e">
        <v>#N/A</v>
      </c>
      <c r="AI67" s="14" t="s">
        <v>36</v>
      </c>
      <c r="AJ67" s="14">
        <v>70000</v>
      </c>
      <c r="AK67" s="14">
        <v>65000</v>
      </c>
      <c r="AL67" s="13">
        <v>36</v>
      </c>
      <c r="AM67" s="13">
        <v>33</v>
      </c>
      <c r="AN67" s="14" t="s">
        <v>348</v>
      </c>
      <c r="AO67" s="14" t="s">
        <v>86</v>
      </c>
      <c r="AP67" s="14" t="s">
        <v>37</v>
      </c>
      <c r="AQ67" s="14">
        <v>202604</v>
      </c>
      <c r="AR67" s="14" t="s">
        <v>152</v>
      </c>
      <c r="AS67" s="19" t="s">
        <v>165</v>
      </c>
      <c r="AT67" s="19" t="s">
        <v>165</v>
      </c>
      <c r="AU67" s="14" t="s">
        <v>309</v>
      </c>
      <c r="AV67" s="14" t="s">
        <v>461</v>
      </c>
      <c r="AW67"/>
    </row>
    <row r="68" spans="1:49" x14ac:dyDescent="0.3">
      <c r="A68" s="5" t="s">
        <v>80</v>
      </c>
      <c r="B68" s="5" t="s">
        <v>31</v>
      </c>
      <c r="C68" s="5" t="s">
        <v>443</v>
      </c>
      <c r="D68" s="5" t="s">
        <v>81</v>
      </c>
      <c r="E68" s="6" t="s">
        <v>33</v>
      </c>
      <c r="F68" s="7">
        <v>4</v>
      </c>
      <c r="G68" s="5" t="s">
        <v>444</v>
      </c>
      <c r="H68" s="5" t="s">
        <v>824</v>
      </c>
      <c r="I68" s="5" t="s">
        <v>818</v>
      </c>
      <c r="J68" s="5" t="s">
        <v>34</v>
      </c>
      <c r="K68" s="5" t="s">
        <v>82</v>
      </c>
      <c r="L68" s="5" t="s">
        <v>819</v>
      </c>
      <c r="M68" s="5" t="s">
        <v>820</v>
      </c>
      <c r="N68" s="5" t="s">
        <v>56</v>
      </c>
      <c r="O68" s="6" t="s">
        <v>821</v>
      </c>
      <c r="P68" s="5" t="s">
        <v>343</v>
      </c>
      <c r="Q68" s="5" t="s">
        <v>64</v>
      </c>
      <c r="R68" s="5" t="s">
        <v>144</v>
      </c>
      <c r="S68" s="5" t="s">
        <v>324</v>
      </c>
      <c r="T68" s="5" t="s">
        <v>670</v>
      </c>
      <c r="U68" s="5" t="s">
        <v>822</v>
      </c>
      <c r="V68" s="8">
        <v>30</v>
      </c>
      <c r="W68" s="9">
        <v>62942</v>
      </c>
      <c r="X68" s="5" t="s">
        <v>35</v>
      </c>
      <c r="Y68" s="10">
        <v>100</v>
      </c>
      <c r="Z68" s="10">
        <v>27.72</v>
      </c>
      <c r="AA68" s="10">
        <v>27.72</v>
      </c>
      <c r="AB68" s="10">
        <v>0</v>
      </c>
      <c r="AC68" s="10">
        <v>6930</v>
      </c>
      <c r="AD68" s="10">
        <v>0</v>
      </c>
      <c r="AE68" s="11">
        <v>6930</v>
      </c>
      <c r="AF68" s="12" t="s">
        <v>823</v>
      </c>
      <c r="AG68" s="14" t="s">
        <v>162</v>
      </c>
      <c r="AH68" s="14" t="s">
        <v>65</v>
      </c>
      <c r="AI68" s="14" t="s">
        <v>36</v>
      </c>
      <c r="AJ68" s="14">
        <v>70000</v>
      </c>
      <c r="AK68" s="14">
        <v>65000</v>
      </c>
      <c r="AL68" s="13">
        <v>36</v>
      </c>
      <c r="AM68" s="13">
        <v>33</v>
      </c>
      <c r="AN68" s="14" t="s">
        <v>344</v>
      </c>
      <c r="AO68" s="14" t="s">
        <v>86</v>
      </c>
      <c r="AP68" s="14" t="s">
        <v>37</v>
      </c>
      <c r="AQ68" s="14">
        <v>202604</v>
      </c>
      <c r="AR68" s="14" t="s">
        <v>152</v>
      </c>
      <c r="AS68" s="19" t="s">
        <v>165</v>
      </c>
      <c r="AT68" s="19" t="s">
        <v>165</v>
      </c>
      <c r="AU68" s="14" t="s">
        <v>309</v>
      </c>
      <c r="AV68" s="14" t="s">
        <v>461</v>
      </c>
      <c r="AW68"/>
    </row>
    <row r="69" spans="1:49" x14ac:dyDescent="0.3">
      <c r="A69" s="5" t="s">
        <v>80</v>
      </c>
      <c r="B69" s="5" t="s">
        <v>31</v>
      </c>
      <c r="C69" s="5" t="s">
        <v>443</v>
      </c>
      <c r="D69" s="5" t="s">
        <v>81</v>
      </c>
      <c r="E69" s="6" t="s">
        <v>33</v>
      </c>
      <c r="F69" s="7">
        <v>5</v>
      </c>
      <c r="G69" s="5" t="s">
        <v>444</v>
      </c>
      <c r="H69" s="5" t="s">
        <v>825</v>
      </c>
      <c r="I69" s="5" t="s">
        <v>818</v>
      </c>
      <c r="J69" s="5" t="s">
        <v>34</v>
      </c>
      <c r="K69" s="5" t="s">
        <v>82</v>
      </c>
      <c r="L69" s="5" t="s">
        <v>819</v>
      </c>
      <c r="M69" s="5" t="s">
        <v>820</v>
      </c>
      <c r="N69" s="5" t="s">
        <v>56</v>
      </c>
      <c r="O69" s="6" t="s">
        <v>821</v>
      </c>
      <c r="P69" s="5" t="s">
        <v>826</v>
      </c>
      <c r="Q69" s="5"/>
      <c r="R69" s="5" t="s">
        <v>144</v>
      </c>
      <c r="S69" s="5" t="s">
        <v>324</v>
      </c>
      <c r="T69" s="5" t="s">
        <v>670</v>
      </c>
      <c r="U69" s="5" t="s">
        <v>822</v>
      </c>
      <c r="V69" s="8">
        <v>30</v>
      </c>
      <c r="W69" s="9">
        <v>62942</v>
      </c>
      <c r="X69" s="5" t="s">
        <v>35</v>
      </c>
      <c r="Y69" s="10">
        <v>100</v>
      </c>
      <c r="Z69" s="10">
        <v>27.72</v>
      </c>
      <c r="AA69" s="10">
        <v>27.72</v>
      </c>
      <c r="AB69" s="10">
        <v>15236</v>
      </c>
      <c r="AC69" s="10">
        <v>66847</v>
      </c>
      <c r="AD69" s="10">
        <v>0</v>
      </c>
      <c r="AE69" s="11">
        <v>82083</v>
      </c>
      <c r="AF69" s="12" t="s">
        <v>823</v>
      </c>
      <c r="AG69" s="14" t="s">
        <v>162</v>
      </c>
      <c r="AH69" s="14" t="e">
        <v>#N/A</v>
      </c>
      <c r="AI69" s="14" t="s">
        <v>36</v>
      </c>
      <c r="AJ69" s="14">
        <v>70000</v>
      </c>
      <c r="AK69" s="14">
        <v>65000</v>
      </c>
      <c r="AL69" s="13">
        <v>36</v>
      </c>
      <c r="AM69" s="13">
        <v>33</v>
      </c>
      <c r="AN69" s="14" t="s">
        <v>348</v>
      </c>
      <c r="AO69" s="14" t="s">
        <v>86</v>
      </c>
      <c r="AP69" s="14" t="s">
        <v>37</v>
      </c>
      <c r="AQ69" s="14">
        <v>202604</v>
      </c>
      <c r="AR69" s="14" t="s">
        <v>152</v>
      </c>
      <c r="AS69" s="19" t="s">
        <v>165</v>
      </c>
      <c r="AT69" s="19" t="s">
        <v>165</v>
      </c>
      <c r="AU69" s="14" t="s">
        <v>309</v>
      </c>
      <c r="AV69" s="14" t="s">
        <v>461</v>
      </c>
      <c r="AW69"/>
    </row>
    <row r="70" spans="1:49" x14ac:dyDescent="0.3">
      <c r="A70" s="5" t="s">
        <v>80</v>
      </c>
      <c r="B70" s="5" t="s">
        <v>54</v>
      </c>
      <c r="C70" s="5" t="s">
        <v>443</v>
      </c>
      <c r="D70" s="5" t="s">
        <v>81</v>
      </c>
      <c r="E70" s="6" t="s">
        <v>33</v>
      </c>
      <c r="F70" s="7">
        <v>1</v>
      </c>
      <c r="G70" s="5" t="s">
        <v>444</v>
      </c>
      <c r="H70" s="5" t="s">
        <v>827</v>
      </c>
      <c r="I70" s="5" t="s">
        <v>828</v>
      </c>
      <c r="J70" s="5" t="s">
        <v>34</v>
      </c>
      <c r="K70" s="5" t="s">
        <v>261</v>
      </c>
      <c r="L70" s="5" t="s">
        <v>271</v>
      </c>
      <c r="M70" s="5" t="s">
        <v>39</v>
      </c>
      <c r="N70" s="5" t="s">
        <v>596</v>
      </c>
      <c r="O70" s="6" t="s">
        <v>829</v>
      </c>
      <c r="P70" s="5" t="s">
        <v>410</v>
      </c>
      <c r="Q70" s="5" t="s">
        <v>64</v>
      </c>
      <c r="R70" s="5" t="s">
        <v>79</v>
      </c>
      <c r="S70" s="5" t="s">
        <v>830</v>
      </c>
      <c r="T70" s="5" t="s">
        <v>325</v>
      </c>
      <c r="U70" s="5" t="s">
        <v>294</v>
      </c>
      <c r="V70" s="8">
        <v>13</v>
      </c>
      <c r="W70" s="9">
        <v>6508</v>
      </c>
      <c r="X70" s="5" t="s">
        <v>35</v>
      </c>
      <c r="Y70" s="10">
        <v>100</v>
      </c>
      <c r="Z70" s="10">
        <v>19.8</v>
      </c>
      <c r="AA70" s="10">
        <v>19.8</v>
      </c>
      <c r="AB70" s="10">
        <v>105815</v>
      </c>
      <c r="AC70" s="10">
        <v>50773</v>
      </c>
      <c r="AD70" s="10">
        <v>0</v>
      </c>
      <c r="AE70" s="11">
        <v>156588</v>
      </c>
      <c r="AF70" s="12" t="s">
        <v>262</v>
      </c>
      <c r="AG70" s="14" t="s">
        <v>252</v>
      </c>
      <c r="AH70" s="14" t="s">
        <v>65</v>
      </c>
      <c r="AI70" s="14" t="s">
        <v>45</v>
      </c>
      <c r="AJ70" s="14">
        <v>10000</v>
      </c>
      <c r="AK70" s="14">
        <v>10000</v>
      </c>
      <c r="AL70" s="13">
        <v>18</v>
      </c>
      <c r="AM70" s="13">
        <v>15</v>
      </c>
      <c r="AN70" s="14" t="s">
        <v>104</v>
      </c>
      <c r="AO70" s="14" t="s">
        <v>105</v>
      </c>
      <c r="AP70" s="14" t="s">
        <v>37</v>
      </c>
      <c r="AQ70" s="14">
        <v>202604</v>
      </c>
      <c r="AR70" s="14" t="s">
        <v>152</v>
      </c>
      <c r="AS70" s="14" t="s">
        <v>180</v>
      </c>
      <c r="AT70" s="14" t="s">
        <v>180</v>
      </c>
      <c r="AU70" s="14" t="s">
        <v>309</v>
      </c>
      <c r="AV70" s="14" t="s">
        <v>461</v>
      </c>
      <c r="AW70"/>
    </row>
    <row r="71" spans="1:49" x14ac:dyDescent="0.3">
      <c r="A71" s="5" t="s">
        <v>80</v>
      </c>
      <c r="B71" s="5" t="s">
        <v>54</v>
      </c>
      <c r="C71" s="5" t="s">
        <v>443</v>
      </c>
      <c r="D71" s="5" t="s">
        <v>81</v>
      </c>
      <c r="E71" s="6" t="s">
        <v>33</v>
      </c>
      <c r="F71" s="7">
        <v>2</v>
      </c>
      <c r="G71" s="5" t="s">
        <v>444</v>
      </c>
      <c r="H71" s="5" t="s">
        <v>831</v>
      </c>
      <c r="I71" s="5" t="s">
        <v>832</v>
      </c>
      <c r="J71" s="5" t="s">
        <v>34</v>
      </c>
      <c r="K71" s="5" t="s">
        <v>199</v>
      </c>
      <c r="L71" s="5" t="s">
        <v>219</v>
      </c>
      <c r="M71" s="5" t="s">
        <v>39</v>
      </c>
      <c r="N71" s="5" t="s">
        <v>596</v>
      </c>
      <c r="O71" s="6" t="s">
        <v>833</v>
      </c>
      <c r="P71" s="5" t="s">
        <v>129</v>
      </c>
      <c r="Q71" s="5" t="s">
        <v>64</v>
      </c>
      <c r="R71" s="5" t="s">
        <v>144</v>
      </c>
      <c r="S71" s="5" t="s">
        <v>263</v>
      </c>
      <c r="T71" s="5" t="s">
        <v>315</v>
      </c>
      <c r="U71" s="5" t="s">
        <v>834</v>
      </c>
      <c r="V71" s="8">
        <v>34</v>
      </c>
      <c r="W71" s="9">
        <v>20516</v>
      </c>
      <c r="X71" s="5" t="s">
        <v>35</v>
      </c>
      <c r="Y71" s="10">
        <v>100</v>
      </c>
      <c r="Z71" s="10">
        <v>19.8</v>
      </c>
      <c r="AA71" s="10">
        <v>19.8</v>
      </c>
      <c r="AB71" s="10">
        <v>137070</v>
      </c>
      <c r="AC71" s="10">
        <v>54846</v>
      </c>
      <c r="AD71" s="10">
        <v>0</v>
      </c>
      <c r="AE71" s="11">
        <v>191916</v>
      </c>
      <c r="AF71" s="12" t="s">
        <v>200</v>
      </c>
      <c r="AG71" s="14" t="s">
        <v>178</v>
      </c>
      <c r="AH71" s="14" t="s">
        <v>65</v>
      </c>
      <c r="AI71" s="14" t="s">
        <v>36</v>
      </c>
      <c r="AJ71" s="14">
        <v>30000</v>
      </c>
      <c r="AK71" s="14">
        <v>25000</v>
      </c>
      <c r="AL71" s="13">
        <v>36</v>
      </c>
      <c r="AM71" s="13">
        <v>36</v>
      </c>
      <c r="AN71" s="14" t="s">
        <v>75</v>
      </c>
      <c r="AO71" s="14" t="s">
        <v>76</v>
      </c>
      <c r="AP71" s="14" t="s">
        <v>37</v>
      </c>
      <c r="AQ71" s="14">
        <v>202604</v>
      </c>
      <c r="AR71" s="14" t="s">
        <v>152</v>
      </c>
      <c r="AS71" s="14" t="s">
        <v>180</v>
      </c>
      <c r="AT71" s="14" t="s">
        <v>180</v>
      </c>
      <c r="AU71" s="14" t="s">
        <v>309</v>
      </c>
      <c r="AV71" s="14" t="s">
        <v>461</v>
      </c>
      <c r="AW71"/>
    </row>
    <row r="72" spans="1:49" x14ac:dyDescent="0.3">
      <c r="A72" s="5" t="s">
        <v>80</v>
      </c>
      <c r="B72" s="5" t="s">
        <v>54</v>
      </c>
      <c r="C72" s="5" t="s">
        <v>443</v>
      </c>
      <c r="D72" s="5" t="s">
        <v>81</v>
      </c>
      <c r="E72" s="6" t="s">
        <v>33</v>
      </c>
      <c r="F72" s="7">
        <v>3</v>
      </c>
      <c r="G72" s="5" t="s">
        <v>444</v>
      </c>
      <c r="H72" s="5" t="s">
        <v>835</v>
      </c>
      <c r="I72" s="5" t="s">
        <v>836</v>
      </c>
      <c r="J72" s="5" t="s">
        <v>34</v>
      </c>
      <c r="K72" s="5" t="s">
        <v>38</v>
      </c>
      <c r="L72" s="5" t="s">
        <v>90</v>
      </c>
      <c r="M72" s="5" t="s">
        <v>84</v>
      </c>
      <c r="N72" s="5" t="s">
        <v>56</v>
      </c>
      <c r="O72" s="6" t="s">
        <v>837</v>
      </c>
      <c r="P72" s="5" t="s">
        <v>220</v>
      </c>
      <c r="Q72" s="5" t="s">
        <v>64</v>
      </c>
      <c r="R72" s="5" t="s">
        <v>144</v>
      </c>
      <c r="S72" s="5" t="s">
        <v>838</v>
      </c>
      <c r="T72" s="5" t="s">
        <v>367</v>
      </c>
      <c r="U72" s="5" t="s">
        <v>413</v>
      </c>
      <c r="V72" s="8">
        <v>36</v>
      </c>
      <c r="W72" s="9">
        <v>46612</v>
      </c>
      <c r="X72" s="5" t="s">
        <v>35</v>
      </c>
      <c r="Y72" s="10">
        <v>100</v>
      </c>
      <c r="Z72" s="10">
        <v>19.8</v>
      </c>
      <c r="AA72" s="10">
        <v>19.8</v>
      </c>
      <c r="AB72" s="10">
        <v>154252</v>
      </c>
      <c r="AC72" s="10">
        <v>177263</v>
      </c>
      <c r="AD72" s="10">
        <v>0</v>
      </c>
      <c r="AE72" s="11">
        <v>331515</v>
      </c>
      <c r="AF72" s="12" t="s">
        <v>41</v>
      </c>
      <c r="AG72" s="14" t="s">
        <v>368</v>
      </c>
      <c r="AH72" s="14" t="s">
        <v>65</v>
      </c>
      <c r="AI72" s="14" t="s">
        <v>36</v>
      </c>
      <c r="AJ72" s="14">
        <v>50000</v>
      </c>
      <c r="AK72" s="14">
        <v>50000</v>
      </c>
      <c r="AL72" s="13">
        <v>42</v>
      </c>
      <c r="AM72" s="13">
        <v>39</v>
      </c>
      <c r="AN72" s="14" t="s">
        <v>75</v>
      </c>
      <c r="AO72" s="14" t="s">
        <v>76</v>
      </c>
      <c r="AP72" s="14" t="s">
        <v>37</v>
      </c>
      <c r="AQ72" s="14">
        <v>202604</v>
      </c>
      <c r="AR72" s="14" t="s">
        <v>152</v>
      </c>
      <c r="AS72" s="19" t="s">
        <v>165</v>
      </c>
      <c r="AT72" s="19" t="s">
        <v>165</v>
      </c>
      <c r="AU72" s="14" t="s">
        <v>309</v>
      </c>
      <c r="AV72" s="14" t="s">
        <v>461</v>
      </c>
      <c r="AW72"/>
    </row>
    <row r="73" spans="1:49" x14ac:dyDescent="0.3">
      <c r="A73" s="5" t="s">
        <v>80</v>
      </c>
      <c r="B73" s="5" t="s">
        <v>54</v>
      </c>
      <c r="C73" s="5" t="s">
        <v>443</v>
      </c>
      <c r="D73" s="5" t="s">
        <v>81</v>
      </c>
      <c r="E73" s="6" t="s">
        <v>33</v>
      </c>
      <c r="F73" s="7">
        <v>4</v>
      </c>
      <c r="G73" s="5" t="s">
        <v>444</v>
      </c>
      <c r="H73" s="5" t="s">
        <v>839</v>
      </c>
      <c r="I73" s="5" t="s">
        <v>840</v>
      </c>
      <c r="J73" s="5" t="s">
        <v>34</v>
      </c>
      <c r="K73" s="5" t="s">
        <v>841</v>
      </c>
      <c r="L73" s="5" t="s">
        <v>842</v>
      </c>
      <c r="M73" s="5" t="s">
        <v>843</v>
      </c>
      <c r="N73" s="5" t="s">
        <v>56</v>
      </c>
      <c r="O73" s="6" t="s">
        <v>844</v>
      </c>
      <c r="P73" s="5" t="s">
        <v>845</v>
      </c>
      <c r="Q73" s="5" t="s">
        <v>64</v>
      </c>
      <c r="R73" s="5" t="s">
        <v>79</v>
      </c>
      <c r="S73" s="5" t="s">
        <v>347</v>
      </c>
      <c r="T73" s="5" t="s">
        <v>310</v>
      </c>
      <c r="U73" s="5" t="s">
        <v>377</v>
      </c>
      <c r="V73" s="8">
        <v>12</v>
      </c>
      <c r="W73" s="9">
        <v>14385</v>
      </c>
      <c r="X73" s="5" t="s">
        <v>35</v>
      </c>
      <c r="Y73" s="10">
        <v>100</v>
      </c>
      <c r="Z73" s="10">
        <v>19.8</v>
      </c>
      <c r="AA73" s="10">
        <v>19.8</v>
      </c>
      <c r="AB73" s="10">
        <v>261936</v>
      </c>
      <c r="AC73" s="10">
        <v>7881</v>
      </c>
      <c r="AD73" s="10">
        <v>0</v>
      </c>
      <c r="AE73" s="11">
        <v>269817</v>
      </c>
      <c r="AF73" s="12" t="s">
        <v>846</v>
      </c>
      <c r="AG73" s="14" t="s">
        <v>238</v>
      </c>
      <c r="AH73" s="14" t="s">
        <v>65</v>
      </c>
      <c r="AI73" s="14" t="s">
        <v>45</v>
      </c>
      <c r="AJ73" s="14">
        <v>20000</v>
      </c>
      <c r="AK73" s="14">
        <v>15000</v>
      </c>
      <c r="AL73" s="13">
        <v>18</v>
      </c>
      <c r="AM73" s="13">
        <v>15</v>
      </c>
      <c r="AN73" s="14" t="s">
        <v>847</v>
      </c>
      <c r="AO73" s="14" t="s">
        <v>848</v>
      </c>
      <c r="AP73" s="14" t="s">
        <v>849</v>
      </c>
      <c r="AQ73" s="14">
        <v>202604</v>
      </c>
      <c r="AR73" s="14" t="s">
        <v>850</v>
      </c>
      <c r="AS73" s="30" t="s">
        <v>851</v>
      </c>
      <c r="AT73" s="30" t="s">
        <v>851</v>
      </c>
      <c r="AU73" s="14" t="s">
        <v>309</v>
      </c>
      <c r="AV73" s="14" t="s">
        <v>461</v>
      </c>
      <c r="AW73"/>
    </row>
    <row r="74" spans="1:49" x14ac:dyDescent="0.3">
      <c r="A74" s="5" t="s">
        <v>80</v>
      </c>
      <c r="B74" s="5" t="s">
        <v>54</v>
      </c>
      <c r="C74" s="5" t="s">
        <v>443</v>
      </c>
      <c r="D74" s="5" t="s">
        <v>81</v>
      </c>
      <c r="E74" s="6" t="s">
        <v>33</v>
      </c>
      <c r="F74" s="7">
        <v>5</v>
      </c>
      <c r="G74" s="5" t="s">
        <v>444</v>
      </c>
      <c r="H74" s="5" t="s">
        <v>852</v>
      </c>
      <c r="I74" s="5" t="s">
        <v>853</v>
      </c>
      <c r="J74" s="5" t="s">
        <v>34</v>
      </c>
      <c r="K74" s="5" t="s">
        <v>841</v>
      </c>
      <c r="L74" s="5" t="s">
        <v>842</v>
      </c>
      <c r="M74" s="5" t="s">
        <v>843</v>
      </c>
      <c r="N74" s="5" t="s">
        <v>56</v>
      </c>
      <c r="O74" s="6" t="s">
        <v>854</v>
      </c>
      <c r="P74" s="5" t="s">
        <v>845</v>
      </c>
      <c r="Q74" s="5" t="s">
        <v>64</v>
      </c>
      <c r="R74" s="5" t="s">
        <v>79</v>
      </c>
      <c r="S74" s="5" t="s">
        <v>855</v>
      </c>
      <c r="T74" s="5" t="s">
        <v>856</v>
      </c>
      <c r="U74" s="5" t="s">
        <v>857</v>
      </c>
      <c r="V74" s="8">
        <v>8</v>
      </c>
      <c r="W74" s="9">
        <v>375</v>
      </c>
      <c r="X74" s="5" t="s">
        <v>35</v>
      </c>
      <c r="Y74" s="10">
        <v>100</v>
      </c>
      <c r="Z74" s="10">
        <v>19.8</v>
      </c>
      <c r="AA74" s="10">
        <v>19.8</v>
      </c>
      <c r="AB74" s="10">
        <v>261936</v>
      </c>
      <c r="AC74" s="10">
        <v>7881</v>
      </c>
      <c r="AD74" s="10">
        <v>0</v>
      </c>
      <c r="AE74" s="11">
        <v>269817</v>
      </c>
      <c r="AF74" s="12" t="s">
        <v>846</v>
      </c>
      <c r="AG74" s="14" t="s">
        <v>391</v>
      </c>
      <c r="AH74" s="14" t="s">
        <v>65</v>
      </c>
      <c r="AI74" s="14" t="s">
        <v>45</v>
      </c>
      <c r="AJ74" s="14">
        <v>10000</v>
      </c>
      <c r="AK74" s="14">
        <v>5000</v>
      </c>
      <c r="AL74" s="13">
        <v>12</v>
      </c>
      <c r="AM74" s="13">
        <v>9</v>
      </c>
      <c r="AN74" s="14" t="s">
        <v>847</v>
      </c>
      <c r="AO74" s="14" t="s">
        <v>848</v>
      </c>
      <c r="AP74" s="14" t="s">
        <v>849</v>
      </c>
      <c r="AQ74" s="14">
        <v>202604</v>
      </c>
      <c r="AR74" s="14" t="s">
        <v>850</v>
      </c>
      <c r="AS74" s="30" t="s">
        <v>851</v>
      </c>
      <c r="AT74" s="30" t="s">
        <v>851</v>
      </c>
      <c r="AU74" s="14" t="s">
        <v>309</v>
      </c>
      <c r="AV74" s="14" t="s">
        <v>461</v>
      </c>
      <c r="AW74"/>
    </row>
    <row r="75" spans="1:49" x14ac:dyDescent="0.3">
      <c r="A75" s="5" t="s">
        <v>80</v>
      </c>
      <c r="B75" s="5" t="s">
        <v>54</v>
      </c>
      <c r="C75" s="5" t="s">
        <v>443</v>
      </c>
      <c r="D75" s="5" t="s">
        <v>81</v>
      </c>
      <c r="E75" s="6" t="s">
        <v>33</v>
      </c>
      <c r="F75" s="7">
        <v>6</v>
      </c>
      <c r="G75" s="5" t="s">
        <v>444</v>
      </c>
      <c r="H75" s="5" t="s">
        <v>858</v>
      </c>
      <c r="I75" s="5" t="s">
        <v>859</v>
      </c>
      <c r="J75" s="5" t="s">
        <v>34</v>
      </c>
      <c r="K75" s="5" t="s">
        <v>841</v>
      </c>
      <c r="L75" s="5" t="s">
        <v>842</v>
      </c>
      <c r="M75" s="5" t="s">
        <v>843</v>
      </c>
      <c r="N75" s="5" t="s">
        <v>56</v>
      </c>
      <c r="O75" s="6" t="s">
        <v>860</v>
      </c>
      <c r="P75" s="5" t="s">
        <v>845</v>
      </c>
      <c r="Q75" s="5" t="s">
        <v>64</v>
      </c>
      <c r="R75" s="5" t="s">
        <v>79</v>
      </c>
      <c r="S75" s="5" t="s">
        <v>861</v>
      </c>
      <c r="T75" s="5" t="s">
        <v>312</v>
      </c>
      <c r="U75" s="5" t="s">
        <v>758</v>
      </c>
      <c r="V75" s="8">
        <v>5</v>
      </c>
      <c r="W75" s="9">
        <v>3065</v>
      </c>
      <c r="X75" s="5" t="s">
        <v>35</v>
      </c>
      <c r="Y75" s="10">
        <v>100</v>
      </c>
      <c r="Z75" s="10">
        <v>19.8</v>
      </c>
      <c r="AA75" s="10">
        <v>19.8</v>
      </c>
      <c r="AB75" s="10">
        <v>261936</v>
      </c>
      <c r="AC75" s="10">
        <v>7881</v>
      </c>
      <c r="AD75" s="10">
        <v>0</v>
      </c>
      <c r="AE75" s="11">
        <v>269817</v>
      </c>
      <c r="AF75" s="12" t="s">
        <v>846</v>
      </c>
      <c r="AG75" s="14" t="s">
        <v>266</v>
      </c>
      <c r="AH75" s="14" t="s">
        <v>65</v>
      </c>
      <c r="AI75" s="14" t="s">
        <v>45</v>
      </c>
      <c r="AJ75" s="14">
        <v>10000</v>
      </c>
      <c r="AK75" s="14">
        <v>5000</v>
      </c>
      <c r="AL75" s="13">
        <v>6</v>
      </c>
      <c r="AM75" s="13">
        <v>6</v>
      </c>
      <c r="AN75" s="14" t="s">
        <v>847</v>
      </c>
      <c r="AO75" s="14" t="s">
        <v>848</v>
      </c>
      <c r="AP75" s="14" t="s">
        <v>849</v>
      </c>
      <c r="AQ75" s="14">
        <v>202604</v>
      </c>
      <c r="AR75" s="14" t="s">
        <v>850</v>
      </c>
      <c r="AS75" s="30" t="s">
        <v>851</v>
      </c>
      <c r="AT75" s="30" t="s">
        <v>851</v>
      </c>
      <c r="AU75" s="14" t="s">
        <v>309</v>
      </c>
      <c r="AV75" s="14" t="s">
        <v>461</v>
      </c>
      <c r="AW75"/>
    </row>
    <row r="76" spans="1:49" x14ac:dyDescent="0.3">
      <c r="A76" s="5" t="s">
        <v>150</v>
      </c>
      <c r="B76" s="5" t="s">
        <v>31</v>
      </c>
      <c r="C76" s="5" t="s">
        <v>443</v>
      </c>
      <c r="D76" s="5" t="s">
        <v>32</v>
      </c>
      <c r="E76" s="6" t="s">
        <v>33</v>
      </c>
      <c r="F76" s="5">
        <v>34</v>
      </c>
      <c r="G76" s="5" t="s">
        <v>444</v>
      </c>
      <c r="H76" s="5" t="s">
        <v>862</v>
      </c>
      <c r="I76" s="5" t="s">
        <v>863</v>
      </c>
      <c r="J76" s="5" t="s">
        <v>34</v>
      </c>
      <c r="K76" s="5" t="s">
        <v>60</v>
      </c>
      <c r="L76" s="5" t="s">
        <v>299</v>
      </c>
      <c r="M76" s="5" t="s">
        <v>39</v>
      </c>
      <c r="N76" s="5"/>
      <c r="O76" s="6"/>
      <c r="P76" s="5" t="s">
        <v>96</v>
      </c>
      <c r="Q76" s="5" t="s">
        <v>94</v>
      </c>
      <c r="R76" s="5" t="s">
        <v>272</v>
      </c>
      <c r="S76" s="31">
        <v>44484</v>
      </c>
      <c r="T76" s="31">
        <v>46134</v>
      </c>
      <c r="U76" s="31">
        <v>44517</v>
      </c>
      <c r="V76" s="8">
        <v>54</v>
      </c>
      <c r="W76" s="9">
        <v>47032</v>
      </c>
      <c r="X76" s="5"/>
      <c r="Y76" s="10">
        <v>100</v>
      </c>
      <c r="Z76" s="10">
        <v>25.44</v>
      </c>
      <c r="AA76" s="10">
        <v>25.44</v>
      </c>
      <c r="AB76" s="10">
        <v>110942</v>
      </c>
      <c r="AC76" s="10">
        <v>10304</v>
      </c>
      <c r="AD76" s="10">
        <v>0</v>
      </c>
      <c r="AE76" s="11">
        <v>121246</v>
      </c>
      <c r="AF76" s="12" t="s">
        <v>62</v>
      </c>
      <c r="AG76" s="14" t="s">
        <v>182</v>
      </c>
      <c r="AH76" s="14" t="e">
        <v>#N/A</v>
      </c>
      <c r="AI76" s="14" t="s">
        <v>85</v>
      </c>
      <c r="AJ76" s="14">
        <v>50000</v>
      </c>
      <c r="AK76" s="14">
        <v>50000</v>
      </c>
      <c r="AL76" s="13">
        <v>60</v>
      </c>
      <c r="AM76" s="13">
        <v>57</v>
      </c>
      <c r="AN76" s="14" t="s">
        <v>506</v>
      </c>
      <c r="AO76" s="14" t="s">
        <v>86</v>
      </c>
      <c r="AP76" s="14" t="s">
        <v>37</v>
      </c>
      <c r="AQ76" s="14">
        <v>202604</v>
      </c>
      <c r="AR76" s="20" t="s">
        <v>152</v>
      </c>
      <c r="AS76" s="14" t="s">
        <v>249</v>
      </c>
      <c r="AT76" s="14" t="s">
        <v>249</v>
      </c>
      <c r="AU76" s="14" t="s">
        <v>309</v>
      </c>
      <c r="AV76" s="14" t="s">
        <v>461</v>
      </c>
      <c r="AW76"/>
    </row>
    <row r="77" spans="1:49" x14ac:dyDescent="0.3">
      <c r="A77" s="5" t="s">
        <v>150</v>
      </c>
      <c r="B77" s="5" t="s">
        <v>54</v>
      </c>
      <c r="C77" s="5" t="s">
        <v>556</v>
      </c>
      <c r="D77" s="5" t="s">
        <v>32</v>
      </c>
      <c r="E77" s="6" t="s">
        <v>33</v>
      </c>
      <c r="F77" s="5">
        <v>81</v>
      </c>
      <c r="G77" s="5" t="s">
        <v>444</v>
      </c>
      <c r="H77" s="5" t="s">
        <v>864</v>
      </c>
      <c r="I77" s="5" t="s">
        <v>865</v>
      </c>
      <c r="J77" s="5" t="s">
        <v>34</v>
      </c>
      <c r="K77" s="5" t="s">
        <v>60</v>
      </c>
      <c r="L77" s="5" t="s">
        <v>201</v>
      </c>
      <c r="M77" s="5" t="s">
        <v>39</v>
      </c>
      <c r="N77" s="5"/>
      <c r="O77" s="6"/>
      <c r="P77" s="5" t="s">
        <v>96</v>
      </c>
      <c r="Q77" s="5" t="s">
        <v>64</v>
      </c>
      <c r="R77" s="5" t="s">
        <v>144</v>
      </c>
      <c r="S77" s="31">
        <v>44222</v>
      </c>
      <c r="T77" s="31">
        <v>46041</v>
      </c>
      <c r="U77" s="31">
        <v>44273</v>
      </c>
      <c r="V77" s="8">
        <v>59</v>
      </c>
      <c r="W77" s="9">
        <v>77826</v>
      </c>
      <c r="X77" s="5"/>
      <c r="Y77" s="10">
        <v>100</v>
      </c>
      <c r="Z77" s="10">
        <v>18.18</v>
      </c>
      <c r="AA77" s="10">
        <v>18.18</v>
      </c>
      <c r="AB77" s="10">
        <v>81810</v>
      </c>
      <c r="AC77" s="10">
        <v>16825</v>
      </c>
      <c r="AD77" s="10">
        <v>0</v>
      </c>
      <c r="AE77" s="11">
        <v>98635</v>
      </c>
      <c r="AF77" s="12" t="s">
        <v>62</v>
      </c>
      <c r="AG77" s="14" t="s">
        <v>212</v>
      </c>
      <c r="AH77" s="14" t="s">
        <v>65</v>
      </c>
      <c r="AI77" s="14" t="s">
        <v>36</v>
      </c>
      <c r="AJ77" s="14">
        <v>80000</v>
      </c>
      <c r="AK77" s="14">
        <v>80000</v>
      </c>
      <c r="AL77" s="13">
        <v>60</v>
      </c>
      <c r="AM77" s="13">
        <v>60</v>
      </c>
      <c r="AN77" s="14" t="s">
        <v>104</v>
      </c>
      <c r="AO77" s="14" t="s">
        <v>105</v>
      </c>
      <c r="AP77" s="14" t="s">
        <v>37</v>
      </c>
      <c r="AQ77" s="14">
        <v>202604</v>
      </c>
      <c r="AR77" s="20" t="s">
        <v>152</v>
      </c>
      <c r="AS77" s="14" t="s">
        <v>249</v>
      </c>
      <c r="AT77" s="14" t="s">
        <v>249</v>
      </c>
      <c r="AU77" s="14" t="s">
        <v>309</v>
      </c>
      <c r="AV77" s="14" t="s">
        <v>461</v>
      </c>
      <c r="AW77"/>
    </row>
    <row r="78" spans="1:49" x14ac:dyDescent="0.3">
      <c r="A78" s="5" t="s">
        <v>150</v>
      </c>
      <c r="B78" s="5" t="s">
        <v>54</v>
      </c>
      <c r="C78" s="5" t="s">
        <v>556</v>
      </c>
      <c r="D78" s="5" t="s">
        <v>32</v>
      </c>
      <c r="E78" s="6" t="s">
        <v>33</v>
      </c>
      <c r="F78" s="5">
        <v>82</v>
      </c>
      <c r="G78" s="5" t="s">
        <v>444</v>
      </c>
      <c r="H78" s="5" t="s">
        <v>866</v>
      </c>
      <c r="I78" s="5" t="s">
        <v>867</v>
      </c>
      <c r="J78" s="5" t="s">
        <v>34</v>
      </c>
      <c r="K78" s="5" t="s">
        <v>60</v>
      </c>
      <c r="L78" s="5" t="s">
        <v>201</v>
      </c>
      <c r="M78" s="5" t="s">
        <v>39</v>
      </c>
      <c r="N78" s="5"/>
      <c r="O78" s="6"/>
      <c r="P78" s="5" t="s">
        <v>204</v>
      </c>
      <c r="Q78" s="5" t="s">
        <v>64</v>
      </c>
      <c r="R78" s="5" t="s">
        <v>311</v>
      </c>
      <c r="S78" s="31">
        <v>44544</v>
      </c>
      <c r="T78" s="31">
        <v>46093</v>
      </c>
      <c r="U78" s="31">
        <v>44627</v>
      </c>
      <c r="V78" s="8">
        <v>49</v>
      </c>
      <c r="W78" s="9">
        <v>14301</v>
      </c>
      <c r="X78" s="5"/>
      <c r="Y78" s="10">
        <v>100</v>
      </c>
      <c r="Z78" s="10">
        <v>18.18</v>
      </c>
      <c r="AA78" s="10">
        <v>18.18</v>
      </c>
      <c r="AB78" s="10">
        <v>63864</v>
      </c>
      <c r="AC78" s="10">
        <v>19017</v>
      </c>
      <c r="AD78" s="10">
        <v>0</v>
      </c>
      <c r="AE78" s="11">
        <v>82881</v>
      </c>
      <c r="AF78" s="12" t="s">
        <v>62</v>
      </c>
      <c r="AG78" s="14" t="s">
        <v>127</v>
      </c>
      <c r="AH78" s="14" t="s">
        <v>65</v>
      </c>
      <c r="AI78" s="14" t="s">
        <v>45</v>
      </c>
      <c r="AJ78" s="14">
        <v>20000</v>
      </c>
      <c r="AK78" s="14">
        <v>15000</v>
      </c>
      <c r="AL78" s="13">
        <v>54</v>
      </c>
      <c r="AM78" s="13">
        <v>51</v>
      </c>
      <c r="AN78" s="14" t="s">
        <v>66</v>
      </c>
      <c r="AO78" s="14" t="s">
        <v>67</v>
      </c>
      <c r="AP78" s="14" t="s">
        <v>37</v>
      </c>
      <c r="AQ78" s="14">
        <v>202604</v>
      </c>
      <c r="AR78" s="20" t="s">
        <v>152</v>
      </c>
      <c r="AS78" s="14" t="s">
        <v>249</v>
      </c>
      <c r="AT78" s="14" t="s">
        <v>249</v>
      </c>
      <c r="AU78" s="14" t="s">
        <v>309</v>
      </c>
      <c r="AV78" s="14" t="s">
        <v>461</v>
      </c>
      <c r="AW78"/>
    </row>
    <row r="79" spans="1:49" x14ac:dyDescent="0.3">
      <c r="A79" s="5" t="s">
        <v>150</v>
      </c>
      <c r="B79" s="5" t="s">
        <v>54</v>
      </c>
      <c r="C79" s="5" t="s">
        <v>556</v>
      </c>
      <c r="D79" s="5" t="s">
        <v>32</v>
      </c>
      <c r="E79" s="6" t="s">
        <v>33</v>
      </c>
      <c r="F79" s="5">
        <v>83</v>
      </c>
      <c r="G79" s="5" t="s">
        <v>444</v>
      </c>
      <c r="H79" s="5" t="s">
        <v>868</v>
      </c>
      <c r="I79" s="5" t="s">
        <v>869</v>
      </c>
      <c r="J79" s="5" t="s">
        <v>34</v>
      </c>
      <c r="K79" s="5" t="s">
        <v>60</v>
      </c>
      <c r="L79" s="5" t="s">
        <v>201</v>
      </c>
      <c r="M79" s="5" t="s">
        <v>39</v>
      </c>
      <c r="N79" s="5"/>
      <c r="O79" s="6"/>
      <c r="P79" s="5" t="s">
        <v>204</v>
      </c>
      <c r="Q79" s="5" t="s">
        <v>64</v>
      </c>
      <c r="R79" s="5" t="s">
        <v>144</v>
      </c>
      <c r="S79" s="31">
        <v>44650</v>
      </c>
      <c r="T79" s="31">
        <v>46104</v>
      </c>
      <c r="U79" s="31">
        <v>44734</v>
      </c>
      <c r="V79" s="8">
        <v>46</v>
      </c>
      <c r="W79" s="9">
        <v>47336</v>
      </c>
      <c r="X79" s="5"/>
      <c r="Y79" s="10">
        <v>100</v>
      </c>
      <c r="Z79" s="10">
        <v>18.18</v>
      </c>
      <c r="AA79" s="10">
        <v>18.18</v>
      </c>
      <c r="AB79" s="10">
        <v>63424</v>
      </c>
      <c r="AC79" s="10">
        <v>21628</v>
      </c>
      <c r="AD79" s="10">
        <v>0</v>
      </c>
      <c r="AE79" s="11">
        <v>85052</v>
      </c>
      <c r="AF79" s="12" t="s">
        <v>62</v>
      </c>
      <c r="AG79" s="14" t="s">
        <v>505</v>
      </c>
      <c r="AH79" s="14" t="s">
        <v>65</v>
      </c>
      <c r="AI79" s="14" t="s">
        <v>36</v>
      </c>
      <c r="AJ79" s="14">
        <v>50000</v>
      </c>
      <c r="AK79" s="14">
        <v>50000</v>
      </c>
      <c r="AL79" s="13">
        <v>48</v>
      </c>
      <c r="AM79" s="13">
        <v>48</v>
      </c>
      <c r="AN79" s="14" t="s">
        <v>66</v>
      </c>
      <c r="AO79" s="14" t="s">
        <v>67</v>
      </c>
      <c r="AP79" s="14" t="s">
        <v>37</v>
      </c>
      <c r="AQ79" s="14">
        <v>202604</v>
      </c>
      <c r="AR79" s="20" t="s">
        <v>152</v>
      </c>
      <c r="AS79" s="14" t="s">
        <v>249</v>
      </c>
      <c r="AT79" s="14" t="s">
        <v>249</v>
      </c>
      <c r="AU79" s="14" t="s">
        <v>309</v>
      </c>
      <c r="AV79" s="14" t="s">
        <v>461</v>
      </c>
      <c r="AW79"/>
    </row>
    <row r="80" spans="1:49" x14ac:dyDescent="0.3">
      <c r="A80" s="5" t="s">
        <v>150</v>
      </c>
      <c r="B80" s="5" t="s">
        <v>54</v>
      </c>
      <c r="C80" s="5" t="s">
        <v>556</v>
      </c>
      <c r="D80" s="5" t="s">
        <v>32</v>
      </c>
      <c r="E80" s="6" t="s">
        <v>33</v>
      </c>
      <c r="F80" s="5">
        <v>84</v>
      </c>
      <c r="G80" s="5" t="s">
        <v>444</v>
      </c>
      <c r="H80" s="5" t="s">
        <v>870</v>
      </c>
      <c r="I80" s="5" t="s">
        <v>871</v>
      </c>
      <c r="J80" s="5" t="s">
        <v>34</v>
      </c>
      <c r="K80" s="5" t="s">
        <v>60</v>
      </c>
      <c r="L80" s="5" t="s">
        <v>201</v>
      </c>
      <c r="M80" s="5" t="s">
        <v>39</v>
      </c>
      <c r="N80" s="5"/>
      <c r="O80" s="6"/>
      <c r="P80" s="5" t="s">
        <v>96</v>
      </c>
      <c r="Q80" s="5" t="s">
        <v>64</v>
      </c>
      <c r="R80" s="5" t="s">
        <v>145</v>
      </c>
      <c r="S80" s="31">
        <v>44879</v>
      </c>
      <c r="T80" s="31">
        <v>46065</v>
      </c>
      <c r="U80" s="31">
        <v>44939</v>
      </c>
      <c r="V80" s="8">
        <v>37</v>
      </c>
      <c r="W80" s="9">
        <v>20082</v>
      </c>
      <c r="X80" s="5"/>
      <c r="Y80" s="10">
        <v>100</v>
      </c>
      <c r="Z80" s="10">
        <v>18.18</v>
      </c>
      <c r="AA80" s="10">
        <v>18.18</v>
      </c>
      <c r="AB80" s="10">
        <v>62619</v>
      </c>
      <c r="AC80" s="10">
        <v>26512</v>
      </c>
      <c r="AD80" s="10">
        <v>0</v>
      </c>
      <c r="AE80" s="11">
        <v>89131</v>
      </c>
      <c r="AF80" s="12" t="s">
        <v>62</v>
      </c>
      <c r="AG80" s="14" t="s">
        <v>140</v>
      </c>
      <c r="AH80" s="14" t="s">
        <v>65</v>
      </c>
      <c r="AI80" s="14" t="s">
        <v>36</v>
      </c>
      <c r="AJ80" s="14">
        <v>30000</v>
      </c>
      <c r="AK80" s="14">
        <v>25000</v>
      </c>
      <c r="AL80" s="13">
        <v>42</v>
      </c>
      <c r="AM80" s="13">
        <v>39</v>
      </c>
      <c r="AN80" s="14" t="s">
        <v>136</v>
      </c>
      <c r="AO80" s="14" t="s">
        <v>137</v>
      </c>
      <c r="AP80" s="14" t="s">
        <v>37</v>
      </c>
      <c r="AQ80" s="14">
        <v>202604</v>
      </c>
      <c r="AR80" s="20" t="s">
        <v>152</v>
      </c>
      <c r="AS80" s="14" t="s">
        <v>249</v>
      </c>
      <c r="AT80" s="14" t="s">
        <v>249</v>
      </c>
      <c r="AU80" s="14" t="s">
        <v>309</v>
      </c>
      <c r="AV80" s="14" t="s">
        <v>461</v>
      </c>
      <c r="AW80"/>
    </row>
    <row r="81" spans="1:49" x14ac:dyDescent="0.3">
      <c r="A81" s="5" t="s">
        <v>150</v>
      </c>
      <c r="B81" s="5" t="s">
        <v>54</v>
      </c>
      <c r="C81" s="5" t="s">
        <v>556</v>
      </c>
      <c r="D81" s="5" t="s">
        <v>32</v>
      </c>
      <c r="E81" s="6" t="s">
        <v>33</v>
      </c>
      <c r="F81" s="5">
        <v>85</v>
      </c>
      <c r="G81" s="5" t="s">
        <v>444</v>
      </c>
      <c r="H81" s="5" t="s">
        <v>872</v>
      </c>
      <c r="I81" s="5" t="s">
        <v>873</v>
      </c>
      <c r="J81" s="5" t="s">
        <v>34</v>
      </c>
      <c r="K81" s="5" t="s">
        <v>60</v>
      </c>
      <c r="L81" s="5" t="s">
        <v>201</v>
      </c>
      <c r="M81" s="5" t="s">
        <v>39</v>
      </c>
      <c r="N81" s="5"/>
      <c r="O81" s="6"/>
      <c r="P81" s="5" t="s">
        <v>96</v>
      </c>
      <c r="Q81" s="5" t="s">
        <v>64</v>
      </c>
      <c r="R81" s="5" t="s">
        <v>144</v>
      </c>
      <c r="S81" s="31">
        <v>45787</v>
      </c>
      <c r="T81" s="31">
        <v>46043</v>
      </c>
      <c r="U81" s="31">
        <v>45902</v>
      </c>
      <c r="V81" s="8">
        <v>5</v>
      </c>
      <c r="W81" s="9">
        <v>2918</v>
      </c>
      <c r="X81" s="5"/>
      <c r="Y81" s="10">
        <v>100</v>
      </c>
      <c r="Z81" s="10">
        <v>18.18</v>
      </c>
      <c r="AA81" s="10">
        <v>18.18</v>
      </c>
      <c r="AB81" s="10">
        <v>66638</v>
      </c>
      <c r="AC81" s="10">
        <v>26069</v>
      </c>
      <c r="AD81" s="10">
        <v>0</v>
      </c>
      <c r="AE81" s="11">
        <v>92707</v>
      </c>
      <c r="AF81" s="12" t="s">
        <v>62</v>
      </c>
      <c r="AG81" s="14" t="s">
        <v>398</v>
      </c>
      <c r="AH81" s="14" t="s">
        <v>65</v>
      </c>
      <c r="AI81" s="14" t="s">
        <v>36</v>
      </c>
      <c r="AJ81" s="14">
        <v>10000</v>
      </c>
      <c r="AK81" s="14">
        <v>5000</v>
      </c>
      <c r="AL81" s="13">
        <v>6</v>
      </c>
      <c r="AM81" s="13">
        <v>6</v>
      </c>
      <c r="AN81" s="14" t="s">
        <v>104</v>
      </c>
      <c r="AO81" s="14" t="s">
        <v>105</v>
      </c>
      <c r="AP81" s="14" t="s">
        <v>37</v>
      </c>
      <c r="AQ81" s="14">
        <v>202604</v>
      </c>
      <c r="AR81" s="20" t="s">
        <v>152</v>
      </c>
      <c r="AS81" s="14" t="s">
        <v>249</v>
      </c>
      <c r="AT81" s="14" t="s">
        <v>249</v>
      </c>
      <c r="AU81" s="14" t="s">
        <v>309</v>
      </c>
      <c r="AV81" s="14" t="s">
        <v>461</v>
      </c>
      <c r="AW81"/>
    </row>
    <row r="82" spans="1:49" x14ac:dyDescent="0.3">
      <c r="A82" s="5" t="s">
        <v>150</v>
      </c>
      <c r="B82" s="5" t="s">
        <v>54</v>
      </c>
      <c r="C82" s="5" t="s">
        <v>556</v>
      </c>
      <c r="D82" s="5" t="s">
        <v>32</v>
      </c>
      <c r="E82" s="6" t="s">
        <v>33</v>
      </c>
      <c r="F82" s="5">
        <v>86</v>
      </c>
      <c r="G82" s="5" t="s">
        <v>444</v>
      </c>
      <c r="H82" s="5" t="s">
        <v>874</v>
      </c>
      <c r="I82" s="5" t="s">
        <v>875</v>
      </c>
      <c r="J82" s="5" t="s">
        <v>34</v>
      </c>
      <c r="K82" s="5" t="s">
        <v>60</v>
      </c>
      <c r="L82" s="5" t="s">
        <v>207</v>
      </c>
      <c r="M82" s="5" t="s">
        <v>39</v>
      </c>
      <c r="N82" s="5"/>
      <c r="O82" s="6"/>
      <c r="P82" s="5" t="s">
        <v>96</v>
      </c>
      <c r="Q82" s="5" t="s">
        <v>64</v>
      </c>
      <c r="R82" s="5" t="s">
        <v>145</v>
      </c>
      <c r="S82" s="31">
        <v>45286</v>
      </c>
      <c r="T82" s="31">
        <v>46027</v>
      </c>
      <c r="U82" s="31">
        <v>45377</v>
      </c>
      <c r="V82" s="8">
        <v>22</v>
      </c>
      <c r="W82" s="9">
        <v>23137</v>
      </c>
      <c r="X82" s="5"/>
      <c r="Y82" s="10">
        <v>100</v>
      </c>
      <c r="Z82" s="10">
        <v>18.18</v>
      </c>
      <c r="AA82" s="10">
        <v>18.18</v>
      </c>
      <c r="AB82" s="10">
        <v>220877</v>
      </c>
      <c r="AC82" s="10">
        <v>30273</v>
      </c>
      <c r="AD82" s="10">
        <v>0</v>
      </c>
      <c r="AE82" s="11">
        <v>251150</v>
      </c>
      <c r="AF82" s="12" t="s">
        <v>62</v>
      </c>
      <c r="AG82" s="14" t="s">
        <v>245</v>
      </c>
      <c r="AH82" s="14" t="s">
        <v>65</v>
      </c>
      <c r="AI82" s="14" t="s">
        <v>36</v>
      </c>
      <c r="AJ82" s="14">
        <v>30000</v>
      </c>
      <c r="AK82" s="14">
        <v>25000</v>
      </c>
      <c r="AL82" s="13">
        <v>24</v>
      </c>
      <c r="AM82" s="13">
        <v>24</v>
      </c>
      <c r="AN82" s="14" t="s">
        <v>136</v>
      </c>
      <c r="AO82" s="14" t="s">
        <v>137</v>
      </c>
      <c r="AP82" s="14" t="s">
        <v>37</v>
      </c>
      <c r="AQ82" s="14">
        <v>202604</v>
      </c>
      <c r="AR82" s="20" t="s">
        <v>152</v>
      </c>
      <c r="AS82" s="14" t="s">
        <v>249</v>
      </c>
      <c r="AT82" s="14" t="s">
        <v>249</v>
      </c>
      <c r="AU82" s="14" t="s">
        <v>309</v>
      </c>
      <c r="AV82" s="14" t="s">
        <v>461</v>
      </c>
      <c r="AW82"/>
    </row>
    <row r="83" spans="1:49" x14ac:dyDescent="0.3">
      <c r="A83" s="5" t="s">
        <v>150</v>
      </c>
      <c r="B83" s="5" t="s">
        <v>54</v>
      </c>
      <c r="C83" s="5" t="s">
        <v>556</v>
      </c>
      <c r="D83" s="5" t="s">
        <v>32</v>
      </c>
      <c r="E83" s="6" t="s">
        <v>33</v>
      </c>
      <c r="F83" s="5">
        <v>87</v>
      </c>
      <c r="G83" s="5" t="s">
        <v>444</v>
      </c>
      <c r="H83" s="5" t="s">
        <v>876</v>
      </c>
      <c r="I83" s="5" t="s">
        <v>877</v>
      </c>
      <c r="J83" s="5" t="s">
        <v>34</v>
      </c>
      <c r="K83" s="5" t="s">
        <v>60</v>
      </c>
      <c r="L83" s="5" t="s">
        <v>209</v>
      </c>
      <c r="M83" s="5" t="s">
        <v>39</v>
      </c>
      <c r="N83" s="5"/>
      <c r="O83" s="6"/>
      <c r="P83" s="5" t="s">
        <v>96</v>
      </c>
      <c r="Q83" s="5" t="s">
        <v>64</v>
      </c>
      <c r="R83" s="5" t="s">
        <v>145</v>
      </c>
      <c r="S83" s="31">
        <v>44328</v>
      </c>
      <c r="T83" s="31">
        <v>45938</v>
      </c>
      <c r="U83" s="31">
        <v>44456</v>
      </c>
      <c r="V83" s="8">
        <v>49</v>
      </c>
      <c r="W83" s="9">
        <v>82586</v>
      </c>
      <c r="X83" s="5"/>
      <c r="Y83" s="10">
        <v>100</v>
      </c>
      <c r="Z83" s="10">
        <v>18.18</v>
      </c>
      <c r="AA83" s="10">
        <v>18.18</v>
      </c>
      <c r="AB83" s="10">
        <v>39660</v>
      </c>
      <c r="AC83" s="10">
        <v>2476</v>
      </c>
      <c r="AD83" s="10">
        <v>0</v>
      </c>
      <c r="AE83" s="11">
        <v>42136</v>
      </c>
      <c r="AF83" s="12" t="s">
        <v>62</v>
      </c>
      <c r="AG83" s="14" t="s">
        <v>354</v>
      </c>
      <c r="AH83" s="14" t="s">
        <v>65</v>
      </c>
      <c r="AI83" s="14" t="s">
        <v>36</v>
      </c>
      <c r="AJ83" s="14">
        <v>90000</v>
      </c>
      <c r="AK83" s="14">
        <v>85000</v>
      </c>
      <c r="AL83" s="13">
        <v>54</v>
      </c>
      <c r="AM83" s="13">
        <v>51</v>
      </c>
      <c r="AN83" s="14" t="s">
        <v>205</v>
      </c>
      <c r="AO83" s="14" t="s">
        <v>206</v>
      </c>
      <c r="AP83" s="14" t="s">
        <v>37</v>
      </c>
      <c r="AQ83" s="14">
        <v>202604</v>
      </c>
      <c r="AR83" s="20" t="s">
        <v>152</v>
      </c>
      <c r="AS83" s="14" t="s">
        <v>249</v>
      </c>
      <c r="AT83" s="14" t="s">
        <v>249</v>
      </c>
      <c r="AU83" s="14" t="s">
        <v>309</v>
      </c>
      <c r="AV83" s="14" t="s">
        <v>461</v>
      </c>
      <c r="AW83"/>
    </row>
    <row r="84" spans="1:49" x14ac:dyDescent="0.3">
      <c r="A84" s="5" t="s">
        <v>150</v>
      </c>
      <c r="B84" s="5" t="s">
        <v>54</v>
      </c>
      <c r="C84" s="5" t="s">
        <v>556</v>
      </c>
      <c r="D84" s="5" t="s">
        <v>32</v>
      </c>
      <c r="E84" s="6" t="s">
        <v>33</v>
      </c>
      <c r="F84" s="5">
        <v>88</v>
      </c>
      <c r="G84" s="5" t="s">
        <v>444</v>
      </c>
      <c r="H84" s="5" t="s">
        <v>878</v>
      </c>
      <c r="I84" s="5" t="s">
        <v>879</v>
      </c>
      <c r="J84" s="5" t="s">
        <v>34</v>
      </c>
      <c r="K84" s="5" t="s">
        <v>60</v>
      </c>
      <c r="L84" s="5" t="s">
        <v>209</v>
      </c>
      <c r="M84" s="5" t="s">
        <v>39</v>
      </c>
      <c r="N84" s="5"/>
      <c r="O84" s="6"/>
      <c r="P84" s="5" t="s">
        <v>96</v>
      </c>
      <c r="Q84" s="5" t="s">
        <v>64</v>
      </c>
      <c r="R84" s="5" t="s">
        <v>144</v>
      </c>
      <c r="S84" s="31">
        <v>44390</v>
      </c>
      <c r="T84" s="31">
        <v>46092</v>
      </c>
      <c r="U84" s="31">
        <v>44461</v>
      </c>
      <c r="V84" s="8">
        <v>54</v>
      </c>
      <c r="W84" s="9">
        <v>74008</v>
      </c>
      <c r="X84" s="5"/>
      <c r="Y84" s="10">
        <v>100</v>
      </c>
      <c r="Z84" s="10">
        <v>18.18</v>
      </c>
      <c r="AA84" s="10">
        <v>18.18</v>
      </c>
      <c r="AB84" s="10">
        <v>39660</v>
      </c>
      <c r="AC84" s="10">
        <v>2476</v>
      </c>
      <c r="AD84" s="10">
        <v>0</v>
      </c>
      <c r="AE84" s="11">
        <v>42136</v>
      </c>
      <c r="AF84" s="12" t="s">
        <v>62</v>
      </c>
      <c r="AG84" s="14" t="s">
        <v>265</v>
      </c>
      <c r="AH84" s="14" t="s">
        <v>65</v>
      </c>
      <c r="AI84" s="14" t="s">
        <v>36</v>
      </c>
      <c r="AJ84" s="14">
        <v>80000</v>
      </c>
      <c r="AK84" s="14">
        <v>75000</v>
      </c>
      <c r="AL84" s="13">
        <v>60</v>
      </c>
      <c r="AM84" s="13">
        <v>57</v>
      </c>
      <c r="AN84" s="14" t="s">
        <v>205</v>
      </c>
      <c r="AO84" s="14" t="s">
        <v>206</v>
      </c>
      <c r="AP84" s="14" t="s">
        <v>37</v>
      </c>
      <c r="AQ84" s="14">
        <v>202604</v>
      </c>
      <c r="AR84" s="20" t="s">
        <v>152</v>
      </c>
      <c r="AS84" s="14" t="s">
        <v>249</v>
      </c>
      <c r="AT84" s="14" t="s">
        <v>249</v>
      </c>
      <c r="AU84" s="14" t="s">
        <v>309</v>
      </c>
      <c r="AV84" s="14" t="s">
        <v>461</v>
      </c>
      <c r="AW84"/>
    </row>
    <row r="85" spans="1:49" x14ac:dyDescent="0.3">
      <c r="A85" s="5" t="s">
        <v>150</v>
      </c>
      <c r="B85" s="5" t="s">
        <v>54</v>
      </c>
      <c r="C85" s="5" t="s">
        <v>556</v>
      </c>
      <c r="D85" s="5" t="s">
        <v>32</v>
      </c>
      <c r="E85" s="6" t="s">
        <v>33</v>
      </c>
      <c r="F85" s="5">
        <v>89</v>
      </c>
      <c r="G85" s="5" t="s">
        <v>444</v>
      </c>
      <c r="H85" s="5" t="s">
        <v>880</v>
      </c>
      <c r="I85" s="5" t="s">
        <v>881</v>
      </c>
      <c r="J85" s="5" t="s">
        <v>34</v>
      </c>
      <c r="K85" s="5" t="s">
        <v>60</v>
      </c>
      <c r="L85" s="5" t="s">
        <v>209</v>
      </c>
      <c r="M85" s="5" t="s">
        <v>39</v>
      </c>
      <c r="N85" s="5"/>
      <c r="O85" s="6"/>
      <c r="P85" s="5" t="s">
        <v>96</v>
      </c>
      <c r="Q85" s="5" t="s">
        <v>64</v>
      </c>
      <c r="R85" s="5" t="s">
        <v>145</v>
      </c>
      <c r="S85" s="31">
        <v>44664</v>
      </c>
      <c r="T85" s="31">
        <v>46105</v>
      </c>
      <c r="U85" s="31">
        <v>44755</v>
      </c>
      <c r="V85" s="8">
        <v>45</v>
      </c>
      <c r="W85" s="9">
        <v>69691</v>
      </c>
      <c r="X85" s="5"/>
      <c r="Y85" s="10">
        <v>100</v>
      </c>
      <c r="Z85" s="10">
        <v>18.18</v>
      </c>
      <c r="AA85" s="10">
        <v>18.18</v>
      </c>
      <c r="AB85" s="10">
        <v>39660</v>
      </c>
      <c r="AC85" s="10">
        <v>2476</v>
      </c>
      <c r="AD85" s="10">
        <v>0</v>
      </c>
      <c r="AE85" s="11">
        <v>42136</v>
      </c>
      <c r="AF85" s="12" t="s">
        <v>62</v>
      </c>
      <c r="AG85" s="14" t="s">
        <v>128</v>
      </c>
      <c r="AH85" s="14" t="s">
        <v>65</v>
      </c>
      <c r="AI85" s="14" t="s">
        <v>36</v>
      </c>
      <c r="AJ85" s="14">
        <v>70000</v>
      </c>
      <c r="AK85" s="14">
        <v>70000</v>
      </c>
      <c r="AL85" s="13">
        <v>48</v>
      </c>
      <c r="AM85" s="13">
        <v>48</v>
      </c>
      <c r="AN85" s="14" t="s">
        <v>205</v>
      </c>
      <c r="AO85" s="14" t="s">
        <v>206</v>
      </c>
      <c r="AP85" s="14" t="s">
        <v>37</v>
      </c>
      <c r="AQ85" s="14">
        <v>202604</v>
      </c>
      <c r="AR85" s="20" t="s">
        <v>152</v>
      </c>
      <c r="AS85" s="14" t="s">
        <v>249</v>
      </c>
      <c r="AT85" s="14" t="s">
        <v>249</v>
      </c>
      <c r="AU85" s="14" t="s">
        <v>309</v>
      </c>
      <c r="AV85" s="14" t="s">
        <v>461</v>
      </c>
      <c r="AW85"/>
    </row>
    <row r="86" spans="1:49" x14ac:dyDescent="0.3">
      <c r="A86" s="5" t="s">
        <v>150</v>
      </c>
      <c r="B86" s="5" t="s">
        <v>54</v>
      </c>
      <c r="C86" s="5" t="s">
        <v>556</v>
      </c>
      <c r="D86" s="5" t="s">
        <v>32</v>
      </c>
      <c r="E86" s="6" t="s">
        <v>33</v>
      </c>
      <c r="F86" s="5">
        <v>90</v>
      </c>
      <c r="G86" s="5" t="s">
        <v>444</v>
      </c>
      <c r="H86" s="5" t="s">
        <v>882</v>
      </c>
      <c r="I86" s="5" t="s">
        <v>883</v>
      </c>
      <c r="J86" s="5" t="s">
        <v>34</v>
      </c>
      <c r="K86" s="5" t="s">
        <v>60</v>
      </c>
      <c r="L86" s="5" t="s">
        <v>209</v>
      </c>
      <c r="M86" s="5" t="s">
        <v>39</v>
      </c>
      <c r="N86" s="5"/>
      <c r="O86" s="6"/>
      <c r="P86" s="5" t="s">
        <v>96</v>
      </c>
      <c r="Q86" s="5" t="s">
        <v>64</v>
      </c>
      <c r="R86" s="5" t="s">
        <v>144</v>
      </c>
      <c r="S86" s="31">
        <v>45154</v>
      </c>
      <c r="T86" s="31">
        <v>46069</v>
      </c>
      <c r="U86" s="31">
        <v>45203</v>
      </c>
      <c r="V86" s="8">
        <v>29</v>
      </c>
      <c r="W86" s="9">
        <v>73223</v>
      </c>
      <c r="X86" s="5"/>
      <c r="Y86" s="10">
        <v>100</v>
      </c>
      <c r="Z86" s="10">
        <v>18.18</v>
      </c>
      <c r="AA86" s="10">
        <v>18.18</v>
      </c>
      <c r="AB86" s="10">
        <v>39660</v>
      </c>
      <c r="AC86" s="10">
        <v>2476</v>
      </c>
      <c r="AD86" s="10">
        <v>0</v>
      </c>
      <c r="AE86" s="11">
        <v>42136</v>
      </c>
      <c r="AF86" s="12" t="s">
        <v>62</v>
      </c>
      <c r="AG86" s="14" t="s">
        <v>179</v>
      </c>
      <c r="AH86" s="14" t="s">
        <v>65</v>
      </c>
      <c r="AI86" s="14" t="s">
        <v>36</v>
      </c>
      <c r="AJ86" s="14">
        <v>80000</v>
      </c>
      <c r="AK86" s="14">
        <v>75000</v>
      </c>
      <c r="AL86" s="13">
        <v>30</v>
      </c>
      <c r="AM86" s="13">
        <v>30</v>
      </c>
      <c r="AN86" s="14" t="s">
        <v>205</v>
      </c>
      <c r="AO86" s="14" t="s">
        <v>206</v>
      </c>
      <c r="AP86" s="14" t="s">
        <v>37</v>
      </c>
      <c r="AQ86" s="14">
        <v>202604</v>
      </c>
      <c r="AR86" s="20" t="s">
        <v>152</v>
      </c>
      <c r="AS86" s="14" t="s">
        <v>249</v>
      </c>
      <c r="AT86" s="14" t="s">
        <v>249</v>
      </c>
      <c r="AU86" s="14" t="s">
        <v>309</v>
      </c>
      <c r="AV86" s="14" t="s">
        <v>461</v>
      </c>
      <c r="AW86"/>
    </row>
    <row r="87" spans="1:49" x14ac:dyDescent="0.3">
      <c r="A87" s="5" t="s">
        <v>150</v>
      </c>
      <c r="B87" s="5" t="s">
        <v>54</v>
      </c>
      <c r="C87" s="5" t="s">
        <v>556</v>
      </c>
      <c r="D87" s="5" t="s">
        <v>32</v>
      </c>
      <c r="E87" s="6" t="s">
        <v>33</v>
      </c>
      <c r="F87" s="5">
        <v>91</v>
      </c>
      <c r="G87" s="5" t="s">
        <v>444</v>
      </c>
      <c r="H87" s="5" t="s">
        <v>884</v>
      </c>
      <c r="I87" s="5" t="s">
        <v>885</v>
      </c>
      <c r="J87" s="5" t="s">
        <v>34</v>
      </c>
      <c r="K87" s="5" t="s">
        <v>98</v>
      </c>
      <c r="L87" s="5" t="s">
        <v>209</v>
      </c>
      <c r="M87" s="5" t="s">
        <v>39</v>
      </c>
      <c r="N87" s="5"/>
      <c r="O87" s="6"/>
      <c r="P87" s="5" t="s">
        <v>96</v>
      </c>
      <c r="Q87" s="5" t="s">
        <v>64</v>
      </c>
      <c r="R87" s="5" t="s">
        <v>145</v>
      </c>
      <c r="S87" s="31">
        <v>44028</v>
      </c>
      <c r="T87" s="31">
        <v>45915</v>
      </c>
      <c r="U87" s="31">
        <v>44110</v>
      </c>
      <c r="V87" s="8">
        <v>60</v>
      </c>
      <c r="W87" s="9">
        <v>68537</v>
      </c>
      <c r="X87" s="5"/>
      <c r="Y87" s="10">
        <v>100</v>
      </c>
      <c r="Z87" s="10">
        <v>18.18</v>
      </c>
      <c r="AA87" s="10">
        <v>18.18</v>
      </c>
      <c r="AB87" s="10">
        <v>39660</v>
      </c>
      <c r="AC87" s="10">
        <v>3577</v>
      </c>
      <c r="AD87" s="10">
        <v>0</v>
      </c>
      <c r="AE87" s="11">
        <v>43237</v>
      </c>
      <c r="AF87" s="12" t="s">
        <v>100</v>
      </c>
      <c r="AG87" s="14" t="s">
        <v>280</v>
      </c>
      <c r="AH87" s="14" t="s">
        <v>65</v>
      </c>
      <c r="AI87" s="14" t="s">
        <v>36</v>
      </c>
      <c r="AJ87" s="14">
        <v>70000</v>
      </c>
      <c r="AK87" s="14">
        <v>70000</v>
      </c>
      <c r="AL87" s="13" t="s">
        <v>123</v>
      </c>
      <c r="AM87" s="13" t="s">
        <v>123</v>
      </c>
      <c r="AN87" s="14" t="s">
        <v>205</v>
      </c>
      <c r="AO87" s="14" t="s">
        <v>206</v>
      </c>
      <c r="AP87" s="14" t="s">
        <v>37</v>
      </c>
      <c r="AQ87" s="14">
        <v>202604</v>
      </c>
      <c r="AR87" s="20" t="s">
        <v>152</v>
      </c>
      <c r="AS87" s="14" t="s">
        <v>249</v>
      </c>
      <c r="AT87" s="14" t="s">
        <v>249</v>
      </c>
      <c r="AU87" s="14" t="s">
        <v>309</v>
      </c>
      <c r="AV87" s="14" t="s">
        <v>461</v>
      </c>
      <c r="AW87"/>
    </row>
    <row r="88" spans="1:49" x14ac:dyDescent="0.3">
      <c r="A88" s="5" t="s">
        <v>150</v>
      </c>
      <c r="B88" s="5" t="s">
        <v>54</v>
      </c>
      <c r="C88" s="5" t="s">
        <v>556</v>
      </c>
      <c r="D88" s="5" t="s">
        <v>32</v>
      </c>
      <c r="E88" s="6" t="s">
        <v>33</v>
      </c>
      <c r="F88" s="5">
        <v>92</v>
      </c>
      <c r="G88" s="5" t="s">
        <v>444</v>
      </c>
      <c r="H88" s="5" t="s">
        <v>886</v>
      </c>
      <c r="I88" s="5" t="s">
        <v>887</v>
      </c>
      <c r="J88" s="5" t="s">
        <v>34</v>
      </c>
      <c r="K88" s="5" t="s">
        <v>98</v>
      </c>
      <c r="L88" s="5" t="s">
        <v>209</v>
      </c>
      <c r="M88" s="5" t="s">
        <v>39</v>
      </c>
      <c r="N88" s="5"/>
      <c r="O88" s="6"/>
      <c r="P88" s="5" t="s">
        <v>96</v>
      </c>
      <c r="Q88" s="5" t="s">
        <v>64</v>
      </c>
      <c r="R88" s="5" t="s">
        <v>145</v>
      </c>
      <c r="S88" s="31">
        <v>44193</v>
      </c>
      <c r="T88" s="31">
        <v>46050</v>
      </c>
      <c r="U88" s="31">
        <v>44253</v>
      </c>
      <c r="V88" s="8">
        <v>60</v>
      </c>
      <c r="W88" s="9">
        <v>38298</v>
      </c>
      <c r="X88" s="5"/>
      <c r="Y88" s="10">
        <v>100</v>
      </c>
      <c r="Z88" s="10">
        <v>18.18</v>
      </c>
      <c r="AA88" s="10">
        <v>18.18</v>
      </c>
      <c r="AB88" s="10">
        <v>39660</v>
      </c>
      <c r="AC88" s="10">
        <v>3577</v>
      </c>
      <c r="AD88" s="10">
        <v>0</v>
      </c>
      <c r="AE88" s="11">
        <v>43237</v>
      </c>
      <c r="AF88" s="12" t="s">
        <v>100</v>
      </c>
      <c r="AG88" s="14" t="s">
        <v>888</v>
      </c>
      <c r="AH88" s="14" t="s">
        <v>65</v>
      </c>
      <c r="AI88" s="14" t="s">
        <v>36</v>
      </c>
      <c r="AJ88" s="14">
        <v>40000</v>
      </c>
      <c r="AK88" s="14">
        <v>40000</v>
      </c>
      <c r="AL88" s="13" t="s">
        <v>123</v>
      </c>
      <c r="AM88" s="13" t="s">
        <v>123</v>
      </c>
      <c r="AN88" s="14" t="s">
        <v>205</v>
      </c>
      <c r="AO88" s="14" t="s">
        <v>206</v>
      </c>
      <c r="AP88" s="14" t="s">
        <v>37</v>
      </c>
      <c r="AQ88" s="14">
        <v>202604</v>
      </c>
      <c r="AR88" s="20" t="s">
        <v>152</v>
      </c>
      <c r="AS88" s="14" t="s">
        <v>249</v>
      </c>
      <c r="AT88" s="14" t="s">
        <v>249</v>
      </c>
      <c r="AU88" s="14" t="s">
        <v>309</v>
      </c>
      <c r="AV88" s="14" t="s">
        <v>461</v>
      </c>
      <c r="AW88"/>
    </row>
    <row r="89" spans="1:49" x14ac:dyDescent="0.3">
      <c r="A89" s="5" t="s">
        <v>150</v>
      </c>
      <c r="B89" s="5" t="s">
        <v>54</v>
      </c>
      <c r="C89" s="5" t="s">
        <v>556</v>
      </c>
      <c r="D89" s="5" t="s">
        <v>32</v>
      </c>
      <c r="E89" s="6" t="s">
        <v>33</v>
      </c>
      <c r="F89" s="5">
        <v>93</v>
      </c>
      <c r="G89" s="5" t="s">
        <v>444</v>
      </c>
      <c r="H89" s="5" t="s">
        <v>889</v>
      </c>
      <c r="I89" s="5" t="s">
        <v>890</v>
      </c>
      <c r="J89" s="5" t="s">
        <v>34</v>
      </c>
      <c r="K89" s="5" t="s">
        <v>98</v>
      </c>
      <c r="L89" s="5" t="s">
        <v>209</v>
      </c>
      <c r="M89" s="5" t="s">
        <v>39</v>
      </c>
      <c r="N89" s="5"/>
      <c r="O89" s="6"/>
      <c r="P89" s="5" t="s">
        <v>96</v>
      </c>
      <c r="Q89" s="5" t="s">
        <v>64</v>
      </c>
      <c r="R89" s="5" t="s">
        <v>145</v>
      </c>
      <c r="S89" s="31">
        <v>44201</v>
      </c>
      <c r="T89" s="31">
        <v>46065</v>
      </c>
      <c r="U89" s="31">
        <v>44258</v>
      </c>
      <c r="V89" s="8">
        <v>60</v>
      </c>
      <c r="W89" s="9">
        <v>84507</v>
      </c>
      <c r="X89" s="5"/>
      <c r="Y89" s="10">
        <v>100</v>
      </c>
      <c r="Z89" s="10">
        <v>18.18</v>
      </c>
      <c r="AA89" s="10">
        <v>18.18</v>
      </c>
      <c r="AB89" s="10">
        <v>39660</v>
      </c>
      <c r="AC89" s="10">
        <v>3577</v>
      </c>
      <c r="AD89" s="10">
        <v>0</v>
      </c>
      <c r="AE89" s="11">
        <v>43237</v>
      </c>
      <c r="AF89" s="12" t="s">
        <v>100</v>
      </c>
      <c r="AG89" s="14" t="s">
        <v>212</v>
      </c>
      <c r="AH89" s="14" t="s">
        <v>65</v>
      </c>
      <c r="AI89" s="14" t="s">
        <v>36</v>
      </c>
      <c r="AJ89" s="14">
        <v>90000</v>
      </c>
      <c r="AK89" s="14">
        <v>85000</v>
      </c>
      <c r="AL89" s="13" t="s">
        <v>123</v>
      </c>
      <c r="AM89" s="13" t="s">
        <v>123</v>
      </c>
      <c r="AN89" s="14" t="s">
        <v>205</v>
      </c>
      <c r="AO89" s="14" t="s">
        <v>206</v>
      </c>
      <c r="AP89" s="14" t="s">
        <v>37</v>
      </c>
      <c r="AQ89" s="14">
        <v>202604</v>
      </c>
      <c r="AR89" s="20" t="s">
        <v>152</v>
      </c>
      <c r="AS89" s="14" t="s">
        <v>249</v>
      </c>
      <c r="AT89" s="14" t="s">
        <v>249</v>
      </c>
      <c r="AU89" s="14" t="s">
        <v>309</v>
      </c>
      <c r="AV89" s="14" t="s">
        <v>461</v>
      </c>
      <c r="AW89"/>
    </row>
    <row r="90" spans="1:49" x14ac:dyDescent="0.3">
      <c r="A90" s="5" t="s">
        <v>150</v>
      </c>
      <c r="B90" s="5" t="s">
        <v>54</v>
      </c>
      <c r="C90" s="5" t="s">
        <v>556</v>
      </c>
      <c r="D90" s="5" t="s">
        <v>32</v>
      </c>
      <c r="E90" s="6" t="s">
        <v>33</v>
      </c>
      <c r="F90" s="5">
        <v>94</v>
      </c>
      <c r="G90" s="5" t="s">
        <v>444</v>
      </c>
      <c r="H90" s="5" t="s">
        <v>891</v>
      </c>
      <c r="I90" s="5" t="s">
        <v>892</v>
      </c>
      <c r="J90" s="5" t="s">
        <v>34</v>
      </c>
      <c r="K90" s="5" t="s">
        <v>98</v>
      </c>
      <c r="L90" s="5" t="s">
        <v>209</v>
      </c>
      <c r="M90" s="5" t="s">
        <v>39</v>
      </c>
      <c r="N90" s="5"/>
      <c r="O90" s="6"/>
      <c r="P90" s="5" t="s">
        <v>96</v>
      </c>
      <c r="Q90" s="5" t="s">
        <v>64</v>
      </c>
      <c r="R90" s="5" t="s">
        <v>145</v>
      </c>
      <c r="S90" s="31">
        <v>44329</v>
      </c>
      <c r="T90" s="31">
        <v>46058</v>
      </c>
      <c r="U90" s="31">
        <v>44414</v>
      </c>
      <c r="V90" s="8">
        <v>54</v>
      </c>
      <c r="W90" s="9">
        <v>68533</v>
      </c>
      <c r="X90" s="5"/>
      <c r="Y90" s="10">
        <v>100</v>
      </c>
      <c r="Z90" s="10">
        <v>18.18</v>
      </c>
      <c r="AA90" s="10">
        <v>18.18</v>
      </c>
      <c r="AB90" s="10">
        <v>39660</v>
      </c>
      <c r="AC90" s="10">
        <v>3577</v>
      </c>
      <c r="AD90" s="10">
        <v>0</v>
      </c>
      <c r="AE90" s="11">
        <v>43237</v>
      </c>
      <c r="AF90" s="12" t="s">
        <v>100</v>
      </c>
      <c r="AG90" s="14" t="s">
        <v>354</v>
      </c>
      <c r="AH90" s="14" t="s">
        <v>65</v>
      </c>
      <c r="AI90" s="14" t="s">
        <v>36</v>
      </c>
      <c r="AJ90" s="14">
        <v>70000</v>
      </c>
      <c r="AK90" s="14">
        <v>70000</v>
      </c>
      <c r="AL90" s="13">
        <v>60</v>
      </c>
      <c r="AM90" s="13">
        <v>57</v>
      </c>
      <c r="AN90" s="14" t="s">
        <v>205</v>
      </c>
      <c r="AO90" s="14" t="s">
        <v>206</v>
      </c>
      <c r="AP90" s="14" t="s">
        <v>37</v>
      </c>
      <c r="AQ90" s="14">
        <v>202604</v>
      </c>
      <c r="AR90" s="20" t="s">
        <v>152</v>
      </c>
      <c r="AS90" s="14" t="s">
        <v>249</v>
      </c>
      <c r="AT90" s="14" t="s">
        <v>249</v>
      </c>
      <c r="AU90" s="14" t="s">
        <v>309</v>
      </c>
      <c r="AV90" s="14" t="s">
        <v>461</v>
      </c>
      <c r="AW90"/>
    </row>
    <row r="91" spans="1:49" x14ac:dyDescent="0.3">
      <c r="A91" s="5" t="s">
        <v>150</v>
      </c>
      <c r="B91" s="5" t="s">
        <v>54</v>
      </c>
      <c r="C91" s="5" t="s">
        <v>556</v>
      </c>
      <c r="D91" s="5" t="s">
        <v>32</v>
      </c>
      <c r="E91" s="6" t="s">
        <v>33</v>
      </c>
      <c r="F91" s="5">
        <v>95</v>
      </c>
      <c r="G91" s="5" t="s">
        <v>444</v>
      </c>
      <c r="H91" s="5" t="s">
        <v>893</v>
      </c>
      <c r="I91" s="5" t="s">
        <v>894</v>
      </c>
      <c r="J91" s="5" t="s">
        <v>34</v>
      </c>
      <c r="K91" s="5" t="s">
        <v>98</v>
      </c>
      <c r="L91" s="5" t="s">
        <v>209</v>
      </c>
      <c r="M91" s="5" t="s">
        <v>39</v>
      </c>
      <c r="N91" s="5"/>
      <c r="O91" s="6"/>
      <c r="P91" s="5" t="s">
        <v>204</v>
      </c>
      <c r="Q91" s="5" t="s">
        <v>64</v>
      </c>
      <c r="R91" s="5" t="s">
        <v>145</v>
      </c>
      <c r="S91" s="31">
        <v>44391</v>
      </c>
      <c r="T91" s="31">
        <v>46017</v>
      </c>
      <c r="U91" s="31">
        <v>44463</v>
      </c>
      <c r="V91" s="8">
        <v>52</v>
      </c>
      <c r="W91" s="9">
        <v>72124</v>
      </c>
      <c r="X91" s="5"/>
      <c r="Y91" s="10">
        <v>100</v>
      </c>
      <c r="Z91" s="10">
        <v>18.18</v>
      </c>
      <c r="AA91" s="10">
        <v>18.18</v>
      </c>
      <c r="AB91" s="10">
        <v>39660</v>
      </c>
      <c r="AC91" s="10">
        <v>1100</v>
      </c>
      <c r="AD91" s="10">
        <v>0</v>
      </c>
      <c r="AE91" s="11">
        <v>40760</v>
      </c>
      <c r="AF91" s="12" t="s">
        <v>100</v>
      </c>
      <c r="AG91" s="14" t="s">
        <v>265</v>
      </c>
      <c r="AH91" s="14" t="s">
        <v>65</v>
      </c>
      <c r="AI91" s="14" t="s">
        <v>36</v>
      </c>
      <c r="AJ91" s="14">
        <v>80000</v>
      </c>
      <c r="AK91" s="14">
        <v>75000</v>
      </c>
      <c r="AL91" s="13">
        <v>54</v>
      </c>
      <c r="AM91" s="13">
        <v>54</v>
      </c>
      <c r="AN91" s="14" t="s">
        <v>205</v>
      </c>
      <c r="AO91" s="14" t="s">
        <v>206</v>
      </c>
      <c r="AP91" s="14" t="s">
        <v>37</v>
      </c>
      <c r="AQ91" s="14">
        <v>202604</v>
      </c>
      <c r="AR91" s="20" t="s">
        <v>152</v>
      </c>
      <c r="AS91" s="14" t="s">
        <v>249</v>
      </c>
      <c r="AT91" s="14" t="s">
        <v>249</v>
      </c>
      <c r="AU91" s="14" t="s">
        <v>309</v>
      </c>
      <c r="AV91" s="14" t="s">
        <v>461</v>
      </c>
      <c r="AW91"/>
    </row>
    <row r="92" spans="1:49" x14ac:dyDescent="0.3">
      <c r="A92" s="5" t="s">
        <v>150</v>
      </c>
      <c r="B92" s="5" t="s">
        <v>54</v>
      </c>
      <c r="C92" s="5" t="s">
        <v>556</v>
      </c>
      <c r="D92" s="5" t="s">
        <v>32</v>
      </c>
      <c r="E92" s="6" t="s">
        <v>33</v>
      </c>
      <c r="F92" s="5">
        <v>96</v>
      </c>
      <c r="G92" s="5" t="s">
        <v>444</v>
      </c>
      <c r="H92" s="5" t="s">
        <v>895</v>
      </c>
      <c r="I92" s="5" t="s">
        <v>896</v>
      </c>
      <c r="J92" s="5" t="s">
        <v>34</v>
      </c>
      <c r="K92" s="5" t="s">
        <v>98</v>
      </c>
      <c r="L92" s="5" t="s">
        <v>209</v>
      </c>
      <c r="M92" s="5" t="s">
        <v>39</v>
      </c>
      <c r="N92" s="5"/>
      <c r="O92" s="6"/>
      <c r="P92" s="5" t="s">
        <v>96</v>
      </c>
      <c r="Q92" s="5" t="s">
        <v>64</v>
      </c>
      <c r="R92" s="5" t="s">
        <v>145</v>
      </c>
      <c r="S92" s="31">
        <v>44448</v>
      </c>
      <c r="T92" s="31">
        <v>45831</v>
      </c>
      <c r="U92" s="31">
        <v>44512</v>
      </c>
      <c r="V92" s="8">
        <v>44</v>
      </c>
      <c r="W92" s="9">
        <v>56720</v>
      </c>
      <c r="X92" s="5"/>
      <c r="Y92" s="10">
        <v>100</v>
      </c>
      <c r="Z92" s="10">
        <v>18.18</v>
      </c>
      <c r="AA92" s="10">
        <v>18.18</v>
      </c>
      <c r="AB92" s="10">
        <v>39660</v>
      </c>
      <c r="AC92" s="10">
        <v>3577</v>
      </c>
      <c r="AD92" s="10">
        <v>0</v>
      </c>
      <c r="AE92" s="11">
        <v>43237</v>
      </c>
      <c r="AF92" s="12" t="s">
        <v>100</v>
      </c>
      <c r="AG92" s="14" t="s">
        <v>211</v>
      </c>
      <c r="AH92" s="14" t="s">
        <v>65</v>
      </c>
      <c r="AI92" s="14" t="s">
        <v>36</v>
      </c>
      <c r="AJ92" s="14">
        <v>60000</v>
      </c>
      <c r="AK92" s="14">
        <v>60000</v>
      </c>
      <c r="AL92" s="13">
        <v>48</v>
      </c>
      <c r="AM92" s="13">
        <v>45</v>
      </c>
      <c r="AN92" s="14" t="s">
        <v>205</v>
      </c>
      <c r="AO92" s="14" t="s">
        <v>206</v>
      </c>
      <c r="AP92" s="14" t="s">
        <v>37</v>
      </c>
      <c r="AQ92" s="14">
        <v>202604</v>
      </c>
      <c r="AR92" s="20" t="s">
        <v>152</v>
      </c>
      <c r="AS92" s="14" t="s">
        <v>249</v>
      </c>
      <c r="AT92" s="14" t="s">
        <v>249</v>
      </c>
      <c r="AU92" s="14" t="s">
        <v>309</v>
      </c>
      <c r="AV92" s="14" t="s">
        <v>461</v>
      </c>
      <c r="AW92"/>
    </row>
    <row r="93" spans="1:49" x14ac:dyDescent="0.3">
      <c r="A93" s="5" t="s">
        <v>150</v>
      </c>
      <c r="B93" s="5" t="s">
        <v>54</v>
      </c>
      <c r="C93" s="5" t="s">
        <v>556</v>
      </c>
      <c r="D93" s="5" t="s">
        <v>32</v>
      </c>
      <c r="E93" s="6" t="s">
        <v>33</v>
      </c>
      <c r="F93" s="5">
        <v>97</v>
      </c>
      <c r="G93" s="5" t="s">
        <v>444</v>
      </c>
      <c r="H93" s="5" t="s">
        <v>897</v>
      </c>
      <c r="I93" s="5" t="s">
        <v>898</v>
      </c>
      <c r="J93" s="5" t="s">
        <v>34</v>
      </c>
      <c r="K93" s="5" t="s">
        <v>98</v>
      </c>
      <c r="L93" s="5" t="s">
        <v>209</v>
      </c>
      <c r="M93" s="5" t="s">
        <v>39</v>
      </c>
      <c r="N93" s="5"/>
      <c r="O93" s="6"/>
      <c r="P93" s="5" t="s">
        <v>96</v>
      </c>
      <c r="Q93" s="5" t="s">
        <v>64</v>
      </c>
      <c r="R93" s="5" t="s">
        <v>145</v>
      </c>
      <c r="S93" s="31">
        <v>44452</v>
      </c>
      <c r="T93" s="31">
        <v>46081</v>
      </c>
      <c r="U93" s="31">
        <v>44522</v>
      </c>
      <c r="V93" s="8">
        <v>52</v>
      </c>
      <c r="W93" s="9">
        <v>86374</v>
      </c>
      <c r="X93" s="5"/>
      <c r="Y93" s="10">
        <v>100</v>
      </c>
      <c r="Z93" s="10">
        <v>18.18</v>
      </c>
      <c r="AA93" s="10">
        <v>18.18</v>
      </c>
      <c r="AB93" s="10">
        <v>39660</v>
      </c>
      <c r="AC93" s="10">
        <v>3577</v>
      </c>
      <c r="AD93" s="10">
        <v>0</v>
      </c>
      <c r="AE93" s="11">
        <v>43237</v>
      </c>
      <c r="AF93" s="12" t="s">
        <v>100</v>
      </c>
      <c r="AG93" s="14" t="s">
        <v>211</v>
      </c>
      <c r="AH93" s="14" t="s">
        <v>65</v>
      </c>
      <c r="AI93" s="14" t="s">
        <v>36</v>
      </c>
      <c r="AJ93" s="14">
        <v>90000</v>
      </c>
      <c r="AK93" s="14">
        <v>90000</v>
      </c>
      <c r="AL93" s="13">
        <v>54</v>
      </c>
      <c r="AM93" s="13">
        <v>54</v>
      </c>
      <c r="AN93" s="14" t="s">
        <v>205</v>
      </c>
      <c r="AO93" s="14" t="s">
        <v>206</v>
      </c>
      <c r="AP93" s="14" t="s">
        <v>37</v>
      </c>
      <c r="AQ93" s="14">
        <v>202604</v>
      </c>
      <c r="AR93" s="20" t="s">
        <v>152</v>
      </c>
      <c r="AS93" s="14" t="s">
        <v>249</v>
      </c>
      <c r="AT93" s="14" t="s">
        <v>249</v>
      </c>
      <c r="AU93" s="14" t="s">
        <v>309</v>
      </c>
      <c r="AV93" s="14" t="s">
        <v>461</v>
      </c>
      <c r="AW93"/>
    </row>
    <row r="94" spans="1:49" x14ac:dyDescent="0.3">
      <c r="A94" s="5" t="s">
        <v>150</v>
      </c>
      <c r="B94" s="5" t="s">
        <v>54</v>
      </c>
      <c r="C94" s="5" t="s">
        <v>556</v>
      </c>
      <c r="D94" s="5" t="s">
        <v>32</v>
      </c>
      <c r="E94" s="6" t="s">
        <v>33</v>
      </c>
      <c r="F94" s="5">
        <v>98</v>
      </c>
      <c r="G94" s="5" t="s">
        <v>444</v>
      </c>
      <c r="H94" s="5" t="s">
        <v>899</v>
      </c>
      <c r="I94" s="5" t="s">
        <v>900</v>
      </c>
      <c r="J94" s="5" t="s">
        <v>34</v>
      </c>
      <c r="K94" s="5" t="s">
        <v>98</v>
      </c>
      <c r="L94" s="5" t="s">
        <v>209</v>
      </c>
      <c r="M94" s="5" t="s">
        <v>39</v>
      </c>
      <c r="N94" s="5"/>
      <c r="O94" s="6"/>
      <c r="P94" s="5" t="s">
        <v>96</v>
      </c>
      <c r="Q94" s="5" t="s">
        <v>64</v>
      </c>
      <c r="R94" s="5" t="s">
        <v>145</v>
      </c>
      <c r="S94" s="31">
        <v>44452</v>
      </c>
      <c r="T94" s="31">
        <v>46105</v>
      </c>
      <c r="U94" s="31">
        <v>44524</v>
      </c>
      <c r="V94" s="8">
        <v>53</v>
      </c>
      <c r="W94" s="9">
        <v>70184</v>
      </c>
      <c r="X94" s="5"/>
      <c r="Y94" s="10">
        <v>100</v>
      </c>
      <c r="Z94" s="10">
        <v>18.18</v>
      </c>
      <c r="AA94" s="10">
        <v>18.18</v>
      </c>
      <c r="AB94" s="10">
        <v>39660</v>
      </c>
      <c r="AC94" s="10">
        <v>3577</v>
      </c>
      <c r="AD94" s="10">
        <v>0</v>
      </c>
      <c r="AE94" s="11">
        <v>43237</v>
      </c>
      <c r="AF94" s="12" t="s">
        <v>100</v>
      </c>
      <c r="AG94" s="14" t="s">
        <v>211</v>
      </c>
      <c r="AH94" s="14" t="s">
        <v>65</v>
      </c>
      <c r="AI94" s="14" t="s">
        <v>36</v>
      </c>
      <c r="AJ94" s="14">
        <v>80000</v>
      </c>
      <c r="AK94" s="14">
        <v>75000</v>
      </c>
      <c r="AL94" s="13">
        <v>54</v>
      </c>
      <c r="AM94" s="13">
        <v>54</v>
      </c>
      <c r="AN94" s="14" t="s">
        <v>205</v>
      </c>
      <c r="AO94" s="14" t="s">
        <v>206</v>
      </c>
      <c r="AP94" s="14" t="s">
        <v>37</v>
      </c>
      <c r="AQ94" s="14">
        <v>202604</v>
      </c>
      <c r="AR94" s="20" t="s">
        <v>152</v>
      </c>
      <c r="AS94" s="14" t="s">
        <v>249</v>
      </c>
      <c r="AT94" s="14" t="s">
        <v>249</v>
      </c>
      <c r="AU94" s="14" t="s">
        <v>309</v>
      </c>
      <c r="AV94" s="14" t="s">
        <v>461</v>
      </c>
      <c r="AW94"/>
    </row>
    <row r="95" spans="1:49" x14ac:dyDescent="0.3">
      <c r="A95" s="5" t="s">
        <v>150</v>
      </c>
      <c r="B95" s="5" t="s">
        <v>54</v>
      </c>
      <c r="C95" s="5" t="s">
        <v>556</v>
      </c>
      <c r="D95" s="5" t="s">
        <v>32</v>
      </c>
      <c r="E95" s="6" t="s">
        <v>33</v>
      </c>
      <c r="F95" s="5">
        <v>99</v>
      </c>
      <c r="G95" s="5" t="s">
        <v>444</v>
      </c>
      <c r="H95" s="5" t="s">
        <v>901</v>
      </c>
      <c r="I95" s="5" t="s">
        <v>902</v>
      </c>
      <c r="J95" s="5" t="s">
        <v>34</v>
      </c>
      <c r="K95" s="5" t="s">
        <v>98</v>
      </c>
      <c r="L95" s="5" t="s">
        <v>209</v>
      </c>
      <c r="M95" s="5" t="s">
        <v>39</v>
      </c>
      <c r="N95" s="5"/>
      <c r="O95" s="6"/>
      <c r="P95" s="5" t="s">
        <v>96</v>
      </c>
      <c r="Q95" s="5" t="s">
        <v>64</v>
      </c>
      <c r="R95" s="5" t="s">
        <v>145</v>
      </c>
      <c r="S95" s="31">
        <v>44468</v>
      </c>
      <c r="T95" s="31">
        <v>45933</v>
      </c>
      <c r="U95" s="31">
        <v>44536</v>
      </c>
      <c r="V95" s="8">
        <v>46</v>
      </c>
      <c r="W95" s="9">
        <v>88031</v>
      </c>
      <c r="X95" s="5"/>
      <c r="Y95" s="10">
        <v>100</v>
      </c>
      <c r="Z95" s="10">
        <v>18.18</v>
      </c>
      <c r="AA95" s="10">
        <v>18.18</v>
      </c>
      <c r="AB95" s="10">
        <v>39660</v>
      </c>
      <c r="AC95" s="10">
        <v>3577</v>
      </c>
      <c r="AD95" s="10">
        <v>0</v>
      </c>
      <c r="AE95" s="11">
        <v>43237</v>
      </c>
      <c r="AF95" s="12" t="s">
        <v>100</v>
      </c>
      <c r="AG95" s="14" t="s">
        <v>211</v>
      </c>
      <c r="AH95" s="14" t="s">
        <v>65</v>
      </c>
      <c r="AI95" s="14" t="s">
        <v>36</v>
      </c>
      <c r="AJ95" s="14">
        <v>90000</v>
      </c>
      <c r="AK95" s="14">
        <v>90000</v>
      </c>
      <c r="AL95" s="13">
        <v>48</v>
      </c>
      <c r="AM95" s="13">
        <v>48</v>
      </c>
      <c r="AN95" s="14" t="s">
        <v>205</v>
      </c>
      <c r="AO95" s="14" t="s">
        <v>206</v>
      </c>
      <c r="AP95" s="14" t="s">
        <v>37</v>
      </c>
      <c r="AQ95" s="14">
        <v>202604</v>
      </c>
      <c r="AR95" s="20" t="s">
        <v>152</v>
      </c>
      <c r="AS95" s="14" t="s">
        <v>249</v>
      </c>
      <c r="AT95" s="14" t="s">
        <v>249</v>
      </c>
      <c r="AU95" s="14" t="s">
        <v>309</v>
      </c>
      <c r="AV95" s="14" t="s">
        <v>461</v>
      </c>
      <c r="AW95"/>
    </row>
    <row r="96" spans="1:49" x14ac:dyDescent="0.3">
      <c r="A96" s="5" t="s">
        <v>150</v>
      </c>
      <c r="B96" s="5" t="s">
        <v>54</v>
      </c>
      <c r="C96" s="5" t="s">
        <v>556</v>
      </c>
      <c r="D96" s="5" t="s">
        <v>32</v>
      </c>
      <c r="E96" s="6" t="s">
        <v>33</v>
      </c>
      <c r="F96" s="5">
        <v>100</v>
      </c>
      <c r="G96" s="5" t="s">
        <v>444</v>
      </c>
      <c r="H96" s="5" t="s">
        <v>903</v>
      </c>
      <c r="I96" s="5" t="s">
        <v>904</v>
      </c>
      <c r="J96" s="5" t="s">
        <v>34</v>
      </c>
      <c r="K96" s="5" t="s">
        <v>98</v>
      </c>
      <c r="L96" s="5" t="s">
        <v>209</v>
      </c>
      <c r="M96" s="5" t="s">
        <v>39</v>
      </c>
      <c r="N96" s="5"/>
      <c r="O96" s="6"/>
      <c r="P96" s="5" t="s">
        <v>96</v>
      </c>
      <c r="Q96" s="5" t="s">
        <v>64</v>
      </c>
      <c r="R96" s="5" t="s">
        <v>145</v>
      </c>
      <c r="S96" s="31">
        <v>44560</v>
      </c>
      <c r="T96" s="31">
        <v>45883</v>
      </c>
      <c r="U96" s="31">
        <v>44609</v>
      </c>
      <c r="V96" s="8">
        <v>42</v>
      </c>
      <c r="W96" s="9">
        <v>60495</v>
      </c>
      <c r="X96" s="5"/>
      <c r="Y96" s="10">
        <v>100</v>
      </c>
      <c r="Z96" s="10">
        <v>18.18</v>
      </c>
      <c r="AA96" s="10">
        <v>18.18</v>
      </c>
      <c r="AB96" s="10">
        <v>39660</v>
      </c>
      <c r="AC96" s="10">
        <v>3577</v>
      </c>
      <c r="AD96" s="10">
        <v>0</v>
      </c>
      <c r="AE96" s="11">
        <v>43237</v>
      </c>
      <c r="AF96" s="12" t="s">
        <v>100</v>
      </c>
      <c r="AG96" s="14" t="s">
        <v>127</v>
      </c>
      <c r="AH96" s="14" t="s">
        <v>65</v>
      </c>
      <c r="AI96" s="14" t="s">
        <v>36</v>
      </c>
      <c r="AJ96" s="14">
        <v>70000</v>
      </c>
      <c r="AK96" s="14">
        <v>65000</v>
      </c>
      <c r="AL96" s="13">
        <v>48</v>
      </c>
      <c r="AM96" s="13">
        <v>45</v>
      </c>
      <c r="AN96" s="14" t="s">
        <v>205</v>
      </c>
      <c r="AO96" s="14" t="s">
        <v>206</v>
      </c>
      <c r="AP96" s="14" t="s">
        <v>37</v>
      </c>
      <c r="AQ96" s="14">
        <v>202604</v>
      </c>
      <c r="AR96" s="20" t="s">
        <v>152</v>
      </c>
      <c r="AS96" s="14" t="s">
        <v>249</v>
      </c>
      <c r="AT96" s="14" t="s">
        <v>249</v>
      </c>
      <c r="AU96" s="14" t="s">
        <v>309</v>
      </c>
      <c r="AV96" s="14" t="s">
        <v>461</v>
      </c>
      <c r="AW96"/>
    </row>
    <row r="97" spans="1:49" x14ac:dyDescent="0.3">
      <c r="A97" s="5" t="s">
        <v>150</v>
      </c>
      <c r="B97" s="5" t="s">
        <v>54</v>
      </c>
      <c r="C97" s="5" t="s">
        <v>556</v>
      </c>
      <c r="D97" s="5" t="s">
        <v>32</v>
      </c>
      <c r="E97" s="6" t="s">
        <v>33</v>
      </c>
      <c r="F97" s="5">
        <v>101</v>
      </c>
      <c r="G97" s="5" t="s">
        <v>444</v>
      </c>
      <c r="H97" s="5" t="s">
        <v>905</v>
      </c>
      <c r="I97" s="5" t="s">
        <v>906</v>
      </c>
      <c r="J97" s="5" t="s">
        <v>34</v>
      </c>
      <c r="K97" s="5" t="s">
        <v>98</v>
      </c>
      <c r="L97" s="5" t="s">
        <v>209</v>
      </c>
      <c r="M97" s="5" t="s">
        <v>39</v>
      </c>
      <c r="N97" s="5"/>
      <c r="O97" s="6"/>
      <c r="P97" s="5" t="s">
        <v>96</v>
      </c>
      <c r="Q97" s="5" t="s">
        <v>64</v>
      </c>
      <c r="R97" s="5" t="s">
        <v>145</v>
      </c>
      <c r="S97" s="31">
        <v>44615</v>
      </c>
      <c r="T97" s="31">
        <v>46108</v>
      </c>
      <c r="U97" s="31">
        <v>44691</v>
      </c>
      <c r="V97" s="8">
        <v>47</v>
      </c>
      <c r="W97" s="9">
        <v>80819</v>
      </c>
      <c r="X97" s="5"/>
      <c r="Y97" s="10">
        <v>100</v>
      </c>
      <c r="Z97" s="10">
        <v>18.18</v>
      </c>
      <c r="AA97" s="10">
        <v>18.18</v>
      </c>
      <c r="AB97" s="10">
        <v>39660</v>
      </c>
      <c r="AC97" s="10">
        <v>3577</v>
      </c>
      <c r="AD97" s="10">
        <v>0</v>
      </c>
      <c r="AE97" s="11">
        <v>43237</v>
      </c>
      <c r="AF97" s="12" t="s">
        <v>100</v>
      </c>
      <c r="AG97" s="14" t="s">
        <v>175</v>
      </c>
      <c r="AH97" s="14" t="s">
        <v>65</v>
      </c>
      <c r="AI97" s="14" t="s">
        <v>36</v>
      </c>
      <c r="AJ97" s="14">
        <v>90000</v>
      </c>
      <c r="AK97" s="14">
        <v>85000</v>
      </c>
      <c r="AL97" s="13">
        <v>48</v>
      </c>
      <c r="AM97" s="13">
        <v>48</v>
      </c>
      <c r="AN97" s="14" t="s">
        <v>205</v>
      </c>
      <c r="AO97" s="14" t="s">
        <v>206</v>
      </c>
      <c r="AP97" s="14" t="s">
        <v>37</v>
      </c>
      <c r="AQ97" s="14">
        <v>202604</v>
      </c>
      <c r="AR97" s="20" t="s">
        <v>152</v>
      </c>
      <c r="AS97" s="14" t="s">
        <v>249</v>
      </c>
      <c r="AT97" s="14" t="s">
        <v>249</v>
      </c>
      <c r="AU97" s="14" t="s">
        <v>309</v>
      </c>
      <c r="AV97" s="14" t="s">
        <v>461</v>
      </c>
      <c r="AW97"/>
    </row>
    <row r="98" spans="1:49" x14ac:dyDescent="0.3">
      <c r="A98" s="5" t="s">
        <v>150</v>
      </c>
      <c r="B98" s="5" t="s">
        <v>54</v>
      </c>
      <c r="C98" s="5" t="s">
        <v>556</v>
      </c>
      <c r="D98" s="5" t="s">
        <v>32</v>
      </c>
      <c r="E98" s="6" t="s">
        <v>33</v>
      </c>
      <c r="F98" s="5">
        <v>102</v>
      </c>
      <c r="G98" s="5" t="s">
        <v>444</v>
      </c>
      <c r="H98" s="5" t="s">
        <v>907</v>
      </c>
      <c r="I98" s="5" t="s">
        <v>908</v>
      </c>
      <c r="J98" s="5" t="s">
        <v>34</v>
      </c>
      <c r="K98" s="5" t="s">
        <v>98</v>
      </c>
      <c r="L98" s="5" t="s">
        <v>209</v>
      </c>
      <c r="M98" s="5" t="s">
        <v>39</v>
      </c>
      <c r="N98" s="5"/>
      <c r="O98" s="6"/>
      <c r="P98" s="5" t="s">
        <v>96</v>
      </c>
      <c r="Q98" s="5" t="s">
        <v>64</v>
      </c>
      <c r="R98" s="5" t="s">
        <v>145</v>
      </c>
      <c r="S98" s="31">
        <v>44734</v>
      </c>
      <c r="T98" s="31">
        <v>46106</v>
      </c>
      <c r="U98" s="31">
        <v>44795</v>
      </c>
      <c r="V98" s="8">
        <v>44</v>
      </c>
      <c r="W98" s="9">
        <v>72030</v>
      </c>
      <c r="X98" s="5"/>
      <c r="Y98" s="10">
        <v>100</v>
      </c>
      <c r="Z98" s="10">
        <v>18.18</v>
      </c>
      <c r="AA98" s="10">
        <v>18.18</v>
      </c>
      <c r="AB98" s="10">
        <v>39660</v>
      </c>
      <c r="AC98" s="10">
        <v>3577</v>
      </c>
      <c r="AD98" s="10">
        <v>0</v>
      </c>
      <c r="AE98" s="11">
        <v>43237</v>
      </c>
      <c r="AF98" s="12" t="s">
        <v>100</v>
      </c>
      <c r="AG98" s="14" t="s">
        <v>356</v>
      </c>
      <c r="AH98" s="14" t="s">
        <v>65</v>
      </c>
      <c r="AI98" s="14" t="s">
        <v>36</v>
      </c>
      <c r="AJ98" s="14">
        <v>80000</v>
      </c>
      <c r="AK98" s="14">
        <v>75000</v>
      </c>
      <c r="AL98" s="13">
        <v>48</v>
      </c>
      <c r="AM98" s="13">
        <v>45</v>
      </c>
      <c r="AN98" s="14" t="s">
        <v>205</v>
      </c>
      <c r="AO98" s="14" t="s">
        <v>206</v>
      </c>
      <c r="AP98" s="14" t="s">
        <v>37</v>
      </c>
      <c r="AQ98" s="14">
        <v>202604</v>
      </c>
      <c r="AR98" s="20" t="s">
        <v>152</v>
      </c>
      <c r="AS98" s="14" t="s">
        <v>249</v>
      </c>
      <c r="AT98" s="14" t="s">
        <v>249</v>
      </c>
      <c r="AU98" s="14" t="s">
        <v>309</v>
      </c>
      <c r="AV98" s="14" t="s">
        <v>461</v>
      </c>
      <c r="AW98"/>
    </row>
    <row r="99" spans="1:49" x14ac:dyDescent="0.3">
      <c r="A99" s="5" t="s">
        <v>150</v>
      </c>
      <c r="B99" s="5" t="s">
        <v>54</v>
      </c>
      <c r="C99" s="5" t="s">
        <v>556</v>
      </c>
      <c r="D99" s="5" t="s">
        <v>32</v>
      </c>
      <c r="E99" s="6" t="s">
        <v>33</v>
      </c>
      <c r="F99" s="5">
        <v>103</v>
      </c>
      <c r="G99" s="5" t="s">
        <v>444</v>
      </c>
      <c r="H99" s="5" t="s">
        <v>909</v>
      </c>
      <c r="I99" s="5" t="s">
        <v>910</v>
      </c>
      <c r="J99" s="5" t="s">
        <v>34</v>
      </c>
      <c r="K99" s="5" t="s">
        <v>98</v>
      </c>
      <c r="L99" s="5" t="s">
        <v>209</v>
      </c>
      <c r="M99" s="5" t="s">
        <v>39</v>
      </c>
      <c r="N99" s="5"/>
      <c r="O99" s="6"/>
      <c r="P99" s="5" t="s">
        <v>96</v>
      </c>
      <c r="Q99" s="5" t="s">
        <v>64</v>
      </c>
      <c r="R99" s="5" t="s">
        <v>145</v>
      </c>
      <c r="S99" s="31">
        <v>44790</v>
      </c>
      <c r="T99" s="31">
        <v>46079</v>
      </c>
      <c r="U99" s="31">
        <v>44860</v>
      </c>
      <c r="V99" s="8">
        <v>41</v>
      </c>
      <c r="W99" s="9">
        <v>74460</v>
      </c>
      <c r="X99" s="5"/>
      <c r="Y99" s="10">
        <v>100</v>
      </c>
      <c r="Z99" s="10">
        <v>18.18</v>
      </c>
      <c r="AA99" s="10">
        <v>18.18</v>
      </c>
      <c r="AB99" s="10">
        <v>39660</v>
      </c>
      <c r="AC99" s="10">
        <v>3577</v>
      </c>
      <c r="AD99" s="10">
        <v>0</v>
      </c>
      <c r="AE99" s="11">
        <v>43237</v>
      </c>
      <c r="AF99" s="12" t="s">
        <v>100</v>
      </c>
      <c r="AG99" s="14" t="s">
        <v>198</v>
      </c>
      <c r="AH99" s="14" t="s">
        <v>65</v>
      </c>
      <c r="AI99" s="14" t="s">
        <v>36</v>
      </c>
      <c r="AJ99" s="14">
        <v>80000</v>
      </c>
      <c r="AK99" s="14">
        <v>75000</v>
      </c>
      <c r="AL99" s="13">
        <v>42</v>
      </c>
      <c r="AM99" s="13">
        <v>42</v>
      </c>
      <c r="AN99" s="14" t="s">
        <v>205</v>
      </c>
      <c r="AO99" s="14" t="s">
        <v>206</v>
      </c>
      <c r="AP99" s="14" t="s">
        <v>37</v>
      </c>
      <c r="AQ99" s="14">
        <v>202604</v>
      </c>
      <c r="AR99" s="20" t="s">
        <v>152</v>
      </c>
      <c r="AS99" s="14" t="s">
        <v>249</v>
      </c>
      <c r="AT99" s="14" t="s">
        <v>249</v>
      </c>
      <c r="AU99" s="14" t="s">
        <v>309</v>
      </c>
      <c r="AV99" s="14" t="s">
        <v>461</v>
      </c>
      <c r="AW99"/>
    </row>
    <row r="100" spans="1:49" x14ac:dyDescent="0.3">
      <c r="A100" s="5" t="s">
        <v>150</v>
      </c>
      <c r="B100" s="5" t="s">
        <v>54</v>
      </c>
      <c r="C100" s="5" t="s">
        <v>556</v>
      </c>
      <c r="D100" s="5" t="s">
        <v>32</v>
      </c>
      <c r="E100" s="6" t="s">
        <v>33</v>
      </c>
      <c r="F100" s="5">
        <v>104</v>
      </c>
      <c r="G100" s="5" t="s">
        <v>444</v>
      </c>
      <c r="H100" s="5" t="s">
        <v>911</v>
      </c>
      <c r="I100" s="5" t="s">
        <v>912</v>
      </c>
      <c r="J100" s="5" t="s">
        <v>34</v>
      </c>
      <c r="K100" s="5" t="s">
        <v>98</v>
      </c>
      <c r="L100" s="5" t="s">
        <v>209</v>
      </c>
      <c r="M100" s="5" t="s">
        <v>39</v>
      </c>
      <c r="N100" s="5"/>
      <c r="O100" s="6"/>
      <c r="P100" s="5" t="s">
        <v>96</v>
      </c>
      <c r="Q100" s="5" t="s">
        <v>64</v>
      </c>
      <c r="R100" s="5" t="s">
        <v>334</v>
      </c>
      <c r="S100" s="31">
        <v>44889</v>
      </c>
      <c r="T100" s="31">
        <v>46087</v>
      </c>
      <c r="U100" s="31">
        <v>45028</v>
      </c>
      <c r="V100" s="8">
        <v>35</v>
      </c>
      <c r="W100" s="9">
        <v>50423</v>
      </c>
      <c r="X100" s="5"/>
      <c r="Y100" s="10">
        <v>100</v>
      </c>
      <c r="Z100" s="10">
        <v>18.18</v>
      </c>
      <c r="AA100" s="10">
        <v>18.18</v>
      </c>
      <c r="AB100" s="10">
        <v>39660</v>
      </c>
      <c r="AC100" s="10">
        <v>3577</v>
      </c>
      <c r="AD100" s="10">
        <v>0</v>
      </c>
      <c r="AE100" s="11">
        <v>43237</v>
      </c>
      <c r="AF100" s="12" t="s">
        <v>100</v>
      </c>
      <c r="AG100" s="14" t="s">
        <v>140</v>
      </c>
      <c r="AH100" s="14" t="s">
        <v>65</v>
      </c>
      <c r="AI100" s="14" t="s">
        <v>49</v>
      </c>
      <c r="AJ100" s="14">
        <v>60000</v>
      </c>
      <c r="AK100" s="14">
        <v>55000</v>
      </c>
      <c r="AL100" s="13">
        <v>36</v>
      </c>
      <c r="AM100" s="13">
        <v>36</v>
      </c>
      <c r="AN100" s="14" t="s">
        <v>205</v>
      </c>
      <c r="AO100" s="14" t="s">
        <v>206</v>
      </c>
      <c r="AP100" s="14" t="s">
        <v>37</v>
      </c>
      <c r="AQ100" s="14">
        <v>202604</v>
      </c>
      <c r="AR100" s="20" t="s">
        <v>152</v>
      </c>
      <c r="AS100" s="14" t="s">
        <v>249</v>
      </c>
      <c r="AT100" s="14" t="s">
        <v>249</v>
      </c>
      <c r="AU100" s="14" t="s">
        <v>309</v>
      </c>
      <c r="AV100" s="14" t="s">
        <v>461</v>
      </c>
      <c r="AW100"/>
    </row>
    <row r="101" spans="1:49" x14ac:dyDescent="0.3">
      <c r="A101" s="5" t="s">
        <v>150</v>
      </c>
      <c r="B101" s="5" t="s">
        <v>54</v>
      </c>
      <c r="C101" s="5" t="s">
        <v>556</v>
      </c>
      <c r="D101" s="5" t="s">
        <v>32</v>
      </c>
      <c r="E101" s="6" t="s">
        <v>33</v>
      </c>
      <c r="F101" s="5">
        <v>105</v>
      </c>
      <c r="G101" s="5" t="s">
        <v>444</v>
      </c>
      <c r="H101" s="5" t="s">
        <v>913</v>
      </c>
      <c r="I101" s="5" t="s">
        <v>914</v>
      </c>
      <c r="J101" s="5" t="s">
        <v>34</v>
      </c>
      <c r="K101" s="5" t="s">
        <v>98</v>
      </c>
      <c r="L101" s="5" t="s">
        <v>209</v>
      </c>
      <c r="M101" s="5" t="s">
        <v>39</v>
      </c>
      <c r="N101" s="5"/>
      <c r="O101" s="6"/>
      <c r="P101" s="5" t="s">
        <v>96</v>
      </c>
      <c r="Q101" s="5" t="s">
        <v>64</v>
      </c>
      <c r="R101" s="5" t="s">
        <v>144</v>
      </c>
      <c r="S101" s="31">
        <v>44902</v>
      </c>
      <c r="T101" s="31">
        <v>46090</v>
      </c>
      <c r="U101" s="31">
        <v>44980</v>
      </c>
      <c r="V101" s="8">
        <v>37</v>
      </c>
      <c r="W101" s="9">
        <v>37633</v>
      </c>
      <c r="X101" s="5"/>
      <c r="Y101" s="10">
        <v>100</v>
      </c>
      <c r="Z101" s="10">
        <v>18.18</v>
      </c>
      <c r="AA101" s="10">
        <v>18.18</v>
      </c>
      <c r="AB101" s="10">
        <v>39660</v>
      </c>
      <c r="AC101" s="10">
        <v>3577</v>
      </c>
      <c r="AD101" s="10">
        <v>0</v>
      </c>
      <c r="AE101" s="11">
        <v>43237</v>
      </c>
      <c r="AF101" s="12" t="s">
        <v>100</v>
      </c>
      <c r="AG101" s="14" t="s">
        <v>185</v>
      </c>
      <c r="AH101" s="14" t="s">
        <v>65</v>
      </c>
      <c r="AI101" s="14" t="s">
        <v>36</v>
      </c>
      <c r="AJ101" s="14">
        <v>40000</v>
      </c>
      <c r="AK101" s="14">
        <v>40000</v>
      </c>
      <c r="AL101" s="13">
        <v>42</v>
      </c>
      <c r="AM101" s="13">
        <v>39</v>
      </c>
      <c r="AN101" s="14" t="s">
        <v>205</v>
      </c>
      <c r="AO101" s="14" t="s">
        <v>206</v>
      </c>
      <c r="AP101" s="14" t="s">
        <v>37</v>
      </c>
      <c r="AQ101" s="14">
        <v>202604</v>
      </c>
      <c r="AR101" s="20" t="s">
        <v>152</v>
      </c>
      <c r="AS101" s="14" t="s">
        <v>249</v>
      </c>
      <c r="AT101" s="14" t="s">
        <v>249</v>
      </c>
      <c r="AU101" s="14" t="s">
        <v>309</v>
      </c>
      <c r="AV101" s="14" t="s">
        <v>461</v>
      </c>
      <c r="AW101"/>
    </row>
    <row r="102" spans="1:49" x14ac:dyDescent="0.3">
      <c r="A102" s="5" t="s">
        <v>150</v>
      </c>
      <c r="B102" s="5" t="s">
        <v>54</v>
      </c>
      <c r="C102" s="5" t="s">
        <v>556</v>
      </c>
      <c r="D102" s="5" t="s">
        <v>32</v>
      </c>
      <c r="E102" s="6" t="s">
        <v>33</v>
      </c>
      <c r="F102" s="5">
        <v>106</v>
      </c>
      <c r="G102" s="5" t="s">
        <v>444</v>
      </c>
      <c r="H102" s="5" t="s">
        <v>915</v>
      </c>
      <c r="I102" s="5" t="s">
        <v>916</v>
      </c>
      <c r="J102" s="5" t="s">
        <v>34</v>
      </c>
      <c r="K102" s="5" t="s">
        <v>98</v>
      </c>
      <c r="L102" s="5" t="s">
        <v>209</v>
      </c>
      <c r="M102" s="5" t="s">
        <v>39</v>
      </c>
      <c r="N102" s="5"/>
      <c r="O102" s="6"/>
      <c r="P102" s="5" t="s">
        <v>96</v>
      </c>
      <c r="Q102" s="5" t="s">
        <v>64</v>
      </c>
      <c r="R102" s="5" t="s">
        <v>145</v>
      </c>
      <c r="S102" s="31">
        <v>44974</v>
      </c>
      <c r="T102" s="31">
        <v>46050</v>
      </c>
      <c r="U102" s="31">
        <v>45057</v>
      </c>
      <c r="V102" s="8">
        <v>33</v>
      </c>
      <c r="W102" s="9">
        <v>70683</v>
      </c>
      <c r="X102" s="5"/>
      <c r="Y102" s="10">
        <v>100</v>
      </c>
      <c r="Z102" s="10">
        <v>18.18</v>
      </c>
      <c r="AA102" s="10">
        <v>18.18</v>
      </c>
      <c r="AB102" s="10">
        <v>39660</v>
      </c>
      <c r="AC102" s="10">
        <v>3577</v>
      </c>
      <c r="AD102" s="10">
        <v>0</v>
      </c>
      <c r="AE102" s="11">
        <v>43237</v>
      </c>
      <c r="AF102" s="12" t="s">
        <v>100</v>
      </c>
      <c r="AG102" s="14" t="s">
        <v>178</v>
      </c>
      <c r="AH102" s="14" t="s">
        <v>65</v>
      </c>
      <c r="AI102" s="14" t="s">
        <v>36</v>
      </c>
      <c r="AJ102" s="14">
        <v>80000</v>
      </c>
      <c r="AK102" s="14">
        <v>75000</v>
      </c>
      <c r="AL102" s="13">
        <v>36</v>
      </c>
      <c r="AM102" s="13">
        <v>36</v>
      </c>
      <c r="AN102" s="14" t="s">
        <v>205</v>
      </c>
      <c r="AO102" s="14" t="s">
        <v>206</v>
      </c>
      <c r="AP102" s="14" t="s">
        <v>37</v>
      </c>
      <c r="AQ102" s="14">
        <v>202604</v>
      </c>
      <c r="AR102" s="20" t="s">
        <v>152</v>
      </c>
      <c r="AS102" s="14" t="s">
        <v>249</v>
      </c>
      <c r="AT102" s="14" t="s">
        <v>249</v>
      </c>
      <c r="AU102" s="14" t="s">
        <v>309</v>
      </c>
      <c r="AV102" s="14" t="s">
        <v>461</v>
      </c>
      <c r="AW102"/>
    </row>
    <row r="103" spans="1:49" x14ac:dyDescent="0.3">
      <c r="A103" s="5" t="s">
        <v>150</v>
      </c>
      <c r="B103" s="5" t="s">
        <v>54</v>
      </c>
      <c r="C103" s="5" t="s">
        <v>556</v>
      </c>
      <c r="D103" s="5" t="s">
        <v>32</v>
      </c>
      <c r="E103" s="6" t="s">
        <v>33</v>
      </c>
      <c r="F103" s="5">
        <v>107</v>
      </c>
      <c r="G103" s="5" t="s">
        <v>444</v>
      </c>
      <c r="H103" s="5" t="s">
        <v>917</v>
      </c>
      <c r="I103" s="5" t="s">
        <v>918</v>
      </c>
      <c r="J103" s="5" t="s">
        <v>34</v>
      </c>
      <c r="K103" s="5" t="s">
        <v>98</v>
      </c>
      <c r="L103" s="5" t="s">
        <v>209</v>
      </c>
      <c r="M103" s="5" t="s">
        <v>39</v>
      </c>
      <c r="N103" s="5"/>
      <c r="O103" s="6"/>
      <c r="P103" s="5" t="s">
        <v>96</v>
      </c>
      <c r="Q103" s="5" t="s">
        <v>64</v>
      </c>
      <c r="R103" s="5" t="s">
        <v>145</v>
      </c>
      <c r="S103" s="31">
        <v>45043</v>
      </c>
      <c r="T103" s="31">
        <v>46087</v>
      </c>
      <c r="U103" s="31">
        <v>45117</v>
      </c>
      <c r="V103" s="8">
        <v>32</v>
      </c>
      <c r="W103" s="9">
        <v>99189</v>
      </c>
      <c r="X103" s="5"/>
      <c r="Y103" s="10">
        <v>100</v>
      </c>
      <c r="Z103" s="10">
        <v>18.18</v>
      </c>
      <c r="AA103" s="10">
        <v>18.18</v>
      </c>
      <c r="AB103" s="10">
        <v>39660</v>
      </c>
      <c r="AC103" s="10">
        <v>3577</v>
      </c>
      <c r="AD103" s="10">
        <v>0</v>
      </c>
      <c r="AE103" s="11">
        <v>43237</v>
      </c>
      <c r="AF103" s="12" t="s">
        <v>100</v>
      </c>
      <c r="AG103" s="14" t="s">
        <v>270</v>
      </c>
      <c r="AH103" s="14" t="s">
        <v>65</v>
      </c>
      <c r="AI103" s="14" t="s">
        <v>36</v>
      </c>
      <c r="AJ103" s="14">
        <v>100000</v>
      </c>
      <c r="AK103" s="14">
        <v>100000</v>
      </c>
      <c r="AL103" s="13">
        <v>36</v>
      </c>
      <c r="AM103" s="13">
        <v>33</v>
      </c>
      <c r="AN103" s="14" t="s">
        <v>205</v>
      </c>
      <c r="AO103" s="14" t="s">
        <v>206</v>
      </c>
      <c r="AP103" s="14" t="s">
        <v>37</v>
      </c>
      <c r="AQ103" s="14">
        <v>202604</v>
      </c>
      <c r="AR103" s="20" t="s">
        <v>152</v>
      </c>
      <c r="AS103" s="14" t="s">
        <v>249</v>
      </c>
      <c r="AT103" s="14" t="s">
        <v>249</v>
      </c>
      <c r="AU103" s="14" t="s">
        <v>309</v>
      </c>
      <c r="AV103" s="14" t="s">
        <v>461</v>
      </c>
      <c r="AW103"/>
    </row>
    <row r="104" spans="1:49" x14ac:dyDescent="0.3">
      <c r="A104" s="5" t="s">
        <v>150</v>
      </c>
      <c r="B104" s="5" t="s">
        <v>54</v>
      </c>
      <c r="C104" s="5" t="s">
        <v>556</v>
      </c>
      <c r="D104" s="5" t="s">
        <v>32</v>
      </c>
      <c r="E104" s="6" t="s">
        <v>33</v>
      </c>
      <c r="F104" s="5">
        <v>108</v>
      </c>
      <c r="G104" s="5" t="s">
        <v>444</v>
      </c>
      <c r="H104" s="5" t="s">
        <v>919</v>
      </c>
      <c r="I104" s="5" t="s">
        <v>920</v>
      </c>
      <c r="J104" s="5" t="s">
        <v>34</v>
      </c>
      <c r="K104" s="5" t="s">
        <v>98</v>
      </c>
      <c r="L104" s="5" t="s">
        <v>209</v>
      </c>
      <c r="M104" s="5" t="s">
        <v>39</v>
      </c>
      <c r="N104" s="5"/>
      <c r="O104" s="6"/>
      <c r="P104" s="5" t="s">
        <v>96</v>
      </c>
      <c r="Q104" s="5" t="s">
        <v>64</v>
      </c>
      <c r="R104" s="5" t="s">
        <v>144</v>
      </c>
      <c r="S104" s="31">
        <v>45049</v>
      </c>
      <c r="T104" s="31">
        <v>45833</v>
      </c>
      <c r="U104" s="31">
        <v>45120</v>
      </c>
      <c r="V104" s="8">
        <v>24</v>
      </c>
      <c r="W104" s="9">
        <v>99819</v>
      </c>
      <c r="X104" s="5"/>
      <c r="Y104" s="10">
        <v>100</v>
      </c>
      <c r="Z104" s="10">
        <v>18.18</v>
      </c>
      <c r="AA104" s="10">
        <v>18.18</v>
      </c>
      <c r="AB104" s="10">
        <v>39660</v>
      </c>
      <c r="AC104" s="10">
        <v>3577</v>
      </c>
      <c r="AD104" s="10">
        <v>0</v>
      </c>
      <c r="AE104" s="11">
        <v>43237</v>
      </c>
      <c r="AF104" s="12" t="s">
        <v>100</v>
      </c>
      <c r="AG104" s="14" t="s">
        <v>151</v>
      </c>
      <c r="AH104" s="14" t="s">
        <v>65</v>
      </c>
      <c r="AI104" s="14" t="s">
        <v>36</v>
      </c>
      <c r="AJ104" s="14">
        <v>100000</v>
      </c>
      <c r="AK104" s="14">
        <v>100000</v>
      </c>
      <c r="AL104" s="13">
        <v>30</v>
      </c>
      <c r="AM104" s="13">
        <v>27</v>
      </c>
      <c r="AN104" s="14" t="s">
        <v>205</v>
      </c>
      <c r="AO104" s="14" t="s">
        <v>206</v>
      </c>
      <c r="AP104" s="14" t="s">
        <v>37</v>
      </c>
      <c r="AQ104" s="14">
        <v>202604</v>
      </c>
      <c r="AR104" s="20" t="s">
        <v>152</v>
      </c>
      <c r="AS104" s="14" t="s">
        <v>249</v>
      </c>
      <c r="AT104" s="14" t="s">
        <v>249</v>
      </c>
      <c r="AU104" s="14" t="s">
        <v>309</v>
      </c>
      <c r="AV104" s="14" t="s">
        <v>461</v>
      </c>
      <c r="AW104"/>
    </row>
    <row r="105" spans="1:49" x14ac:dyDescent="0.3">
      <c r="A105" s="5" t="s">
        <v>150</v>
      </c>
      <c r="B105" s="5" t="s">
        <v>54</v>
      </c>
      <c r="C105" s="5" t="s">
        <v>443</v>
      </c>
      <c r="D105" s="5" t="s">
        <v>32</v>
      </c>
      <c r="E105" s="6" t="s">
        <v>33</v>
      </c>
      <c r="F105" s="5">
        <v>281</v>
      </c>
      <c r="G105" s="5" t="s">
        <v>444</v>
      </c>
      <c r="H105" s="5" t="s">
        <v>921</v>
      </c>
      <c r="I105" s="5" t="s">
        <v>922</v>
      </c>
      <c r="J105" s="5" t="s">
        <v>34</v>
      </c>
      <c r="K105" s="5" t="s">
        <v>60</v>
      </c>
      <c r="L105" s="5" t="s">
        <v>432</v>
      </c>
      <c r="M105" s="5" t="s">
        <v>39</v>
      </c>
      <c r="N105" s="5"/>
      <c r="O105" s="6"/>
      <c r="P105" s="5" t="s">
        <v>96</v>
      </c>
      <c r="Q105" s="5" t="s">
        <v>320</v>
      </c>
      <c r="R105" s="5" t="s">
        <v>144</v>
      </c>
      <c r="S105" s="31">
        <v>44872</v>
      </c>
      <c r="T105" s="31">
        <v>46076</v>
      </c>
      <c r="U105" s="31">
        <v>45062</v>
      </c>
      <c r="V105" s="8">
        <v>34</v>
      </c>
      <c r="W105" s="9">
        <v>56224</v>
      </c>
      <c r="X105" s="5"/>
      <c r="Y105" s="10">
        <v>100</v>
      </c>
      <c r="Z105" s="10">
        <v>18.18</v>
      </c>
      <c r="AA105" s="10">
        <v>18.18</v>
      </c>
      <c r="AB105" s="10">
        <v>236493</v>
      </c>
      <c r="AC105" s="10">
        <v>27291</v>
      </c>
      <c r="AD105" s="10">
        <v>0</v>
      </c>
      <c r="AE105" s="11">
        <v>263784</v>
      </c>
      <c r="AF105" s="12" t="s">
        <v>62</v>
      </c>
      <c r="AG105" s="14" t="s">
        <v>140</v>
      </c>
      <c r="AH105" s="14" t="s">
        <v>322</v>
      </c>
      <c r="AI105" s="14" t="s">
        <v>36</v>
      </c>
      <c r="AJ105" s="14">
        <v>60000</v>
      </c>
      <c r="AK105" s="14">
        <v>60000</v>
      </c>
      <c r="AL105" s="13">
        <v>36</v>
      </c>
      <c r="AM105" s="13">
        <v>36</v>
      </c>
      <c r="AN105" s="14" t="s">
        <v>66</v>
      </c>
      <c r="AO105" s="14" t="s">
        <v>67</v>
      </c>
      <c r="AP105" s="14" t="s">
        <v>37</v>
      </c>
      <c r="AQ105" s="14">
        <v>202604</v>
      </c>
      <c r="AR105" s="20" t="s">
        <v>152</v>
      </c>
      <c r="AS105" s="14" t="s">
        <v>249</v>
      </c>
      <c r="AT105" s="14" t="s">
        <v>249</v>
      </c>
      <c r="AU105" s="14" t="s">
        <v>309</v>
      </c>
      <c r="AV105" s="14" t="s">
        <v>461</v>
      </c>
      <c r="AW105"/>
    </row>
    <row r="106" spans="1:49" x14ac:dyDescent="0.3">
      <c r="A106" s="5" t="s">
        <v>150</v>
      </c>
      <c r="B106" s="5" t="s">
        <v>31</v>
      </c>
      <c r="C106" s="5" t="s">
        <v>443</v>
      </c>
      <c r="D106" s="5" t="s">
        <v>32</v>
      </c>
      <c r="E106" s="6" t="s">
        <v>33</v>
      </c>
      <c r="F106" s="5">
        <v>32</v>
      </c>
      <c r="G106" s="5" t="s">
        <v>444</v>
      </c>
      <c r="H106" s="5" t="s">
        <v>923</v>
      </c>
      <c r="I106" s="5" t="s">
        <v>924</v>
      </c>
      <c r="J106" s="5" t="s">
        <v>34</v>
      </c>
      <c r="K106" s="5" t="s">
        <v>93</v>
      </c>
      <c r="L106" s="5" t="s">
        <v>97</v>
      </c>
      <c r="M106" s="5" t="s">
        <v>39</v>
      </c>
      <c r="N106" s="5"/>
      <c r="O106" s="6"/>
      <c r="P106" s="5" t="s">
        <v>925</v>
      </c>
      <c r="Q106" s="5" t="s">
        <v>94</v>
      </c>
      <c r="R106" s="5" t="s">
        <v>145</v>
      </c>
      <c r="S106" s="31">
        <v>45434</v>
      </c>
      <c r="T106" s="31">
        <v>46120</v>
      </c>
      <c r="U106" s="31">
        <v>45434</v>
      </c>
      <c r="V106" s="8">
        <v>23</v>
      </c>
      <c r="W106" s="9">
        <v>17701</v>
      </c>
      <c r="X106" s="5"/>
      <c r="Y106" s="10">
        <v>100</v>
      </c>
      <c r="Z106" s="10">
        <v>25.44</v>
      </c>
      <c r="AA106" s="10">
        <v>25.44</v>
      </c>
      <c r="AB106" s="10">
        <v>118580</v>
      </c>
      <c r="AC106" s="10">
        <v>33580</v>
      </c>
      <c r="AD106" s="10">
        <v>0</v>
      </c>
      <c r="AE106" s="11">
        <v>152160</v>
      </c>
      <c r="AF106" s="12" t="s">
        <v>95</v>
      </c>
      <c r="AG106" s="14" t="s">
        <v>221</v>
      </c>
      <c r="AH106" s="14" t="e">
        <v>#N/A</v>
      </c>
      <c r="AI106" s="14" t="s">
        <v>36</v>
      </c>
      <c r="AJ106" s="14">
        <v>20000</v>
      </c>
      <c r="AK106" s="14">
        <v>20000</v>
      </c>
      <c r="AL106" s="13">
        <v>24</v>
      </c>
      <c r="AM106" s="13">
        <v>24</v>
      </c>
      <c r="AN106" s="14" t="s">
        <v>926</v>
      </c>
      <c r="AO106" s="14" t="s">
        <v>86</v>
      </c>
      <c r="AP106" s="14" t="s">
        <v>37</v>
      </c>
      <c r="AQ106" s="14">
        <v>202604</v>
      </c>
      <c r="AR106" s="20" t="s">
        <v>152</v>
      </c>
      <c r="AS106" s="14" t="s">
        <v>249</v>
      </c>
      <c r="AT106" s="14" t="s">
        <v>249</v>
      </c>
      <c r="AU106" s="14" t="s">
        <v>309</v>
      </c>
      <c r="AV106" s="14" t="s">
        <v>461</v>
      </c>
      <c r="AW106"/>
    </row>
    <row r="107" spans="1:49" x14ac:dyDescent="0.3">
      <c r="A107" s="5" t="s">
        <v>150</v>
      </c>
      <c r="B107" s="5" t="s">
        <v>31</v>
      </c>
      <c r="C107" s="5" t="s">
        <v>443</v>
      </c>
      <c r="D107" s="5" t="s">
        <v>32</v>
      </c>
      <c r="E107" s="6" t="s">
        <v>33</v>
      </c>
      <c r="F107" s="5">
        <v>33</v>
      </c>
      <c r="G107" s="5" t="s">
        <v>444</v>
      </c>
      <c r="H107" s="5" t="s">
        <v>927</v>
      </c>
      <c r="I107" s="5" t="s">
        <v>928</v>
      </c>
      <c r="J107" s="5" t="s">
        <v>34</v>
      </c>
      <c r="K107" s="5" t="s">
        <v>93</v>
      </c>
      <c r="L107" s="5" t="s">
        <v>97</v>
      </c>
      <c r="M107" s="5" t="s">
        <v>39</v>
      </c>
      <c r="N107" s="5"/>
      <c r="O107" s="6"/>
      <c r="P107" s="5" t="s">
        <v>83</v>
      </c>
      <c r="Q107" s="5" t="s">
        <v>94</v>
      </c>
      <c r="R107" s="5" t="s">
        <v>145</v>
      </c>
      <c r="S107" s="31">
        <v>45447</v>
      </c>
      <c r="T107" s="31">
        <v>46121</v>
      </c>
      <c r="U107" s="31">
        <v>45456</v>
      </c>
      <c r="V107" s="8">
        <v>22</v>
      </c>
      <c r="W107" s="9">
        <v>41836</v>
      </c>
      <c r="X107" s="5"/>
      <c r="Y107" s="10">
        <v>100</v>
      </c>
      <c r="Z107" s="10">
        <v>25.44</v>
      </c>
      <c r="AA107" s="10">
        <v>25.44</v>
      </c>
      <c r="AB107" s="10">
        <v>119263</v>
      </c>
      <c r="AC107" s="10">
        <v>27068</v>
      </c>
      <c r="AD107" s="10">
        <v>0</v>
      </c>
      <c r="AE107" s="11">
        <v>146331</v>
      </c>
      <c r="AF107" s="12" t="s">
        <v>95</v>
      </c>
      <c r="AG107" s="14" t="s">
        <v>193</v>
      </c>
      <c r="AH107" s="14" t="e">
        <v>#N/A</v>
      </c>
      <c r="AI107" s="14" t="s">
        <v>36</v>
      </c>
      <c r="AJ107" s="14">
        <v>50000</v>
      </c>
      <c r="AK107" s="14">
        <v>45000</v>
      </c>
      <c r="AL107" s="13">
        <v>24</v>
      </c>
      <c r="AM107" s="13">
        <v>24</v>
      </c>
      <c r="AN107" s="14" t="s">
        <v>929</v>
      </c>
      <c r="AO107" s="14" t="s">
        <v>86</v>
      </c>
      <c r="AP107" s="14" t="s">
        <v>37</v>
      </c>
      <c r="AQ107" s="14">
        <v>202604</v>
      </c>
      <c r="AR107" s="20" t="s">
        <v>152</v>
      </c>
      <c r="AS107" s="14" t="s">
        <v>249</v>
      </c>
      <c r="AT107" s="14" t="s">
        <v>249</v>
      </c>
      <c r="AU107" s="14" t="s">
        <v>309</v>
      </c>
      <c r="AV107" s="14" t="s">
        <v>461</v>
      </c>
      <c r="AW107"/>
    </row>
    <row r="108" spans="1:49" x14ac:dyDescent="0.3">
      <c r="A108" s="5" t="s">
        <v>150</v>
      </c>
      <c r="B108" s="5" t="s">
        <v>54</v>
      </c>
      <c r="C108" s="5" t="s">
        <v>443</v>
      </c>
      <c r="D108" s="5" t="s">
        <v>32</v>
      </c>
      <c r="E108" s="6" t="s">
        <v>33</v>
      </c>
      <c r="F108" s="5">
        <v>51</v>
      </c>
      <c r="G108" s="5" t="s">
        <v>444</v>
      </c>
      <c r="H108" s="5" t="s">
        <v>930</v>
      </c>
      <c r="I108" s="5" t="s">
        <v>931</v>
      </c>
      <c r="J108" s="5" t="s">
        <v>34</v>
      </c>
      <c r="K108" s="5" t="s">
        <v>60</v>
      </c>
      <c r="L108" s="5" t="s">
        <v>99</v>
      </c>
      <c r="M108" s="5" t="s">
        <v>91</v>
      </c>
      <c r="N108" s="5"/>
      <c r="O108" s="6"/>
      <c r="P108" s="5" t="s">
        <v>92</v>
      </c>
      <c r="Q108" s="5" t="s">
        <v>124</v>
      </c>
      <c r="R108" s="5" t="s">
        <v>272</v>
      </c>
      <c r="S108" s="31">
        <v>45317</v>
      </c>
      <c r="T108" s="31">
        <v>46121</v>
      </c>
      <c r="U108" s="31">
        <v>45400</v>
      </c>
      <c r="V108" s="8">
        <v>24</v>
      </c>
      <c r="W108" s="9">
        <v>15944</v>
      </c>
      <c r="X108" s="5"/>
      <c r="Y108" s="10">
        <v>100</v>
      </c>
      <c r="Z108" s="10">
        <v>18.18</v>
      </c>
      <c r="AA108" s="10">
        <v>18.18</v>
      </c>
      <c r="AB108" s="10">
        <v>121388</v>
      </c>
      <c r="AC108" s="10">
        <v>4012</v>
      </c>
      <c r="AD108" s="10">
        <v>0</v>
      </c>
      <c r="AE108" s="11">
        <v>125400</v>
      </c>
      <c r="AF108" s="12" t="s">
        <v>62</v>
      </c>
      <c r="AG108" s="14" t="s">
        <v>173</v>
      </c>
      <c r="AH108" s="14" t="s">
        <v>125</v>
      </c>
      <c r="AI108" s="14" t="s">
        <v>85</v>
      </c>
      <c r="AJ108" s="14">
        <v>20000</v>
      </c>
      <c r="AK108" s="14">
        <v>20000</v>
      </c>
      <c r="AL108" s="13">
        <v>30</v>
      </c>
      <c r="AM108" s="13">
        <v>27</v>
      </c>
      <c r="AN108" s="14" t="s">
        <v>932</v>
      </c>
      <c r="AO108" s="14" t="s">
        <v>933</v>
      </c>
      <c r="AP108" s="14" t="s">
        <v>37</v>
      </c>
      <c r="AQ108" s="14">
        <v>202604</v>
      </c>
      <c r="AR108" s="20" t="s">
        <v>152</v>
      </c>
      <c r="AS108" s="14" t="s">
        <v>249</v>
      </c>
      <c r="AT108" s="14" t="s">
        <v>249</v>
      </c>
      <c r="AU108" s="14" t="s">
        <v>309</v>
      </c>
      <c r="AV108" s="14" t="s">
        <v>461</v>
      </c>
      <c r="AW108"/>
    </row>
    <row r="109" spans="1:49" x14ac:dyDescent="0.3">
      <c r="A109" s="5" t="s">
        <v>150</v>
      </c>
      <c r="B109" s="5" t="s">
        <v>54</v>
      </c>
      <c r="C109" s="5" t="s">
        <v>443</v>
      </c>
      <c r="D109" s="5" t="s">
        <v>32</v>
      </c>
      <c r="E109" s="6" t="s">
        <v>33</v>
      </c>
      <c r="F109" s="5">
        <v>52</v>
      </c>
      <c r="G109" s="5" t="s">
        <v>444</v>
      </c>
      <c r="H109" s="5" t="s">
        <v>934</v>
      </c>
      <c r="I109" s="5" t="s">
        <v>935</v>
      </c>
      <c r="J109" s="5" t="s">
        <v>34</v>
      </c>
      <c r="K109" s="5" t="s">
        <v>60</v>
      </c>
      <c r="L109" s="5" t="s">
        <v>99</v>
      </c>
      <c r="M109" s="5" t="s">
        <v>91</v>
      </c>
      <c r="N109" s="5"/>
      <c r="O109" s="6"/>
      <c r="P109" s="5" t="s">
        <v>92</v>
      </c>
      <c r="Q109" s="5" t="s">
        <v>64</v>
      </c>
      <c r="R109" s="5" t="s">
        <v>144</v>
      </c>
      <c r="S109" s="31">
        <v>45588</v>
      </c>
      <c r="T109" s="31">
        <v>46069</v>
      </c>
      <c r="U109" s="31">
        <v>45657</v>
      </c>
      <c r="V109" s="8">
        <v>14</v>
      </c>
      <c r="W109" s="9">
        <v>9765</v>
      </c>
      <c r="X109" s="5"/>
      <c r="Y109" s="10">
        <v>100</v>
      </c>
      <c r="Z109" s="10">
        <v>18.18</v>
      </c>
      <c r="AA109" s="10">
        <v>18.18</v>
      </c>
      <c r="AB109" s="10">
        <v>176289</v>
      </c>
      <c r="AC109" s="10">
        <v>45564</v>
      </c>
      <c r="AD109" s="10">
        <v>13359</v>
      </c>
      <c r="AE109" s="11">
        <v>235212</v>
      </c>
      <c r="AF109" s="12" t="s">
        <v>62</v>
      </c>
      <c r="AG109" s="14" t="s">
        <v>396</v>
      </c>
      <c r="AH109" s="14" t="s">
        <v>65</v>
      </c>
      <c r="AI109" s="14" t="s">
        <v>36</v>
      </c>
      <c r="AJ109" s="14">
        <v>10000</v>
      </c>
      <c r="AK109" s="14">
        <v>10000</v>
      </c>
      <c r="AL109" s="13">
        <v>18</v>
      </c>
      <c r="AM109" s="13">
        <v>15</v>
      </c>
      <c r="AN109" s="14" t="s">
        <v>77</v>
      </c>
      <c r="AO109" s="14" t="s">
        <v>78</v>
      </c>
      <c r="AP109" s="14" t="s">
        <v>37</v>
      </c>
      <c r="AQ109" s="14">
        <v>202604</v>
      </c>
      <c r="AR109" s="20" t="s">
        <v>152</v>
      </c>
      <c r="AS109" s="14" t="s">
        <v>249</v>
      </c>
      <c r="AT109" s="14" t="s">
        <v>249</v>
      </c>
      <c r="AU109" s="14" t="s">
        <v>309</v>
      </c>
      <c r="AV109" s="14" t="s">
        <v>461</v>
      </c>
      <c r="AW109"/>
    </row>
    <row r="110" spans="1:49" x14ac:dyDescent="0.3">
      <c r="A110" s="5" t="s">
        <v>150</v>
      </c>
      <c r="B110" s="5" t="s">
        <v>54</v>
      </c>
      <c r="C110" s="5" t="s">
        <v>443</v>
      </c>
      <c r="D110" s="5" t="s">
        <v>32</v>
      </c>
      <c r="E110" s="6" t="s">
        <v>33</v>
      </c>
      <c r="F110" s="5">
        <v>53</v>
      </c>
      <c r="G110" s="5" t="s">
        <v>444</v>
      </c>
      <c r="H110" s="5" t="s">
        <v>936</v>
      </c>
      <c r="I110" s="5" t="s">
        <v>937</v>
      </c>
      <c r="J110" s="5" t="s">
        <v>34</v>
      </c>
      <c r="K110" s="5" t="s">
        <v>60</v>
      </c>
      <c r="L110" s="5" t="s">
        <v>99</v>
      </c>
      <c r="M110" s="5" t="s">
        <v>91</v>
      </c>
      <c r="N110" s="5"/>
      <c r="O110" s="6"/>
      <c r="P110" s="5" t="s">
        <v>92</v>
      </c>
      <c r="Q110" s="5" t="s">
        <v>64</v>
      </c>
      <c r="R110" s="5" t="s">
        <v>272</v>
      </c>
      <c r="S110" s="31">
        <v>45989</v>
      </c>
      <c r="T110" s="31">
        <v>46098</v>
      </c>
      <c r="U110" s="31">
        <v>46054</v>
      </c>
      <c r="V110" s="8">
        <v>2</v>
      </c>
      <c r="W110" s="9">
        <v>163</v>
      </c>
      <c r="X110" s="5"/>
      <c r="Y110" s="10">
        <v>100</v>
      </c>
      <c r="Z110" s="10">
        <v>18.18</v>
      </c>
      <c r="AA110" s="10">
        <v>18.18</v>
      </c>
      <c r="AB110" s="10">
        <v>175639</v>
      </c>
      <c r="AC110" s="10">
        <v>71812</v>
      </c>
      <c r="AD110" s="10">
        <v>0</v>
      </c>
      <c r="AE110" s="11">
        <v>247451</v>
      </c>
      <c r="AF110" s="12" t="s">
        <v>62</v>
      </c>
      <c r="AG110" s="14" t="s">
        <v>938</v>
      </c>
      <c r="AH110" s="14" t="s">
        <v>65</v>
      </c>
      <c r="AI110" s="14" t="s">
        <v>85</v>
      </c>
      <c r="AJ110" s="14">
        <v>10000</v>
      </c>
      <c r="AK110" s="14">
        <v>5000</v>
      </c>
      <c r="AL110" s="13">
        <v>6</v>
      </c>
      <c r="AM110" s="13">
        <v>3</v>
      </c>
      <c r="AN110" s="14" t="s">
        <v>77</v>
      </c>
      <c r="AO110" s="14" t="s">
        <v>78</v>
      </c>
      <c r="AP110" s="14" t="s">
        <v>37</v>
      </c>
      <c r="AQ110" s="14">
        <v>202604</v>
      </c>
      <c r="AR110" s="20" t="s">
        <v>152</v>
      </c>
      <c r="AS110" s="14" t="s">
        <v>249</v>
      </c>
      <c r="AT110" s="14" t="s">
        <v>249</v>
      </c>
      <c r="AU110" s="14" t="s">
        <v>309</v>
      </c>
      <c r="AV110" s="14" t="s">
        <v>461</v>
      </c>
      <c r="AW110"/>
    </row>
    <row r="111" spans="1:49" x14ac:dyDescent="0.3">
      <c r="A111" s="5" t="s">
        <v>150</v>
      </c>
      <c r="B111" s="5" t="s">
        <v>54</v>
      </c>
      <c r="C111" s="5" t="s">
        <v>443</v>
      </c>
      <c r="D111" s="5" t="s">
        <v>32</v>
      </c>
      <c r="E111" s="6" t="s">
        <v>33</v>
      </c>
      <c r="F111" s="5">
        <v>54</v>
      </c>
      <c r="G111" s="5" t="s">
        <v>444</v>
      </c>
      <c r="H111" s="5" t="s">
        <v>939</v>
      </c>
      <c r="I111" s="5" t="s">
        <v>940</v>
      </c>
      <c r="J111" s="5" t="s">
        <v>34</v>
      </c>
      <c r="K111" s="5" t="s">
        <v>60</v>
      </c>
      <c r="L111" s="5" t="s">
        <v>941</v>
      </c>
      <c r="M111" s="5" t="s">
        <v>91</v>
      </c>
      <c r="N111" s="5"/>
      <c r="O111" s="6"/>
      <c r="P111" s="5" t="s">
        <v>96</v>
      </c>
      <c r="Q111" s="5" t="s">
        <v>64</v>
      </c>
      <c r="R111" s="5" t="s">
        <v>942</v>
      </c>
      <c r="S111" s="31">
        <v>45674</v>
      </c>
      <c r="T111" s="31">
        <v>45979</v>
      </c>
      <c r="U111" s="31">
        <v>45967</v>
      </c>
      <c r="V111" s="8">
        <v>1</v>
      </c>
      <c r="W111" s="9">
        <v>1375</v>
      </c>
      <c r="X111" s="5"/>
      <c r="Y111" s="10">
        <v>100</v>
      </c>
      <c r="Z111" s="10">
        <v>18.18</v>
      </c>
      <c r="AA111" s="10">
        <v>18.18</v>
      </c>
      <c r="AB111" s="10">
        <v>79945</v>
      </c>
      <c r="AC111" s="10">
        <v>4347</v>
      </c>
      <c r="AD111" s="10">
        <v>0</v>
      </c>
      <c r="AE111" s="11">
        <v>84292</v>
      </c>
      <c r="AF111" s="12" t="s">
        <v>62</v>
      </c>
      <c r="AG111" s="14" t="s">
        <v>282</v>
      </c>
      <c r="AH111" s="14" t="s">
        <v>65</v>
      </c>
      <c r="AI111" s="14" t="s">
        <v>49</v>
      </c>
      <c r="AJ111" s="14">
        <v>10000</v>
      </c>
      <c r="AK111" s="14">
        <v>5000</v>
      </c>
      <c r="AL111" s="13">
        <v>6</v>
      </c>
      <c r="AM111" s="13">
        <v>3</v>
      </c>
      <c r="AN111" s="14" t="s">
        <v>943</v>
      </c>
      <c r="AO111" s="14" t="s">
        <v>944</v>
      </c>
      <c r="AP111" s="14" t="s">
        <v>37</v>
      </c>
      <c r="AQ111" s="14">
        <v>202604</v>
      </c>
      <c r="AR111" s="20" t="s">
        <v>152</v>
      </c>
      <c r="AS111" s="14" t="s">
        <v>249</v>
      </c>
      <c r="AT111" s="14" t="s">
        <v>249</v>
      </c>
      <c r="AU111" s="14" t="s">
        <v>309</v>
      </c>
      <c r="AV111" s="14" t="s">
        <v>461</v>
      </c>
      <c r="AW111"/>
    </row>
    <row r="112" spans="1:49" x14ac:dyDescent="0.3">
      <c r="A112" s="5" t="s">
        <v>30</v>
      </c>
      <c r="B112" s="5" t="s">
        <v>31</v>
      </c>
      <c r="C112" s="5" t="s">
        <v>949</v>
      </c>
      <c r="D112" s="5" t="s">
        <v>32</v>
      </c>
      <c r="E112" s="6" t="s">
        <v>33</v>
      </c>
      <c r="F112" s="7">
        <v>91</v>
      </c>
      <c r="G112" s="5" t="s">
        <v>950</v>
      </c>
      <c r="H112" s="5" t="s">
        <v>951</v>
      </c>
      <c r="I112" s="5" t="s">
        <v>952</v>
      </c>
      <c r="J112" s="5" t="s">
        <v>34</v>
      </c>
      <c r="K112" s="5" t="s">
        <v>134</v>
      </c>
      <c r="L112" s="5" t="s">
        <v>153</v>
      </c>
      <c r="M112" s="5" t="s">
        <v>154</v>
      </c>
      <c r="N112" s="5" t="s">
        <v>56</v>
      </c>
      <c r="O112" s="6" t="s">
        <v>953</v>
      </c>
      <c r="P112" s="5" t="s">
        <v>51</v>
      </c>
      <c r="Q112" s="5"/>
      <c r="R112" s="5" t="s">
        <v>190</v>
      </c>
      <c r="S112" s="5" t="s">
        <v>954</v>
      </c>
      <c r="T112" s="5" t="s">
        <v>955</v>
      </c>
      <c r="U112" s="5" t="s">
        <v>956</v>
      </c>
      <c r="V112" s="8">
        <v>44</v>
      </c>
      <c r="W112" s="9">
        <v>70360</v>
      </c>
      <c r="X112" s="5" t="s">
        <v>35</v>
      </c>
      <c r="Y112" s="10">
        <v>100</v>
      </c>
      <c r="Z112" s="10">
        <v>25.44</v>
      </c>
      <c r="AA112" s="10">
        <v>25.44</v>
      </c>
      <c r="AB112" s="10">
        <v>48358</v>
      </c>
      <c r="AC112" s="10">
        <v>9540</v>
      </c>
      <c r="AD112" s="10">
        <v>0</v>
      </c>
      <c r="AE112" s="11">
        <v>57898</v>
      </c>
      <c r="AF112" s="12" t="s">
        <v>135</v>
      </c>
      <c r="AG112" s="14" t="s">
        <v>138</v>
      </c>
      <c r="AH112" s="14" t="e">
        <v>#N/A</v>
      </c>
      <c r="AI112" s="14" t="s">
        <v>143</v>
      </c>
      <c r="AJ112" s="14">
        <v>80000</v>
      </c>
      <c r="AK112" s="14">
        <v>75000</v>
      </c>
      <c r="AL112" s="13">
        <v>48</v>
      </c>
      <c r="AM112" s="13">
        <v>45</v>
      </c>
      <c r="AN112" s="14" t="s">
        <v>957</v>
      </c>
      <c r="AO112" s="14" t="s">
        <v>86</v>
      </c>
      <c r="AP112" s="14" t="s">
        <v>439</v>
      </c>
      <c r="AQ112" s="20">
        <v>202605</v>
      </c>
      <c r="AR112" s="30" t="s">
        <v>164</v>
      </c>
      <c r="AS112" s="30"/>
      <c r="AT112" s="12" t="s">
        <v>135</v>
      </c>
      <c r="AU112" s="30" t="s">
        <v>309</v>
      </c>
      <c r="AV112" s="30" t="s">
        <v>461</v>
      </c>
    </row>
    <row r="113" spans="1:48" x14ac:dyDescent="0.3">
      <c r="A113" s="5" t="s">
        <v>30</v>
      </c>
      <c r="B113" s="5" t="s">
        <v>31</v>
      </c>
      <c r="C113" s="5" t="s">
        <v>949</v>
      </c>
      <c r="D113" s="5" t="s">
        <v>32</v>
      </c>
      <c r="E113" s="6" t="s">
        <v>33</v>
      </c>
      <c r="F113" s="7">
        <v>92</v>
      </c>
      <c r="G113" s="5" t="s">
        <v>950</v>
      </c>
      <c r="H113" s="5" t="s">
        <v>958</v>
      </c>
      <c r="I113" s="5" t="s">
        <v>959</v>
      </c>
      <c r="J113" s="5" t="s">
        <v>34</v>
      </c>
      <c r="K113" s="5" t="s">
        <v>134</v>
      </c>
      <c r="L113" s="5" t="s">
        <v>153</v>
      </c>
      <c r="M113" s="5" t="s">
        <v>154</v>
      </c>
      <c r="N113" s="5" t="s">
        <v>56</v>
      </c>
      <c r="O113" s="6" t="s">
        <v>960</v>
      </c>
      <c r="P113" s="5" t="s">
        <v>158</v>
      </c>
      <c r="Q113" s="5"/>
      <c r="R113" s="5" t="s">
        <v>190</v>
      </c>
      <c r="S113" s="5" t="s">
        <v>961</v>
      </c>
      <c r="T113" s="5" t="s">
        <v>955</v>
      </c>
      <c r="U113" s="5" t="s">
        <v>962</v>
      </c>
      <c r="V113" s="8">
        <v>39</v>
      </c>
      <c r="W113" s="9">
        <v>59327</v>
      </c>
      <c r="X113" s="5" t="s">
        <v>35</v>
      </c>
      <c r="Y113" s="10">
        <v>100</v>
      </c>
      <c r="Z113" s="10">
        <v>25.44</v>
      </c>
      <c r="AA113" s="10">
        <v>25.44</v>
      </c>
      <c r="AB113" s="10">
        <v>49073</v>
      </c>
      <c r="AC113" s="10">
        <v>13102</v>
      </c>
      <c r="AD113" s="10">
        <v>0</v>
      </c>
      <c r="AE113" s="11">
        <v>62175</v>
      </c>
      <c r="AF113" s="12" t="s">
        <v>135</v>
      </c>
      <c r="AG113" s="14" t="s">
        <v>178</v>
      </c>
      <c r="AH113" s="14" t="e">
        <v>#N/A</v>
      </c>
      <c r="AI113" s="14" t="s">
        <v>143</v>
      </c>
      <c r="AJ113" s="14">
        <v>60000</v>
      </c>
      <c r="AK113" s="14">
        <v>60000</v>
      </c>
      <c r="AL113" s="13">
        <v>42</v>
      </c>
      <c r="AM113" s="13">
        <v>42</v>
      </c>
      <c r="AN113" s="14" t="s">
        <v>957</v>
      </c>
      <c r="AO113" s="14" t="s">
        <v>86</v>
      </c>
      <c r="AP113" s="14" t="s">
        <v>439</v>
      </c>
      <c r="AQ113" s="20">
        <v>202605</v>
      </c>
      <c r="AR113" s="30" t="s">
        <v>164</v>
      </c>
      <c r="AS113" s="30"/>
      <c r="AT113" s="12" t="s">
        <v>135</v>
      </c>
      <c r="AU113" s="30" t="s">
        <v>309</v>
      </c>
      <c r="AV113" s="30" t="s">
        <v>461</v>
      </c>
    </row>
    <row r="114" spans="1:48" x14ac:dyDescent="0.3">
      <c r="A114" s="5" t="s">
        <v>30</v>
      </c>
      <c r="B114" s="5" t="s">
        <v>31</v>
      </c>
      <c r="C114" s="5" t="s">
        <v>949</v>
      </c>
      <c r="D114" s="5" t="s">
        <v>32</v>
      </c>
      <c r="E114" s="6" t="s">
        <v>33</v>
      </c>
      <c r="F114" s="7">
        <v>93</v>
      </c>
      <c r="G114" s="5" t="s">
        <v>950</v>
      </c>
      <c r="H114" s="5" t="s">
        <v>963</v>
      </c>
      <c r="I114" s="5" t="s">
        <v>964</v>
      </c>
      <c r="J114" s="5" t="s">
        <v>34</v>
      </c>
      <c r="K114" s="5" t="s">
        <v>131</v>
      </c>
      <c r="L114" s="5" t="s">
        <v>160</v>
      </c>
      <c r="M114" s="5" t="s">
        <v>88</v>
      </c>
      <c r="N114" s="5" t="s">
        <v>56</v>
      </c>
      <c r="O114" s="6" t="s">
        <v>965</v>
      </c>
      <c r="P114" s="5" t="s">
        <v>47</v>
      </c>
      <c r="Q114" s="5"/>
      <c r="R114" s="5" t="s">
        <v>145</v>
      </c>
      <c r="S114" s="5" t="s">
        <v>516</v>
      </c>
      <c r="T114" s="5" t="s">
        <v>955</v>
      </c>
      <c r="U114" s="5" t="s">
        <v>966</v>
      </c>
      <c r="V114" s="8">
        <v>45</v>
      </c>
      <c r="W114" s="9">
        <v>68902</v>
      </c>
      <c r="X114" s="5" t="s">
        <v>35</v>
      </c>
      <c r="Y114" s="10">
        <v>100</v>
      </c>
      <c r="Z114" s="10">
        <v>25.44</v>
      </c>
      <c r="AA114" s="10">
        <v>25.44</v>
      </c>
      <c r="AB114" s="10">
        <v>100176</v>
      </c>
      <c r="AC114" s="10">
        <v>7785</v>
      </c>
      <c r="AD114" s="10">
        <v>0</v>
      </c>
      <c r="AE114" s="11">
        <v>107961</v>
      </c>
      <c r="AF114" s="12" t="s">
        <v>133</v>
      </c>
      <c r="AG114" s="14" t="s">
        <v>198</v>
      </c>
      <c r="AH114" s="14" t="e">
        <v>#N/A</v>
      </c>
      <c r="AI114" s="14" t="s">
        <v>36</v>
      </c>
      <c r="AJ114" s="14">
        <v>70000</v>
      </c>
      <c r="AK114" s="14">
        <v>70000</v>
      </c>
      <c r="AL114" s="13">
        <v>48</v>
      </c>
      <c r="AM114" s="13">
        <v>48</v>
      </c>
      <c r="AN114" s="14" t="s">
        <v>231</v>
      </c>
      <c r="AO114" s="14" t="s">
        <v>86</v>
      </c>
      <c r="AP114" s="14" t="s">
        <v>89</v>
      </c>
      <c r="AQ114" s="20">
        <v>202605</v>
      </c>
      <c r="AR114" s="14" t="s">
        <v>152</v>
      </c>
      <c r="AS114" s="14" t="s">
        <v>186</v>
      </c>
      <c r="AT114" s="12" t="s">
        <v>133</v>
      </c>
      <c r="AU114" s="30" t="s">
        <v>309</v>
      </c>
      <c r="AV114" s="30" t="s">
        <v>461</v>
      </c>
    </row>
    <row r="115" spans="1:48" x14ac:dyDescent="0.3">
      <c r="A115" s="5" t="s">
        <v>30</v>
      </c>
      <c r="B115" s="5" t="s">
        <v>31</v>
      </c>
      <c r="C115" s="5" t="s">
        <v>949</v>
      </c>
      <c r="D115" s="5" t="s">
        <v>32</v>
      </c>
      <c r="E115" s="6" t="s">
        <v>33</v>
      </c>
      <c r="F115" s="7">
        <v>94</v>
      </c>
      <c r="G115" s="5" t="s">
        <v>950</v>
      </c>
      <c r="H115" s="5" t="s">
        <v>967</v>
      </c>
      <c r="I115" s="5" t="s">
        <v>968</v>
      </c>
      <c r="J115" s="5" t="s">
        <v>34</v>
      </c>
      <c r="K115" s="5" t="s">
        <v>131</v>
      </c>
      <c r="L115" s="5" t="s">
        <v>160</v>
      </c>
      <c r="M115" s="5" t="s">
        <v>88</v>
      </c>
      <c r="N115" s="5" t="s">
        <v>56</v>
      </c>
      <c r="O115" s="6" t="s">
        <v>969</v>
      </c>
      <c r="P115" s="5" t="s">
        <v>970</v>
      </c>
      <c r="Q115" s="5"/>
      <c r="R115" s="5" t="s">
        <v>145</v>
      </c>
      <c r="S115" s="5" t="s">
        <v>971</v>
      </c>
      <c r="T115" s="5" t="s">
        <v>972</v>
      </c>
      <c r="U115" s="5" t="s">
        <v>973</v>
      </c>
      <c r="V115" s="8">
        <v>7</v>
      </c>
      <c r="W115" s="9">
        <v>7505</v>
      </c>
      <c r="X115" s="5" t="s">
        <v>35</v>
      </c>
      <c r="Y115" s="10">
        <v>100</v>
      </c>
      <c r="Z115" s="10">
        <v>25.44</v>
      </c>
      <c r="AA115" s="10">
        <v>25.44</v>
      </c>
      <c r="AB115" s="10">
        <v>173724</v>
      </c>
      <c r="AC115" s="10">
        <v>26000</v>
      </c>
      <c r="AD115" s="10">
        <v>0</v>
      </c>
      <c r="AE115" s="11">
        <v>199724</v>
      </c>
      <c r="AF115" s="12" t="s">
        <v>133</v>
      </c>
      <c r="AG115" s="14" t="s">
        <v>938</v>
      </c>
      <c r="AH115" s="14" t="e">
        <v>#N/A</v>
      </c>
      <c r="AI115" s="14" t="s">
        <v>36</v>
      </c>
      <c r="AJ115" s="14">
        <v>10000</v>
      </c>
      <c r="AK115" s="14">
        <v>10000</v>
      </c>
      <c r="AL115" s="13">
        <v>12</v>
      </c>
      <c r="AM115" s="13">
        <v>9</v>
      </c>
      <c r="AN115" s="14" t="s">
        <v>974</v>
      </c>
      <c r="AO115" s="14" t="s">
        <v>86</v>
      </c>
      <c r="AP115" s="14" t="s">
        <v>89</v>
      </c>
      <c r="AQ115" s="20">
        <v>202605</v>
      </c>
      <c r="AR115" s="14" t="s">
        <v>152</v>
      </c>
      <c r="AS115" s="14" t="s">
        <v>186</v>
      </c>
      <c r="AT115" s="12" t="s">
        <v>133</v>
      </c>
      <c r="AU115" s="30" t="s">
        <v>309</v>
      </c>
      <c r="AV115" s="30" t="s">
        <v>461</v>
      </c>
    </row>
    <row r="116" spans="1:48" x14ac:dyDescent="0.3">
      <c r="A116" s="5" t="s">
        <v>30</v>
      </c>
      <c r="B116" s="5" t="s">
        <v>31</v>
      </c>
      <c r="C116" s="5" t="s">
        <v>949</v>
      </c>
      <c r="D116" s="5" t="s">
        <v>32</v>
      </c>
      <c r="E116" s="6" t="s">
        <v>33</v>
      </c>
      <c r="F116" s="7">
        <v>95</v>
      </c>
      <c r="G116" s="5" t="s">
        <v>950</v>
      </c>
      <c r="H116" s="5" t="s">
        <v>975</v>
      </c>
      <c r="I116" s="5" t="s">
        <v>976</v>
      </c>
      <c r="J116" s="5" t="s">
        <v>34</v>
      </c>
      <c r="K116" s="5" t="s">
        <v>50</v>
      </c>
      <c r="L116" s="5" t="s">
        <v>156</v>
      </c>
      <c r="M116" s="5" t="s">
        <v>88</v>
      </c>
      <c r="N116" s="5" t="s">
        <v>56</v>
      </c>
      <c r="O116" s="6" t="s">
        <v>977</v>
      </c>
      <c r="P116" s="5" t="s">
        <v>183</v>
      </c>
      <c r="Q116" s="5"/>
      <c r="R116" s="5" t="s">
        <v>145</v>
      </c>
      <c r="S116" s="5" t="s">
        <v>978</v>
      </c>
      <c r="T116" s="5" t="s">
        <v>979</v>
      </c>
      <c r="U116" s="5" t="s">
        <v>980</v>
      </c>
      <c r="V116" s="8">
        <v>68</v>
      </c>
      <c r="W116" s="9">
        <v>103023</v>
      </c>
      <c r="X116" s="5" t="s">
        <v>35</v>
      </c>
      <c r="Y116" s="10">
        <v>100</v>
      </c>
      <c r="Z116" s="10">
        <v>25.44</v>
      </c>
      <c r="AA116" s="10">
        <v>25.44</v>
      </c>
      <c r="AB116" s="10">
        <v>0</v>
      </c>
      <c r="AC116" s="10">
        <v>6233</v>
      </c>
      <c r="AD116" s="10">
        <v>0</v>
      </c>
      <c r="AE116" s="11">
        <v>6233</v>
      </c>
      <c r="AF116" s="12" t="s">
        <v>52</v>
      </c>
      <c r="AG116" s="14" t="s">
        <v>981</v>
      </c>
      <c r="AH116" s="14" t="e">
        <v>#N/A</v>
      </c>
      <c r="AI116" s="14" t="s">
        <v>36</v>
      </c>
      <c r="AJ116" s="14" t="s">
        <v>141</v>
      </c>
      <c r="AK116" s="14" t="s">
        <v>141</v>
      </c>
      <c r="AL116" s="13" t="s">
        <v>123</v>
      </c>
      <c r="AM116" s="13" t="s">
        <v>123</v>
      </c>
      <c r="AN116" s="14" t="s">
        <v>982</v>
      </c>
      <c r="AO116" s="14" t="s">
        <v>86</v>
      </c>
      <c r="AP116" s="14" t="s">
        <v>89</v>
      </c>
      <c r="AQ116" s="20">
        <v>202605</v>
      </c>
      <c r="AR116" s="14" t="s">
        <v>152</v>
      </c>
      <c r="AS116" s="14" t="s">
        <v>166</v>
      </c>
      <c r="AT116" s="12" t="s">
        <v>52</v>
      </c>
      <c r="AU116" s="30" t="s">
        <v>309</v>
      </c>
      <c r="AV116" s="30" t="s">
        <v>461</v>
      </c>
    </row>
    <row r="117" spans="1:48" x14ac:dyDescent="0.3">
      <c r="A117" s="5" t="s">
        <v>30</v>
      </c>
      <c r="B117" s="5" t="s">
        <v>31</v>
      </c>
      <c r="C117" s="5" t="s">
        <v>949</v>
      </c>
      <c r="D117" s="5" t="s">
        <v>32</v>
      </c>
      <c r="E117" s="6" t="s">
        <v>33</v>
      </c>
      <c r="F117" s="7">
        <v>96</v>
      </c>
      <c r="G117" s="5" t="s">
        <v>950</v>
      </c>
      <c r="H117" s="5" t="s">
        <v>983</v>
      </c>
      <c r="I117" s="5" t="s">
        <v>976</v>
      </c>
      <c r="J117" s="5" t="s">
        <v>34</v>
      </c>
      <c r="K117" s="5" t="s">
        <v>50</v>
      </c>
      <c r="L117" s="5" t="s">
        <v>156</v>
      </c>
      <c r="M117" s="5" t="s">
        <v>88</v>
      </c>
      <c r="N117" s="5" t="s">
        <v>56</v>
      </c>
      <c r="O117" s="6" t="s">
        <v>977</v>
      </c>
      <c r="P117" s="5" t="s">
        <v>155</v>
      </c>
      <c r="Q117" s="5"/>
      <c r="R117" s="5" t="s">
        <v>145</v>
      </c>
      <c r="S117" s="5" t="s">
        <v>978</v>
      </c>
      <c r="T117" s="5" t="s">
        <v>984</v>
      </c>
      <c r="U117" s="5" t="s">
        <v>980</v>
      </c>
      <c r="V117" s="8">
        <v>68</v>
      </c>
      <c r="W117" s="9">
        <v>103327</v>
      </c>
      <c r="X117" s="5" t="s">
        <v>35</v>
      </c>
      <c r="Y117" s="10">
        <v>100</v>
      </c>
      <c r="Z117" s="10">
        <v>25.44</v>
      </c>
      <c r="AA117" s="10">
        <v>25.44</v>
      </c>
      <c r="AB117" s="10">
        <v>54330</v>
      </c>
      <c r="AC117" s="10">
        <v>6233</v>
      </c>
      <c r="AD117" s="10">
        <v>0</v>
      </c>
      <c r="AE117" s="11">
        <v>60563</v>
      </c>
      <c r="AF117" s="12" t="s">
        <v>52</v>
      </c>
      <c r="AG117" s="14" t="s">
        <v>981</v>
      </c>
      <c r="AH117" s="14" t="e">
        <v>#N/A</v>
      </c>
      <c r="AI117" s="14" t="s">
        <v>36</v>
      </c>
      <c r="AJ117" s="14" t="s">
        <v>141</v>
      </c>
      <c r="AK117" s="14" t="s">
        <v>141</v>
      </c>
      <c r="AL117" s="13" t="s">
        <v>123</v>
      </c>
      <c r="AM117" s="13" t="s">
        <v>123</v>
      </c>
      <c r="AN117" s="14" t="s">
        <v>982</v>
      </c>
      <c r="AO117" s="14" t="s">
        <v>86</v>
      </c>
      <c r="AP117" s="14" t="s">
        <v>89</v>
      </c>
      <c r="AQ117" s="20">
        <v>202605</v>
      </c>
      <c r="AR117" s="14" t="s">
        <v>152</v>
      </c>
      <c r="AS117" s="14" t="s">
        <v>166</v>
      </c>
      <c r="AT117" s="12" t="s">
        <v>52</v>
      </c>
      <c r="AU117" s="30" t="s">
        <v>309</v>
      </c>
      <c r="AV117" s="30" t="s">
        <v>461</v>
      </c>
    </row>
    <row r="118" spans="1:48" x14ac:dyDescent="0.3">
      <c r="A118" s="5" t="s">
        <v>30</v>
      </c>
      <c r="B118" s="5" t="s">
        <v>31</v>
      </c>
      <c r="C118" s="5" t="s">
        <v>949</v>
      </c>
      <c r="D118" s="5" t="s">
        <v>32</v>
      </c>
      <c r="E118" s="6" t="s">
        <v>33</v>
      </c>
      <c r="F118" s="7">
        <v>97</v>
      </c>
      <c r="G118" s="5" t="s">
        <v>950</v>
      </c>
      <c r="H118" s="5" t="s">
        <v>985</v>
      </c>
      <c r="I118" s="5" t="s">
        <v>986</v>
      </c>
      <c r="J118" s="5" t="s">
        <v>34</v>
      </c>
      <c r="K118" s="5" t="s">
        <v>50</v>
      </c>
      <c r="L118" s="5" t="s">
        <v>156</v>
      </c>
      <c r="M118" s="5" t="s">
        <v>88</v>
      </c>
      <c r="N118" s="5" t="s">
        <v>56</v>
      </c>
      <c r="O118" s="6" t="s">
        <v>987</v>
      </c>
      <c r="P118" s="5" t="s">
        <v>47</v>
      </c>
      <c r="Q118" s="5"/>
      <c r="R118" s="5" t="s">
        <v>560</v>
      </c>
      <c r="S118" s="5" t="s">
        <v>988</v>
      </c>
      <c r="T118" s="5" t="s">
        <v>989</v>
      </c>
      <c r="U118" s="5" t="s">
        <v>990</v>
      </c>
      <c r="V118" s="8">
        <v>67</v>
      </c>
      <c r="W118" s="9">
        <v>98743</v>
      </c>
      <c r="X118" s="5" t="s">
        <v>35</v>
      </c>
      <c r="Y118" s="10">
        <v>100</v>
      </c>
      <c r="Z118" s="10">
        <v>25.44</v>
      </c>
      <c r="AA118" s="10">
        <v>25.44</v>
      </c>
      <c r="AB118" s="10">
        <v>53973</v>
      </c>
      <c r="AC118" s="10">
        <v>7734</v>
      </c>
      <c r="AD118" s="10">
        <v>0</v>
      </c>
      <c r="AE118" s="11">
        <v>61707</v>
      </c>
      <c r="AF118" s="12" t="s">
        <v>52</v>
      </c>
      <c r="AG118" s="14" t="s">
        <v>210</v>
      </c>
      <c r="AH118" s="14" t="e">
        <v>#N/A</v>
      </c>
      <c r="AI118" s="14" t="s">
        <v>45</v>
      </c>
      <c r="AJ118" s="14">
        <v>100000</v>
      </c>
      <c r="AK118" s="14">
        <v>100000</v>
      </c>
      <c r="AL118" s="13" t="s">
        <v>123</v>
      </c>
      <c r="AM118" s="13" t="s">
        <v>123</v>
      </c>
      <c r="AN118" s="14" t="s">
        <v>991</v>
      </c>
      <c r="AO118" s="14" t="s">
        <v>86</v>
      </c>
      <c r="AP118" s="14" t="s">
        <v>89</v>
      </c>
      <c r="AQ118" s="20">
        <v>202605</v>
      </c>
      <c r="AR118" s="14" t="s">
        <v>152</v>
      </c>
      <c r="AS118" s="14" t="s">
        <v>166</v>
      </c>
      <c r="AT118" s="12" t="s">
        <v>52</v>
      </c>
      <c r="AU118" s="30" t="s">
        <v>309</v>
      </c>
      <c r="AV118" s="30" t="s">
        <v>461</v>
      </c>
    </row>
    <row r="119" spans="1:48" x14ac:dyDescent="0.3">
      <c r="A119" s="5" t="s">
        <v>30</v>
      </c>
      <c r="B119" s="5" t="s">
        <v>31</v>
      </c>
      <c r="C119" s="5" t="s">
        <v>949</v>
      </c>
      <c r="D119" s="5" t="s">
        <v>32</v>
      </c>
      <c r="E119" s="6" t="s">
        <v>33</v>
      </c>
      <c r="F119" s="7">
        <v>98</v>
      </c>
      <c r="G119" s="5" t="s">
        <v>950</v>
      </c>
      <c r="H119" s="5" t="s">
        <v>992</v>
      </c>
      <c r="I119" s="5" t="s">
        <v>993</v>
      </c>
      <c r="J119" s="5" t="s">
        <v>34</v>
      </c>
      <c r="K119" s="5" t="s">
        <v>50</v>
      </c>
      <c r="L119" s="5" t="s">
        <v>156</v>
      </c>
      <c r="M119" s="5" t="s">
        <v>88</v>
      </c>
      <c r="N119" s="5" t="s">
        <v>56</v>
      </c>
      <c r="O119" s="6" t="s">
        <v>994</v>
      </c>
      <c r="P119" s="5" t="s">
        <v>995</v>
      </c>
      <c r="Q119" s="5"/>
      <c r="R119" s="5" t="s">
        <v>145</v>
      </c>
      <c r="S119" s="5" t="s">
        <v>996</v>
      </c>
      <c r="T119" s="5" t="s">
        <v>997</v>
      </c>
      <c r="U119" s="5" t="s">
        <v>998</v>
      </c>
      <c r="V119" s="8">
        <v>66</v>
      </c>
      <c r="W119" s="9">
        <v>109379</v>
      </c>
      <c r="X119" s="5" t="s">
        <v>35</v>
      </c>
      <c r="Y119" s="10">
        <v>100</v>
      </c>
      <c r="Z119" s="10">
        <v>25.44</v>
      </c>
      <c r="AA119" s="10">
        <v>25.44</v>
      </c>
      <c r="AB119" s="10">
        <v>58511</v>
      </c>
      <c r="AC119" s="10">
        <v>6106</v>
      </c>
      <c r="AD119" s="10">
        <v>0</v>
      </c>
      <c r="AE119" s="11">
        <v>64617</v>
      </c>
      <c r="AF119" s="12" t="s">
        <v>52</v>
      </c>
      <c r="AG119" s="14" t="s">
        <v>888</v>
      </c>
      <c r="AH119" s="14" t="e">
        <v>#N/A</v>
      </c>
      <c r="AI119" s="14" t="s">
        <v>36</v>
      </c>
      <c r="AJ119" s="14" t="s">
        <v>141</v>
      </c>
      <c r="AK119" s="14" t="s">
        <v>141</v>
      </c>
      <c r="AL119" s="13" t="s">
        <v>123</v>
      </c>
      <c r="AM119" s="13" t="s">
        <v>123</v>
      </c>
      <c r="AN119" s="14" t="s">
        <v>957</v>
      </c>
      <c r="AO119" s="14" t="s">
        <v>86</v>
      </c>
      <c r="AP119" s="14" t="s">
        <v>89</v>
      </c>
      <c r="AQ119" s="20">
        <v>202605</v>
      </c>
      <c r="AR119" s="14" t="s">
        <v>152</v>
      </c>
      <c r="AS119" s="14" t="s">
        <v>166</v>
      </c>
      <c r="AT119" s="12" t="s">
        <v>52</v>
      </c>
      <c r="AU119" s="30" t="s">
        <v>309</v>
      </c>
      <c r="AV119" s="30" t="s">
        <v>461</v>
      </c>
    </row>
    <row r="120" spans="1:48" x14ac:dyDescent="0.3">
      <c r="A120" s="5" t="s">
        <v>30</v>
      </c>
      <c r="B120" s="5" t="s">
        <v>31</v>
      </c>
      <c r="C120" s="5" t="s">
        <v>949</v>
      </c>
      <c r="D120" s="5" t="s">
        <v>32</v>
      </c>
      <c r="E120" s="6" t="s">
        <v>33</v>
      </c>
      <c r="F120" s="7">
        <v>99</v>
      </c>
      <c r="G120" s="5" t="s">
        <v>950</v>
      </c>
      <c r="H120" s="5" t="s">
        <v>999</v>
      </c>
      <c r="I120" s="5" t="s">
        <v>1000</v>
      </c>
      <c r="J120" s="5" t="s">
        <v>34</v>
      </c>
      <c r="K120" s="5" t="s">
        <v>50</v>
      </c>
      <c r="L120" s="5" t="s">
        <v>156</v>
      </c>
      <c r="M120" s="5" t="s">
        <v>88</v>
      </c>
      <c r="N120" s="5" t="s">
        <v>56</v>
      </c>
      <c r="O120" s="6" t="s">
        <v>1001</v>
      </c>
      <c r="P120" s="5" t="s">
        <v>155</v>
      </c>
      <c r="Q120" s="5"/>
      <c r="R120" s="5" t="s">
        <v>145</v>
      </c>
      <c r="S120" s="5" t="s">
        <v>1002</v>
      </c>
      <c r="T120" s="5" t="s">
        <v>1003</v>
      </c>
      <c r="U120" s="5" t="s">
        <v>1004</v>
      </c>
      <c r="V120" s="8">
        <v>53</v>
      </c>
      <c r="W120" s="9">
        <v>78811</v>
      </c>
      <c r="X120" s="5" t="s">
        <v>35</v>
      </c>
      <c r="Y120" s="10">
        <v>100</v>
      </c>
      <c r="Z120" s="10">
        <v>25.44</v>
      </c>
      <c r="AA120" s="10">
        <v>25.44</v>
      </c>
      <c r="AB120" s="10">
        <v>53973</v>
      </c>
      <c r="AC120" s="10">
        <v>9286</v>
      </c>
      <c r="AD120" s="10">
        <v>0</v>
      </c>
      <c r="AE120" s="11">
        <v>63259</v>
      </c>
      <c r="AF120" s="12" t="s">
        <v>52</v>
      </c>
      <c r="AG120" s="14" t="s">
        <v>127</v>
      </c>
      <c r="AH120" s="14" t="e">
        <v>#N/A</v>
      </c>
      <c r="AI120" s="14" t="s">
        <v>36</v>
      </c>
      <c r="AJ120" s="14">
        <v>80000</v>
      </c>
      <c r="AK120" s="14">
        <v>80000</v>
      </c>
      <c r="AL120" s="13">
        <v>54</v>
      </c>
      <c r="AM120" s="13">
        <v>54</v>
      </c>
      <c r="AN120" s="14" t="s">
        <v>494</v>
      </c>
      <c r="AO120" s="14" t="s">
        <v>86</v>
      </c>
      <c r="AP120" s="14" t="s">
        <v>89</v>
      </c>
      <c r="AQ120" s="20">
        <v>202605</v>
      </c>
      <c r="AR120" s="14" t="s">
        <v>152</v>
      </c>
      <c r="AS120" s="14" t="s">
        <v>166</v>
      </c>
      <c r="AT120" s="12" t="s">
        <v>52</v>
      </c>
      <c r="AU120" s="30" t="s">
        <v>309</v>
      </c>
      <c r="AV120" s="30" t="s">
        <v>461</v>
      </c>
    </row>
    <row r="121" spans="1:48" x14ac:dyDescent="0.3">
      <c r="A121" s="5" t="s">
        <v>30</v>
      </c>
      <c r="B121" s="5" t="s">
        <v>31</v>
      </c>
      <c r="C121" s="5" t="s">
        <v>949</v>
      </c>
      <c r="D121" s="5" t="s">
        <v>32</v>
      </c>
      <c r="E121" s="6" t="s">
        <v>33</v>
      </c>
      <c r="F121" s="7">
        <v>100</v>
      </c>
      <c r="G121" s="5" t="s">
        <v>950</v>
      </c>
      <c r="H121" s="5" t="s">
        <v>1005</v>
      </c>
      <c r="I121" s="5" t="s">
        <v>1006</v>
      </c>
      <c r="J121" s="5" t="s">
        <v>34</v>
      </c>
      <c r="K121" s="5" t="s">
        <v>50</v>
      </c>
      <c r="L121" s="5" t="s">
        <v>170</v>
      </c>
      <c r="M121" s="5" t="s">
        <v>88</v>
      </c>
      <c r="N121" s="5" t="s">
        <v>56</v>
      </c>
      <c r="O121" s="6" t="s">
        <v>1007</v>
      </c>
      <c r="P121" s="5" t="s">
        <v>155</v>
      </c>
      <c r="Q121" s="5"/>
      <c r="R121" s="5" t="s">
        <v>144</v>
      </c>
      <c r="S121" s="5" t="s">
        <v>1008</v>
      </c>
      <c r="T121" s="5" t="s">
        <v>1009</v>
      </c>
      <c r="U121" s="5" t="s">
        <v>1010</v>
      </c>
      <c r="V121" s="8">
        <v>51</v>
      </c>
      <c r="W121" s="9">
        <v>62269</v>
      </c>
      <c r="X121" s="5" t="s">
        <v>35</v>
      </c>
      <c r="Y121" s="10">
        <v>100</v>
      </c>
      <c r="Z121" s="10">
        <v>25.44</v>
      </c>
      <c r="AA121" s="10">
        <v>25.44</v>
      </c>
      <c r="AB121" s="10">
        <v>50073</v>
      </c>
      <c r="AC121" s="10">
        <v>8141</v>
      </c>
      <c r="AD121" s="10">
        <v>0</v>
      </c>
      <c r="AE121" s="11">
        <v>58214</v>
      </c>
      <c r="AF121" s="12" t="s">
        <v>52</v>
      </c>
      <c r="AG121" s="14" t="s">
        <v>175</v>
      </c>
      <c r="AH121" s="14" t="e">
        <v>#N/A</v>
      </c>
      <c r="AI121" s="14" t="s">
        <v>36</v>
      </c>
      <c r="AJ121" s="14">
        <v>70000</v>
      </c>
      <c r="AK121" s="14">
        <v>65000</v>
      </c>
      <c r="AL121" s="13">
        <v>54</v>
      </c>
      <c r="AM121" s="13">
        <v>54</v>
      </c>
      <c r="AN121" s="14" t="s">
        <v>1011</v>
      </c>
      <c r="AO121" s="14" t="s">
        <v>86</v>
      </c>
      <c r="AP121" s="14" t="s">
        <v>89</v>
      </c>
      <c r="AQ121" s="20">
        <v>202605</v>
      </c>
      <c r="AR121" s="14" t="s">
        <v>152</v>
      </c>
      <c r="AS121" s="14" t="s">
        <v>166</v>
      </c>
      <c r="AT121" s="12" t="s">
        <v>52</v>
      </c>
      <c r="AU121" s="30" t="s">
        <v>309</v>
      </c>
      <c r="AV121" s="30" t="s">
        <v>461</v>
      </c>
    </row>
    <row r="122" spans="1:48" x14ac:dyDescent="0.3">
      <c r="A122" s="5" t="s">
        <v>30</v>
      </c>
      <c r="B122" s="5" t="s">
        <v>31</v>
      </c>
      <c r="C122" s="5" t="s">
        <v>949</v>
      </c>
      <c r="D122" s="5" t="s">
        <v>32</v>
      </c>
      <c r="E122" s="6" t="s">
        <v>33</v>
      </c>
      <c r="F122" s="7">
        <v>101</v>
      </c>
      <c r="G122" s="5" t="s">
        <v>950</v>
      </c>
      <c r="H122" s="5" t="s">
        <v>1012</v>
      </c>
      <c r="I122" s="5" t="s">
        <v>1013</v>
      </c>
      <c r="J122" s="5" t="s">
        <v>34</v>
      </c>
      <c r="K122" s="5" t="s">
        <v>131</v>
      </c>
      <c r="L122" s="5" t="s">
        <v>534</v>
      </c>
      <c r="M122" s="5" t="s">
        <v>46</v>
      </c>
      <c r="N122" s="5" t="s">
        <v>56</v>
      </c>
      <c r="O122" s="6" t="s">
        <v>1014</v>
      </c>
      <c r="P122" s="5" t="s">
        <v>47</v>
      </c>
      <c r="Q122" s="5"/>
      <c r="R122" s="5" t="s">
        <v>268</v>
      </c>
      <c r="S122" s="5" t="s">
        <v>1015</v>
      </c>
      <c r="T122" s="5" t="s">
        <v>1016</v>
      </c>
      <c r="U122" s="5" t="s">
        <v>1017</v>
      </c>
      <c r="V122" s="8">
        <v>27</v>
      </c>
      <c r="W122" s="9">
        <v>48690</v>
      </c>
      <c r="X122" s="5" t="s">
        <v>35</v>
      </c>
      <c r="Y122" s="10">
        <v>100</v>
      </c>
      <c r="Z122" s="10">
        <v>25.44</v>
      </c>
      <c r="AA122" s="10">
        <v>25.44</v>
      </c>
      <c r="AB122" s="10">
        <v>34874</v>
      </c>
      <c r="AC122" s="10">
        <v>4694</v>
      </c>
      <c r="AD122" s="10">
        <v>0</v>
      </c>
      <c r="AE122" s="11">
        <v>39568</v>
      </c>
      <c r="AF122" s="12" t="s">
        <v>133</v>
      </c>
      <c r="AG122" s="14" t="s">
        <v>176</v>
      </c>
      <c r="AH122" s="14" t="e">
        <v>#N/A</v>
      </c>
      <c r="AI122" s="14" t="s">
        <v>49</v>
      </c>
      <c r="AJ122" s="14">
        <v>50000</v>
      </c>
      <c r="AK122" s="14">
        <v>50000</v>
      </c>
      <c r="AL122" s="13">
        <v>30</v>
      </c>
      <c r="AM122" s="13">
        <v>30</v>
      </c>
      <c r="AN122" s="14" t="s">
        <v>1018</v>
      </c>
      <c r="AO122" s="14" t="s">
        <v>86</v>
      </c>
      <c r="AP122" s="14" t="s">
        <v>46</v>
      </c>
      <c r="AQ122" s="20">
        <v>202605</v>
      </c>
      <c r="AR122" s="30" t="s">
        <v>164</v>
      </c>
      <c r="AS122" s="30"/>
      <c r="AT122" s="12" t="s">
        <v>133</v>
      </c>
      <c r="AU122" s="30" t="s">
        <v>309</v>
      </c>
      <c r="AV122" s="30" t="s">
        <v>461</v>
      </c>
    </row>
    <row r="123" spans="1:48" x14ac:dyDescent="0.3">
      <c r="A123" s="5" t="s">
        <v>30</v>
      </c>
      <c r="B123" s="5" t="s">
        <v>31</v>
      </c>
      <c r="C123" s="5" t="s">
        <v>949</v>
      </c>
      <c r="D123" s="5" t="s">
        <v>32</v>
      </c>
      <c r="E123" s="6" t="s">
        <v>33</v>
      </c>
      <c r="F123" s="7">
        <v>102</v>
      </c>
      <c r="G123" s="5" t="s">
        <v>950</v>
      </c>
      <c r="H123" s="5" t="s">
        <v>1019</v>
      </c>
      <c r="I123" s="5" t="s">
        <v>1020</v>
      </c>
      <c r="J123" s="5" t="s">
        <v>34</v>
      </c>
      <c r="K123" s="5" t="s">
        <v>131</v>
      </c>
      <c r="L123" s="5" t="s">
        <v>534</v>
      </c>
      <c r="M123" s="5" t="s">
        <v>46</v>
      </c>
      <c r="N123" s="5" t="s">
        <v>56</v>
      </c>
      <c r="O123" s="6" t="s">
        <v>1021</v>
      </c>
      <c r="P123" s="5" t="s">
        <v>47</v>
      </c>
      <c r="Q123" s="5"/>
      <c r="R123" s="5" t="s">
        <v>234</v>
      </c>
      <c r="S123" s="5" t="s">
        <v>358</v>
      </c>
      <c r="T123" s="5" t="s">
        <v>955</v>
      </c>
      <c r="U123" s="5" t="s">
        <v>498</v>
      </c>
      <c r="V123" s="8">
        <v>1</v>
      </c>
      <c r="W123" s="9">
        <v>479</v>
      </c>
      <c r="X123" s="5" t="s">
        <v>35</v>
      </c>
      <c r="Y123" s="10">
        <v>100</v>
      </c>
      <c r="Z123" s="10">
        <v>25.44</v>
      </c>
      <c r="AA123" s="10">
        <v>25.44</v>
      </c>
      <c r="AB123" s="10">
        <v>34420</v>
      </c>
      <c r="AC123" s="10">
        <v>4884</v>
      </c>
      <c r="AD123" s="10">
        <v>0</v>
      </c>
      <c r="AE123" s="11">
        <v>39304</v>
      </c>
      <c r="AF123" s="12" t="s">
        <v>133</v>
      </c>
      <c r="AG123" s="14" t="s">
        <v>538</v>
      </c>
      <c r="AH123" s="14" t="e">
        <v>#N/A</v>
      </c>
      <c r="AI123" s="14" t="s">
        <v>49</v>
      </c>
      <c r="AJ123" s="14">
        <v>10000</v>
      </c>
      <c r="AK123" s="14">
        <v>5000</v>
      </c>
      <c r="AL123" s="13">
        <v>6</v>
      </c>
      <c r="AM123" s="13">
        <v>3</v>
      </c>
      <c r="AN123" s="14" t="s">
        <v>254</v>
      </c>
      <c r="AO123" s="14" t="s">
        <v>86</v>
      </c>
      <c r="AP123" s="14" t="s">
        <v>46</v>
      </c>
      <c r="AQ123" s="20">
        <v>202605</v>
      </c>
      <c r="AR123" s="30" t="s">
        <v>164</v>
      </c>
      <c r="AS123" s="30"/>
      <c r="AT123" s="12" t="s">
        <v>133</v>
      </c>
      <c r="AU123" s="30" t="s">
        <v>309</v>
      </c>
      <c r="AV123" s="30" t="s">
        <v>461</v>
      </c>
    </row>
    <row r="124" spans="1:48" x14ac:dyDescent="0.3">
      <c r="A124" s="5" t="s">
        <v>30</v>
      </c>
      <c r="B124" s="5" t="s">
        <v>31</v>
      </c>
      <c r="C124" s="5" t="s">
        <v>949</v>
      </c>
      <c r="D124" s="5" t="s">
        <v>32</v>
      </c>
      <c r="E124" s="6" t="s">
        <v>33</v>
      </c>
      <c r="F124" s="7">
        <v>103</v>
      </c>
      <c r="G124" s="5" t="s">
        <v>950</v>
      </c>
      <c r="H124" s="5" t="s">
        <v>1022</v>
      </c>
      <c r="I124" s="5" t="s">
        <v>1023</v>
      </c>
      <c r="J124" s="5" t="s">
        <v>34</v>
      </c>
      <c r="K124" s="5" t="s">
        <v>50</v>
      </c>
      <c r="L124" s="5" t="s">
        <v>267</v>
      </c>
      <c r="M124" s="5" t="s">
        <v>46</v>
      </c>
      <c r="N124" s="5" t="s">
        <v>56</v>
      </c>
      <c r="O124" s="6" t="s">
        <v>1024</v>
      </c>
      <c r="P124" s="5" t="s">
        <v>1025</v>
      </c>
      <c r="Q124" s="5"/>
      <c r="R124" s="5" t="s">
        <v>268</v>
      </c>
      <c r="S124" s="5" t="s">
        <v>1026</v>
      </c>
      <c r="T124" s="5" t="s">
        <v>989</v>
      </c>
      <c r="U124" s="5" t="s">
        <v>1027</v>
      </c>
      <c r="V124" s="8">
        <v>32</v>
      </c>
      <c r="W124" s="9">
        <v>27119</v>
      </c>
      <c r="X124" s="5" t="s">
        <v>35</v>
      </c>
      <c r="Y124" s="10">
        <v>100</v>
      </c>
      <c r="Z124" s="10">
        <v>25.44</v>
      </c>
      <c r="AA124" s="10">
        <v>25.44</v>
      </c>
      <c r="AB124" s="10">
        <v>0</v>
      </c>
      <c r="AC124" s="10">
        <v>3816</v>
      </c>
      <c r="AD124" s="10">
        <v>0</v>
      </c>
      <c r="AE124" s="11">
        <v>3816</v>
      </c>
      <c r="AF124" s="12" t="s">
        <v>52</v>
      </c>
      <c r="AG124" s="14" t="s">
        <v>179</v>
      </c>
      <c r="AH124" s="14" t="e">
        <v>#N/A</v>
      </c>
      <c r="AI124" s="14" t="s">
        <v>49</v>
      </c>
      <c r="AJ124" s="14">
        <v>30000</v>
      </c>
      <c r="AK124" s="14">
        <v>30000</v>
      </c>
      <c r="AL124" s="13">
        <v>36</v>
      </c>
      <c r="AM124" s="13">
        <v>33</v>
      </c>
      <c r="AN124" s="14" t="s">
        <v>512</v>
      </c>
      <c r="AO124" s="14" t="s">
        <v>86</v>
      </c>
      <c r="AP124" s="14" t="s">
        <v>46</v>
      </c>
      <c r="AQ124" s="20">
        <v>202605</v>
      </c>
      <c r="AR124" s="30" t="s">
        <v>164</v>
      </c>
      <c r="AS124" s="30"/>
      <c r="AT124" s="12" t="s">
        <v>52</v>
      </c>
      <c r="AU124" s="30" t="s">
        <v>309</v>
      </c>
      <c r="AV124" s="30" t="s">
        <v>461</v>
      </c>
    </row>
    <row r="125" spans="1:48" x14ac:dyDescent="0.3">
      <c r="A125" s="5" t="s">
        <v>30</v>
      </c>
      <c r="B125" s="5" t="s">
        <v>31</v>
      </c>
      <c r="C125" s="5" t="s">
        <v>949</v>
      </c>
      <c r="D125" s="5" t="s">
        <v>32</v>
      </c>
      <c r="E125" s="6" t="s">
        <v>33</v>
      </c>
      <c r="F125" s="7">
        <v>104</v>
      </c>
      <c r="G125" s="5" t="s">
        <v>950</v>
      </c>
      <c r="H125" s="5" t="s">
        <v>1028</v>
      </c>
      <c r="I125" s="5" t="s">
        <v>1029</v>
      </c>
      <c r="J125" s="5" t="s">
        <v>34</v>
      </c>
      <c r="K125" s="5" t="s">
        <v>131</v>
      </c>
      <c r="L125" s="5" t="s">
        <v>1030</v>
      </c>
      <c r="M125" s="5" t="s">
        <v>53</v>
      </c>
      <c r="N125" s="5" t="s">
        <v>56</v>
      </c>
      <c r="O125" s="6" t="s">
        <v>1031</v>
      </c>
      <c r="P125" s="5" t="s">
        <v>73</v>
      </c>
      <c r="Q125" s="5"/>
      <c r="R125" s="5" t="s">
        <v>268</v>
      </c>
      <c r="S125" s="5" t="s">
        <v>1032</v>
      </c>
      <c r="T125" s="5" t="s">
        <v>1033</v>
      </c>
      <c r="U125" s="5" t="s">
        <v>383</v>
      </c>
      <c r="V125" s="8">
        <v>4</v>
      </c>
      <c r="W125" s="9">
        <v>2263</v>
      </c>
      <c r="X125" s="5" t="s">
        <v>35</v>
      </c>
      <c r="Y125" s="10">
        <v>100</v>
      </c>
      <c r="Z125" s="10">
        <v>25.44</v>
      </c>
      <c r="AA125" s="10">
        <v>25.44</v>
      </c>
      <c r="AB125" s="10">
        <v>22260</v>
      </c>
      <c r="AC125" s="10">
        <v>3816</v>
      </c>
      <c r="AD125" s="10">
        <v>0</v>
      </c>
      <c r="AE125" s="11">
        <v>26076</v>
      </c>
      <c r="AF125" s="12" t="s">
        <v>133</v>
      </c>
      <c r="AG125" s="14" t="s">
        <v>1034</v>
      </c>
      <c r="AH125" s="14" t="e">
        <v>#N/A</v>
      </c>
      <c r="AI125" s="14" t="s">
        <v>49</v>
      </c>
      <c r="AJ125" s="14">
        <v>10000</v>
      </c>
      <c r="AK125" s="14">
        <v>5000</v>
      </c>
      <c r="AL125" s="13">
        <v>6</v>
      </c>
      <c r="AM125" s="13">
        <v>6</v>
      </c>
      <c r="AN125" s="14" t="s">
        <v>1035</v>
      </c>
      <c r="AO125" s="14" t="s">
        <v>86</v>
      </c>
      <c r="AP125" s="14" t="s">
        <v>53</v>
      </c>
      <c r="AQ125" s="20">
        <v>202605</v>
      </c>
      <c r="AR125" s="30" t="s">
        <v>164</v>
      </c>
      <c r="AS125" s="30"/>
      <c r="AT125" s="12" t="s">
        <v>133</v>
      </c>
      <c r="AU125" s="30" t="s">
        <v>309</v>
      </c>
      <c r="AV125" s="30" t="s">
        <v>461</v>
      </c>
    </row>
    <row r="126" spans="1:48" x14ac:dyDescent="0.3">
      <c r="A126" s="5" t="s">
        <v>30</v>
      </c>
      <c r="B126" s="5" t="s">
        <v>31</v>
      </c>
      <c r="C126" s="5" t="s">
        <v>949</v>
      </c>
      <c r="D126" s="5" t="s">
        <v>32</v>
      </c>
      <c r="E126" s="6" t="s">
        <v>33</v>
      </c>
      <c r="F126" s="7">
        <v>105</v>
      </c>
      <c r="G126" s="5" t="s">
        <v>950</v>
      </c>
      <c r="H126" s="5" t="s">
        <v>1036</v>
      </c>
      <c r="I126" s="5" t="s">
        <v>1037</v>
      </c>
      <c r="J126" s="5" t="s">
        <v>34</v>
      </c>
      <c r="K126" s="5" t="s">
        <v>60</v>
      </c>
      <c r="L126" s="5" t="s">
        <v>1038</v>
      </c>
      <c r="M126" s="5" t="s">
        <v>53</v>
      </c>
      <c r="N126" s="5" t="s">
        <v>56</v>
      </c>
      <c r="O126" s="6" t="s">
        <v>1039</v>
      </c>
      <c r="P126" s="5" t="s">
        <v>256</v>
      </c>
      <c r="Q126" s="5"/>
      <c r="R126" s="5" t="s">
        <v>268</v>
      </c>
      <c r="S126" s="5" t="s">
        <v>480</v>
      </c>
      <c r="T126" s="5" t="s">
        <v>955</v>
      </c>
      <c r="U126" s="5" t="s">
        <v>528</v>
      </c>
      <c r="V126" s="8">
        <v>1</v>
      </c>
      <c r="W126" s="9">
        <v>547</v>
      </c>
      <c r="X126" s="5" t="s">
        <v>35</v>
      </c>
      <c r="Y126" s="10">
        <v>100</v>
      </c>
      <c r="Z126" s="10">
        <v>25.44</v>
      </c>
      <c r="AA126" s="10">
        <v>25.44</v>
      </c>
      <c r="AB126" s="10">
        <v>10970</v>
      </c>
      <c r="AC126" s="10">
        <v>11194</v>
      </c>
      <c r="AD126" s="10">
        <v>0</v>
      </c>
      <c r="AE126" s="11">
        <v>22164</v>
      </c>
      <c r="AF126" s="12" t="s">
        <v>62</v>
      </c>
      <c r="AG126" s="14" t="s">
        <v>1040</v>
      </c>
      <c r="AH126" s="14" t="e">
        <v>#N/A</v>
      </c>
      <c r="AI126" s="14" t="s">
        <v>49</v>
      </c>
      <c r="AJ126" s="14">
        <v>10000</v>
      </c>
      <c r="AK126" s="14">
        <v>5000</v>
      </c>
      <c r="AL126" s="13">
        <v>6</v>
      </c>
      <c r="AM126" s="13">
        <v>3</v>
      </c>
      <c r="AN126" s="14" t="s">
        <v>1041</v>
      </c>
      <c r="AO126" s="14" t="s">
        <v>86</v>
      </c>
      <c r="AP126" s="14" t="s">
        <v>53</v>
      </c>
      <c r="AQ126" s="20">
        <v>202605</v>
      </c>
      <c r="AR126" s="30" t="s">
        <v>164</v>
      </c>
      <c r="AS126" s="30"/>
      <c r="AT126" s="12" t="s">
        <v>62</v>
      </c>
      <c r="AU126" s="30" t="s">
        <v>309</v>
      </c>
      <c r="AV126" s="30" t="s">
        <v>461</v>
      </c>
    </row>
    <row r="127" spans="1:48" x14ac:dyDescent="0.3">
      <c r="A127" s="5" t="s">
        <v>30</v>
      </c>
      <c r="B127" s="5" t="s">
        <v>31</v>
      </c>
      <c r="C127" s="5" t="s">
        <v>949</v>
      </c>
      <c r="D127" s="5" t="s">
        <v>32</v>
      </c>
      <c r="E127" s="6" t="s">
        <v>33</v>
      </c>
      <c r="F127" s="7">
        <v>106</v>
      </c>
      <c r="G127" s="5" t="s">
        <v>950</v>
      </c>
      <c r="H127" s="5" t="s">
        <v>1042</v>
      </c>
      <c r="I127" s="5" t="s">
        <v>1043</v>
      </c>
      <c r="J127" s="5" t="s">
        <v>34</v>
      </c>
      <c r="K127" s="5" t="s">
        <v>191</v>
      </c>
      <c r="L127" s="5" t="s">
        <v>1044</v>
      </c>
      <c r="M127" s="5" t="s">
        <v>53</v>
      </c>
      <c r="N127" s="5" t="s">
        <v>56</v>
      </c>
      <c r="O127" s="6" t="s">
        <v>1045</v>
      </c>
      <c r="P127" s="5" t="s">
        <v>73</v>
      </c>
      <c r="Q127" s="5"/>
      <c r="R127" s="5" t="s">
        <v>319</v>
      </c>
      <c r="S127" s="5" t="s">
        <v>503</v>
      </c>
      <c r="T127" s="5" t="s">
        <v>1046</v>
      </c>
      <c r="U127" s="5" t="s">
        <v>1047</v>
      </c>
      <c r="V127" s="8">
        <v>1</v>
      </c>
      <c r="W127" s="9">
        <v>96</v>
      </c>
      <c r="X127" s="5" t="s">
        <v>35</v>
      </c>
      <c r="Y127" s="10">
        <v>100</v>
      </c>
      <c r="Z127" s="10">
        <v>25.44</v>
      </c>
      <c r="AA127" s="10">
        <v>25.44</v>
      </c>
      <c r="AB127" s="10">
        <v>31354</v>
      </c>
      <c r="AC127" s="10">
        <v>2748</v>
      </c>
      <c r="AD127" s="10">
        <v>0</v>
      </c>
      <c r="AE127" s="11">
        <v>34102</v>
      </c>
      <c r="AF127" s="12" t="s">
        <v>192</v>
      </c>
      <c r="AG127" s="14" t="s">
        <v>1040</v>
      </c>
      <c r="AH127" s="14" t="e">
        <v>#N/A</v>
      </c>
      <c r="AI127" s="14" t="s">
        <v>217</v>
      </c>
      <c r="AJ127" s="14">
        <v>10000</v>
      </c>
      <c r="AK127" s="14">
        <v>5000</v>
      </c>
      <c r="AL127" s="13">
        <v>6</v>
      </c>
      <c r="AM127" s="13">
        <v>3</v>
      </c>
      <c r="AN127" s="14" t="s">
        <v>1048</v>
      </c>
      <c r="AO127" s="14" t="s">
        <v>86</v>
      </c>
      <c r="AP127" s="14" t="s">
        <v>53</v>
      </c>
      <c r="AQ127" s="20">
        <v>202605</v>
      </c>
      <c r="AR127" s="30" t="s">
        <v>164</v>
      </c>
      <c r="AS127" s="30"/>
      <c r="AT127" s="12" t="s">
        <v>192</v>
      </c>
      <c r="AU127" s="30" t="s">
        <v>309</v>
      </c>
      <c r="AV127" s="30" t="s">
        <v>461</v>
      </c>
    </row>
    <row r="128" spans="1:48" x14ac:dyDescent="0.3">
      <c r="A128" s="5" t="s">
        <v>30</v>
      </c>
      <c r="B128" s="5" t="s">
        <v>31</v>
      </c>
      <c r="C128" s="5" t="s">
        <v>1049</v>
      </c>
      <c r="D128" s="5" t="s">
        <v>32</v>
      </c>
      <c r="E128" s="6" t="s">
        <v>33</v>
      </c>
      <c r="F128" s="7">
        <v>1</v>
      </c>
      <c r="G128" s="5" t="s">
        <v>357</v>
      </c>
      <c r="H128" s="5" t="s">
        <v>1050</v>
      </c>
      <c r="I128" s="5" t="s">
        <v>1051</v>
      </c>
      <c r="J128" s="5" t="s">
        <v>34</v>
      </c>
      <c r="K128" s="5" t="s">
        <v>378</v>
      </c>
      <c r="L128" s="5" t="s">
        <v>381</v>
      </c>
      <c r="M128" s="5" t="s">
        <v>43</v>
      </c>
      <c r="N128" s="5" t="s">
        <v>56</v>
      </c>
      <c r="O128" s="6" t="s">
        <v>1052</v>
      </c>
      <c r="P128" s="5" t="s">
        <v>242</v>
      </c>
      <c r="Q128" s="5"/>
      <c r="R128" s="5" t="s">
        <v>1053</v>
      </c>
      <c r="S128" s="5" t="s">
        <v>283</v>
      </c>
      <c r="T128" s="5" t="s">
        <v>374</v>
      </c>
      <c r="U128" s="5" t="s">
        <v>335</v>
      </c>
      <c r="V128" s="8">
        <v>2</v>
      </c>
      <c r="W128" s="9">
        <v>3760</v>
      </c>
      <c r="X128" s="5" t="s">
        <v>35</v>
      </c>
      <c r="Y128" s="10">
        <v>100</v>
      </c>
      <c r="Z128" s="10">
        <v>25.44</v>
      </c>
      <c r="AA128" s="10">
        <v>25.44</v>
      </c>
      <c r="AB128" s="10">
        <v>78151</v>
      </c>
      <c r="AC128" s="10">
        <v>27984</v>
      </c>
      <c r="AD128" s="10">
        <v>0</v>
      </c>
      <c r="AE128" s="11">
        <v>106135</v>
      </c>
      <c r="AF128" s="12" t="s">
        <v>1054</v>
      </c>
      <c r="AG128" s="14" t="s">
        <v>416</v>
      </c>
      <c r="AH128" s="14" t="e">
        <v>#N/A</v>
      </c>
      <c r="AI128" s="14" t="s">
        <v>49</v>
      </c>
      <c r="AJ128" s="14">
        <v>10000</v>
      </c>
      <c r="AK128" s="14">
        <v>5000</v>
      </c>
      <c r="AL128" s="13">
        <v>6</v>
      </c>
      <c r="AM128" s="13">
        <v>3</v>
      </c>
      <c r="AN128" s="14" t="s">
        <v>1055</v>
      </c>
      <c r="AO128" s="14" t="s">
        <v>86</v>
      </c>
      <c r="AP128" s="14" t="s">
        <v>46</v>
      </c>
      <c r="AQ128" s="20">
        <v>202605</v>
      </c>
      <c r="AR128" s="30" t="s">
        <v>164</v>
      </c>
      <c r="AS128" s="30"/>
      <c r="AT128" s="12" t="s">
        <v>1054</v>
      </c>
      <c r="AU128" s="30" t="s">
        <v>309</v>
      </c>
      <c r="AV128" s="30" t="s">
        <v>461</v>
      </c>
    </row>
    <row r="129" spans="1:48" x14ac:dyDescent="0.3">
      <c r="A129" s="5" t="s">
        <v>30</v>
      </c>
      <c r="B129" s="5" t="s">
        <v>54</v>
      </c>
      <c r="C129" s="5" t="s">
        <v>949</v>
      </c>
      <c r="D129" s="5" t="s">
        <v>32</v>
      </c>
      <c r="E129" s="6" t="s">
        <v>33</v>
      </c>
      <c r="F129" s="7">
        <v>1</v>
      </c>
      <c r="G129" s="5" t="s">
        <v>950</v>
      </c>
      <c r="H129" s="5" t="s">
        <v>1056</v>
      </c>
      <c r="I129" s="5" t="s">
        <v>1057</v>
      </c>
      <c r="J129" s="5" t="s">
        <v>34</v>
      </c>
      <c r="K129" s="5" t="s">
        <v>42</v>
      </c>
      <c r="L129" s="5" t="s">
        <v>573</v>
      </c>
      <c r="M129" s="5" t="s">
        <v>574</v>
      </c>
      <c r="N129" s="5" t="s">
        <v>56</v>
      </c>
      <c r="O129" s="6" t="s">
        <v>1058</v>
      </c>
      <c r="P129" s="5" t="s">
        <v>47</v>
      </c>
      <c r="Q129" s="5" t="s">
        <v>64</v>
      </c>
      <c r="R129" s="5" t="s">
        <v>268</v>
      </c>
      <c r="S129" s="5" t="s">
        <v>1059</v>
      </c>
      <c r="T129" s="5" t="s">
        <v>984</v>
      </c>
      <c r="U129" s="5" t="s">
        <v>1060</v>
      </c>
      <c r="V129" s="8">
        <v>4</v>
      </c>
      <c r="W129" s="9">
        <v>5058</v>
      </c>
      <c r="X129" s="5" t="s">
        <v>35</v>
      </c>
      <c r="Y129" s="10">
        <v>100</v>
      </c>
      <c r="Z129" s="10">
        <v>18.18</v>
      </c>
      <c r="AA129" s="10">
        <v>18.18</v>
      </c>
      <c r="AB129" s="10">
        <v>7690</v>
      </c>
      <c r="AC129" s="10">
        <v>2190</v>
      </c>
      <c r="AD129" s="10">
        <v>0</v>
      </c>
      <c r="AE129" s="11">
        <v>9880</v>
      </c>
      <c r="AF129" s="12" t="s">
        <v>44</v>
      </c>
      <c r="AG129" s="14" t="s">
        <v>388</v>
      </c>
      <c r="AH129" s="14" t="s">
        <v>65</v>
      </c>
      <c r="AI129" s="14" t="s">
        <v>49</v>
      </c>
      <c r="AJ129" s="14">
        <v>10000</v>
      </c>
      <c r="AK129" s="14">
        <v>10000</v>
      </c>
      <c r="AL129" s="13">
        <v>6</v>
      </c>
      <c r="AM129" s="13">
        <v>6</v>
      </c>
      <c r="AN129" s="14" t="s">
        <v>577</v>
      </c>
      <c r="AO129" s="14" t="s">
        <v>578</v>
      </c>
      <c r="AP129" s="14" t="s">
        <v>53</v>
      </c>
      <c r="AQ129" s="20">
        <v>202605</v>
      </c>
      <c r="AR129" s="30" t="s">
        <v>164</v>
      </c>
      <c r="AS129" s="30"/>
      <c r="AT129" s="12" t="s">
        <v>44</v>
      </c>
      <c r="AU129" s="30" t="s">
        <v>309</v>
      </c>
      <c r="AV129" s="30" t="s">
        <v>461</v>
      </c>
    </row>
    <row r="130" spans="1:48" x14ac:dyDescent="0.3">
      <c r="A130" s="5" t="s">
        <v>30</v>
      </c>
      <c r="B130" s="5" t="s">
        <v>54</v>
      </c>
      <c r="C130" s="5" t="s">
        <v>949</v>
      </c>
      <c r="D130" s="5" t="s">
        <v>32</v>
      </c>
      <c r="E130" s="6" t="s">
        <v>33</v>
      </c>
      <c r="F130" s="7">
        <v>2</v>
      </c>
      <c r="G130" s="5" t="s">
        <v>950</v>
      </c>
      <c r="H130" s="5" t="s">
        <v>1061</v>
      </c>
      <c r="I130" s="5" t="s">
        <v>1062</v>
      </c>
      <c r="J130" s="5" t="s">
        <v>34</v>
      </c>
      <c r="K130" s="5" t="s">
        <v>55</v>
      </c>
      <c r="L130" s="5" t="s">
        <v>1063</v>
      </c>
      <c r="M130" s="5" t="s">
        <v>582</v>
      </c>
      <c r="N130" s="5" t="s">
        <v>56</v>
      </c>
      <c r="O130" s="6" t="s">
        <v>1064</v>
      </c>
      <c r="P130" s="5" t="s">
        <v>1065</v>
      </c>
      <c r="Q130" s="5" t="s">
        <v>64</v>
      </c>
      <c r="R130" s="5" t="s">
        <v>144</v>
      </c>
      <c r="S130" s="5" t="s">
        <v>1066</v>
      </c>
      <c r="T130" s="5" t="s">
        <v>314</v>
      </c>
      <c r="U130" s="5" t="s">
        <v>1067</v>
      </c>
      <c r="V130" s="8">
        <v>95</v>
      </c>
      <c r="W130" s="9">
        <v>110470</v>
      </c>
      <c r="X130" s="5" t="s">
        <v>35</v>
      </c>
      <c r="Y130" s="10">
        <v>100</v>
      </c>
      <c r="Z130" s="10">
        <v>18.18</v>
      </c>
      <c r="AA130" s="10">
        <v>18.18</v>
      </c>
      <c r="AB130" s="10">
        <v>0</v>
      </c>
      <c r="AC130" s="10">
        <v>0</v>
      </c>
      <c r="AD130" s="10">
        <v>123189</v>
      </c>
      <c r="AE130" s="11">
        <v>123189</v>
      </c>
      <c r="AF130" s="12" t="s">
        <v>57</v>
      </c>
      <c r="AG130" s="14" t="s">
        <v>1068</v>
      </c>
      <c r="AH130" s="14" t="s">
        <v>65</v>
      </c>
      <c r="AI130" s="14" t="s">
        <v>36</v>
      </c>
      <c r="AJ130" s="14" t="s">
        <v>141</v>
      </c>
      <c r="AK130" s="14" t="s">
        <v>141</v>
      </c>
      <c r="AL130" s="13" t="s">
        <v>123</v>
      </c>
      <c r="AM130" s="13" t="s">
        <v>123</v>
      </c>
      <c r="AN130" s="14" t="s">
        <v>58</v>
      </c>
      <c r="AO130" s="14" t="s">
        <v>59</v>
      </c>
      <c r="AP130" s="14" t="s">
        <v>37</v>
      </c>
      <c r="AQ130" s="20">
        <v>202605</v>
      </c>
      <c r="AR130" s="14" t="s">
        <v>152</v>
      </c>
      <c r="AS130" s="14" t="s">
        <v>163</v>
      </c>
      <c r="AT130" s="12" t="s">
        <v>163</v>
      </c>
      <c r="AU130" s="30" t="s">
        <v>309</v>
      </c>
      <c r="AV130" s="30" t="s">
        <v>461</v>
      </c>
    </row>
    <row r="131" spans="1:48" x14ac:dyDescent="0.3">
      <c r="A131" s="5" t="s">
        <v>30</v>
      </c>
      <c r="B131" s="5" t="s">
        <v>54</v>
      </c>
      <c r="C131" s="5" t="s">
        <v>949</v>
      </c>
      <c r="D131" s="5" t="s">
        <v>32</v>
      </c>
      <c r="E131" s="6" t="s">
        <v>33</v>
      </c>
      <c r="F131" s="7">
        <v>3</v>
      </c>
      <c r="G131" s="5" t="s">
        <v>950</v>
      </c>
      <c r="H131" s="5" t="s">
        <v>1069</v>
      </c>
      <c r="I131" s="5" t="s">
        <v>1062</v>
      </c>
      <c r="J131" s="5" t="s">
        <v>34</v>
      </c>
      <c r="K131" s="5" t="s">
        <v>55</v>
      </c>
      <c r="L131" s="5" t="s">
        <v>1063</v>
      </c>
      <c r="M131" s="5" t="s">
        <v>582</v>
      </c>
      <c r="N131" s="5" t="s">
        <v>56</v>
      </c>
      <c r="O131" s="6" t="s">
        <v>1064</v>
      </c>
      <c r="P131" s="5" t="s">
        <v>584</v>
      </c>
      <c r="Q131" s="5" t="s">
        <v>64</v>
      </c>
      <c r="R131" s="5" t="s">
        <v>144</v>
      </c>
      <c r="S131" s="5" t="s">
        <v>1066</v>
      </c>
      <c r="T131" s="5" t="s">
        <v>314</v>
      </c>
      <c r="U131" s="5" t="s">
        <v>1067</v>
      </c>
      <c r="V131" s="8">
        <v>95</v>
      </c>
      <c r="W131" s="9">
        <v>110470</v>
      </c>
      <c r="X131" s="5" t="s">
        <v>35</v>
      </c>
      <c r="Y131" s="10">
        <v>100</v>
      </c>
      <c r="Z131" s="10">
        <v>18.18</v>
      </c>
      <c r="AA131" s="10">
        <v>18.18</v>
      </c>
      <c r="AB131" s="10">
        <v>182683</v>
      </c>
      <c r="AC131" s="10">
        <v>59180</v>
      </c>
      <c r="AD131" s="10">
        <v>0</v>
      </c>
      <c r="AE131" s="11">
        <v>241863</v>
      </c>
      <c r="AF131" s="12" t="s">
        <v>57</v>
      </c>
      <c r="AG131" s="14" t="s">
        <v>1068</v>
      </c>
      <c r="AH131" s="14" t="s">
        <v>65</v>
      </c>
      <c r="AI131" s="14" t="s">
        <v>36</v>
      </c>
      <c r="AJ131" s="14" t="s">
        <v>141</v>
      </c>
      <c r="AK131" s="14" t="s">
        <v>141</v>
      </c>
      <c r="AL131" s="13" t="s">
        <v>123</v>
      </c>
      <c r="AM131" s="13" t="s">
        <v>123</v>
      </c>
      <c r="AN131" s="14" t="s">
        <v>58</v>
      </c>
      <c r="AO131" s="14" t="s">
        <v>59</v>
      </c>
      <c r="AP131" s="14" t="s">
        <v>37</v>
      </c>
      <c r="AQ131" s="20">
        <v>202605</v>
      </c>
      <c r="AR131" s="14" t="s">
        <v>152</v>
      </c>
      <c r="AS131" s="14" t="s">
        <v>163</v>
      </c>
      <c r="AT131" s="12" t="s">
        <v>163</v>
      </c>
      <c r="AU131" s="30" t="s">
        <v>309</v>
      </c>
      <c r="AV131" s="30" t="s">
        <v>461</v>
      </c>
    </row>
    <row r="132" spans="1:48" x14ac:dyDescent="0.3">
      <c r="A132" s="5" t="s">
        <v>30</v>
      </c>
      <c r="B132" s="5" t="s">
        <v>54</v>
      </c>
      <c r="C132" s="5" t="s">
        <v>949</v>
      </c>
      <c r="D132" s="5" t="s">
        <v>32</v>
      </c>
      <c r="E132" s="6" t="s">
        <v>33</v>
      </c>
      <c r="F132" s="7">
        <v>4</v>
      </c>
      <c r="G132" s="5" t="s">
        <v>950</v>
      </c>
      <c r="H132" s="5" t="s">
        <v>1070</v>
      </c>
      <c r="I132" s="5" t="s">
        <v>1071</v>
      </c>
      <c r="J132" s="5" t="s">
        <v>34</v>
      </c>
      <c r="K132" s="5" t="s">
        <v>55</v>
      </c>
      <c r="L132" s="5" t="s">
        <v>581</v>
      </c>
      <c r="M132" s="5" t="s">
        <v>582</v>
      </c>
      <c r="N132" s="5" t="s">
        <v>56</v>
      </c>
      <c r="O132" s="6" t="s">
        <v>1072</v>
      </c>
      <c r="P132" s="5" t="s">
        <v>584</v>
      </c>
      <c r="Q132" s="5" t="s">
        <v>64</v>
      </c>
      <c r="R132" s="5" t="s">
        <v>144</v>
      </c>
      <c r="S132" s="5" t="s">
        <v>1073</v>
      </c>
      <c r="T132" s="5" t="s">
        <v>1074</v>
      </c>
      <c r="U132" s="5" t="s">
        <v>1075</v>
      </c>
      <c r="V132" s="8">
        <v>87</v>
      </c>
      <c r="W132" s="9">
        <v>38651</v>
      </c>
      <c r="X132" s="5" t="s">
        <v>35</v>
      </c>
      <c r="Y132" s="10">
        <v>100</v>
      </c>
      <c r="Z132" s="10">
        <v>18.18</v>
      </c>
      <c r="AA132" s="10">
        <v>18.18</v>
      </c>
      <c r="AB132" s="10">
        <v>143091</v>
      </c>
      <c r="AC132" s="10">
        <v>23496</v>
      </c>
      <c r="AD132" s="10">
        <v>0</v>
      </c>
      <c r="AE132" s="11">
        <v>166587</v>
      </c>
      <c r="AF132" s="12" t="s">
        <v>57</v>
      </c>
      <c r="AG132" s="14" t="s">
        <v>327</v>
      </c>
      <c r="AH132" s="14" t="s">
        <v>65</v>
      </c>
      <c r="AI132" s="14" t="s">
        <v>36</v>
      </c>
      <c r="AJ132" s="14">
        <v>40000</v>
      </c>
      <c r="AK132" s="14">
        <v>40000</v>
      </c>
      <c r="AL132" s="13" t="s">
        <v>123</v>
      </c>
      <c r="AM132" s="13" t="s">
        <v>123</v>
      </c>
      <c r="AN132" s="14" t="s">
        <v>75</v>
      </c>
      <c r="AO132" s="14" t="s">
        <v>76</v>
      </c>
      <c r="AP132" s="14" t="s">
        <v>37</v>
      </c>
      <c r="AQ132" s="20">
        <v>202605</v>
      </c>
      <c r="AR132" s="14" t="s">
        <v>152</v>
      </c>
      <c r="AS132" s="14" t="s">
        <v>163</v>
      </c>
      <c r="AT132" s="12" t="s">
        <v>163</v>
      </c>
      <c r="AU132" s="30" t="s">
        <v>309</v>
      </c>
      <c r="AV132" s="30" t="s">
        <v>461</v>
      </c>
    </row>
    <row r="133" spans="1:48" x14ac:dyDescent="0.3">
      <c r="A133" s="5" t="s">
        <v>30</v>
      </c>
      <c r="B133" s="5" t="s">
        <v>54</v>
      </c>
      <c r="C133" s="5" t="s">
        <v>949</v>
      </c>
      <c r="D133" s="5" t="s">
        <v>32</v>
      </c>
      <c r="E133" s="6" t="s">
        <v>33</v>
      </c>
      <c r="F133" s="7">
        <v>5</v>
      </c>
      <c r="G133" s="5" t="s">
        <v>950</v>
      </c>
      <c r="H133" s="5" t="s">
        <v>1076</v>
      </c>
      <c r="I133" s="5" t="s">
        <v>1077</v>
      </c>
      <c r="J133" s="5" t="s">
        <v>34</v>
      </c>
      <c r="K133" s="5" t="s">
        <v>55</v>
      </c>
      <c r="L133" s="5" t="s">
        <v>581</v>
      </c>
      <c r="M133" s="5" t="s">
        <v>582</v>
      </c>
      <c r="N133" s="5" t="s">
        <v>56</v>
      </c>
      <c r="O133" s="6" t="s">
        <v>1078</v>
      </c>
      <c r="P133" s="5" t="s">
        <v>584</v>
      </c>
      <c r="Q133" s="5" t="s">
        <v>64</v>
      </c>
      <c r="R133" s="5" t="s">
        <v>144</v>
      </c>
      <c r="S133" s="5" t="s">
        <v>1079</v>
      </c>
      <c r="T133" s="5" t="s">
        <v>528</v>
      </c>
      <c r="U133" s="5" t="s">
        <v>1080</v>
      </c>
      <c r="V133" s="8">
        <v>89</v>
      </c>
      <c r="W133" s="9">
        <v>104894</v>
      </c>
      <c r="X133" s="5" t="s">
        <v>35</v>
      </c>
      <c r="Y133" s="10">
        <v>100</v>
      </c>
      <c r="Z133" s="10">
        <v>18.18</v>
      </c>
      <c r="AA133" s="10">
        <v>18.18</v>
      </c>
      <c r="AB133" s="10">
        <v>181016</v>
      </c>
      <c r="AC133" s="10">
        <v>34493</v>
      </c>
      <c r="AD133" s="10">
        <v>0</v>
      </c>
      <c r="AE133" s="11">
        <v>215509</v>
      </c>
      <c r="AF133" s="12" t="s">
        <v>57</v>
      </c>
      <c r="AG133" s="14" t="s">
        <v>259</v>
      </c>
      <c r="AH133" s="14" t="s">
        <v>65</v>
      </c>
      <c r="AI133" s="14" t="s">
        <v>36</v>
      </c>
      <c r="AJ133" s="14" t="s">
        <v>141</v>
      </c>
      <c r="AK133" s="14" t="s">
        <v>141</v>
      </c>
      <c r="AL133" s="13" t="s">
        <v>123</v>
      </c>
      <c r="AM133" s="13" t="s">
        <v>123</v>
      </c>
      <c r="AN133" s="14" t="s">
        <v>58</v>
      </c>
      <c r="AO133" s="14" t="s">
        <v>59</v>
      </c>
      <c r="AP133" s="14" t="s">
        <v>37</v>
      </c>
      <c r="AQ133" s="20">
        <v>202605</v>
      </c>
      <c r="AR133" s="14" t="s">
        <v>152</v>
      </c>
      <c r="AS133" s="14" t="s">
        <v>163</v>
      </c>
      <c r="AT133" s="12" t="s">
        <v>163</v>
      </c>
      <c r="AU133" s="30" t="s">
        <v>309</v>
      </c>
      <c r="AV133" s="30" t="s">
        <v>461</v>
      </c>
    </row>
    <row r="134" spans="1:48" x14ac:dyDescent="0.3">
      <c r="A134" s="5" t="s">
        <v>30</v>
      </c>
      <c r="B134" s="5" t="s">
        <v>54</v>
      </c>
      <c r="C134" s="5" t="s">
        <v>949</v>
      </c>
      <c r="D134" s="5" t="s">
        <v>32</v>
      </c>
      <c r="E134" s="6" t="s">
        <v>33</v>
      </c>
      <c r="F134" s="7">
        <v>67</v>
      </c>
      <c r="G134" s="5" t="s">
        <v>950</v>
      </c>
      <c r="H134" s="5" t="s">
        <v>1081</v>
      </c>
      <c r="I134" s="5" t="s">
        <v>1082</v>
      </c>
      <c r="J134" s="5" t="s">
        <v>34</v>
      </c>
      <c r="K134" s="5" t="s">
        <v>134</v>
      </c>
      <c r="L134" s="5" t="s">
        <v>222</v>
      </c>
      <c r="M134" s="5" t="s">
        <v>39</v>
      </c>
      <c r="N134" s="5" t="s">
        <v>56</v>
      </c>
      <c r="O134" s="6" t="s">
        <v>1083</v>
      </c>
      <c r="P134" s="5" t="s">
        <v>177</v>
      </c>
      <c r="Q134" s="5" t="s">
        <v>320</v>
      </c>
      <c r="R134" s="5" t="s">
        <v>144</v>
      </c>
      <c r="S134" s="5" t="s">
        <v>1084</v>
      </c>
      <c r="T134" s="5" t="s">
        <v>468</v>
      </c>
      <c r="U134" s="5" t="s">
        <v>1085</v>
      </c>
      <c r="V134" s="8">
        <v>23</v>
      </c>
      <c r="W134" s="9">
        <v>51467</v>
      </c>
      <c r="X134" s="5" t="s">
        <v>35</v>
      </c>
      <c r="Y134" s="10">
        <v>100</v>
      </c>
      <c r="Z134" s="10">
        <v>18.18</v>
      </c>
      <c r="AA134" s="10">
        <v>18.18</v>
      </c>
      <c r="AB134" s="10">
        <v>193870</v>
      </c>
      <c r="AC134" s="10">
        <v>66123</v>
      </c>
      <c r="AD134" s="10">
        <v>0</v>
      </c>
      <c r="AE134" s="11">
        <v>259993</v>
      </c>
      <c r="AF134" s="12" t="s">
        <v>135</v>
      </c>
      <c r="AG134" s="14" t="s">
        <v>196</v>
      </c>
      <c r="AH134" s="14" t="s">
        <v>322</v>
      </c>
      <c r="AI134" s="14" t="s">
        <v>36</v>
      </c>
      <c r="AJ134" s="14">
        <v>60000</v>
      </c>
      <c r="AK134" s="14">
        <v>55000</v>
      </c>
      <c r="AL134" s="13">
        <v>24</v>
      </c>
      <c r="AM134" s="13">
        <v>24</v>
      </c>
      <c r="AN134" s="14" t="s">
        <v>58</v>
      </c>
      <c r="AO134" s="14" t="s">
        <v>59</v>
      </c>
      <c r="AP134" s="14" t="s">
        <v>37</v>
      </c>
      <c r="AQ134" s="20">
        <v>202605</v>
      </c>
      <c r="AR134" s="14" t="s">
        <v>152</v>
      </c>
      <c r="AS134" s="14" t="s">
        <v>180</v>
      </c>
      <c r="AT134" s="14" t="s">
        <v>180</v>
      </c>
      <c r="AU134" s="30" t="s">
        <v>309</v>
      </c>
      <c r="AV134" s="30" t="s">
        <v>461</v>
      </c>
    </row>
    <row r="135" spans="1:48" x14ac:dyDescent="0.3">
      <c r="A135" s="5" t="s">
        <v>30</v>
      </c>
      <c r="B135" s="5" t="s">
        <v>54</v>
      </c>
      <c r="C135" s="5" t="s">
        <v>949</v>
      </c>
      <c r="D135" s="5" t="s">
        <v>32</v>
      </c>
      <c r="E135" s="6" t="s">
        <v>33</v>
      </c>
      <c r="F135" s="7">
        <v>68</v>
      </c>
      <c r="G135" s="5" t="s">
        <v>950</v>
      </c>
      <c r="H135" s="5" t="s">
        <v>1086</v>
      </c>
      <c r="I135" s="5" t="s">
        <v>384</v>
      </c>
      <c r="J135" s="5" t="s">
        <v>34</v>
      </c>
      <c r="K135" s="5" t="s">
        <v>134</v>
      </c>
      <c r="L135" s="5" t="s">
        <v>222</v>
      </c>
      <c r="M135" s="5" t="s">
        <v>39</v>
      </c>
      <c r="N135" s="5" t="s">
        <v>56</v>
      </c>
      <c r="O135" s="6" t="s">
        <v>385</v>
      </c>
      <c r="P135" s="5" t="s">
        <v>177</v>
      </c>
      <c r="Q135" s="5" t="s">
        <v>64</v>
      </c>
      <c r="R135" s="5" t="s">
        <v>144</v>
      </c>
      <c r="S135" s="5" t="s">
        <v>386</v>
      </c>
      <c r="T135" s="5" t="s">
        <v>670</v>
      </c>
      <c r="U135" s="5" t="s">
        <v>387</v>
      </c>
      <c r="V135" s="8">
        <v>7</v>
      </c>
      <c r="W135" s="9">
        <v>13310</v>
      </c>
      <c r="X135" s="5" t="s">
        <v>35</v>
      </c>
      <c r="Y135" s="10">
        <v>100</v>
      </c>
      <c r="Z135" s="10">
        <v>18.18</v>
      </c>
      <c r="AA135" s="10">
        <v>18.18</v>
      </c>
      <c r="AB135" s="10">
        <v>195645</v>
      </c>
      <c r="AC135" s="10">
        <v>113088</v>
      </c>
      <c r="AD135" s="10">
        <v>0</v>
      </c>
      <c r="AE135" s="11">
        <v>308733</v>
      </c>
      <c r="AF135" s="12" t="s">
        <v>135</v>
      </c>
      <c r="AG135" s="14" t="s">
        <v>388</v>
      </c>
      <c r="AH135" s="14" t="s">
        <v>65</v>
      </c>
      <c r="AI135" s="14" t="s">
        <v>36</v>
      </c>
      <c r="AJ135" s="14">
        <v>20000</v>
      </c>
      <c r="AK135" s="14">
        <v>15000</v>
      </c>
      <c r="AL135" s="13">
        <v>12</v>
      </c>
      <c r="AM135" s="13">
        <v>9</v>
      </c>
      <c r="AN135" s="14" t="s">
        <v>58</v>
      </c>
      <c r="AO135" s="14" t="s">
        <v>59</v>
      </c>
      <c r="AP135" s="14" t="s">
        <v>37</v>
      </c>
      <c r="AQ135" s="20">
        <v>202605</v>
      </c>
      <c r="AR135" s="14" t="s">
        <v>152</v>
      </c>
      <c r="AS135" s="14" t="s">
        <v>180</v>
      </c>
      <c r="AT135" s="14" t="s">
        <v>180</v>
      </c>
      <c r="AU135" s="30" t="s">
        <v>309</v>
      </c>
      <c r="AV135" s="30" t="s">
        <v>461</v>
      </c>
    </row>
    <row r="136" spans="1:48" x14ac:dyDescent="0.3">
      <c r="A136" s="5" t="s">
        <v>30</v>
      </c>
      <c r="B136" s="5" t="s">
        <v>54</v>
      </c>
      <c r="C136" s="5" t="s">
        <v>949</v>
      </c>
      <c r="D136" s="5" t="s">
        <v>32</v>
      </c>
      <c r="E136" s="6" t="s">
        <v>33</v>
      </c>
      <c r="F136" s="7">
        <v>69</v>
      </c>
      <c r="G136" s="5" t="s">
        <v>950</v>
      </c>
      <c r="H136" s="5" t="s">
        <v>1087</v>
      </c>
      <c r="I136" s="5" t="s">
        <v>1088</v>
      </c>
      <c r="J136" s="5" t="s">
        <v>34</v>
      </c>
      <c r="K136" s="5" t="s">
        <v>134</v>
      </c>
      <c r="L136" s="5" t="s">
        <v>222</v>
      </c>
      <c r="M136" s="5" t="s">
        <v>39</v>
      </c>
      <c r="N136" s="5" t="s">
        <v>56</v>
      </c>
      <c r="O136" s="6" t="s">
        <v>1089</v>
      </c>
      <c r="P136" s="5" t="s">
        <v>177</v>
      </c>
      <c r="Q136" s="5" t="s">
        <v>64</v>
      </c>
      <c r="R136" s="5" t="s">
        <v>144</v>
      </c>
      <c r="S136" s="5" t="s">
        <v>1090</v>
      </c>
      <c r="T136" s="5" t="s">
        <v>713</v>
      </c>
      <c r="U136" s="5" t="s">
        <v>973</v>
      </c>
      <c r="V136" s="8">
        <v>5</v>
      </c>
      <c r="W136" s="9">
        <v>13496</v>
      </c>
      <c r="X136" s="5" t="s">
        <v>35</v>
      </c>
      <c r="Y136" s="10">
        <v>100</v>
      </c>
      <c r="Z136" s="10">
        <v>18.18</v>
      </c>
      <c r="AA136" s="10">
        <v>18.18</v>
      </c>
      <c r="AB136" s="10">
        <v>195309</v>
      </c>
      <c r="AC136" s="10">
        <v>60749</v>
      </c>
      <c r="AD136" s="10">
        <v>0</v>
      </c>
      <c r="AE136" s="11">
        <v>256058</v>
      </c>
      <c r="AF136" s="12" t="s">
        <v>135</v>
      </c>
      <c r="AG136" s="14" t="s">
        <v>321</v>
      </c>
      <c r="AH136" s="14" t="s">
        <v>65</v>
      </c>
      <c r="AI136" s="14" t="s">
        <v>36</v>
      </c>
      <c r="AJ136" s="14">
        <v>20000</v>
      </c>
      <c r="AK136" s="14">
        <v>15000</v>
      </c>
      <c r="AL136" s="13">
        <v>6</v>
      </c>
      <c r="AM136" s="13">
        <v>6</v>
      </c>
      <c r="AN136" s="14" t="s">
        <v>58</v>
      </c>
      <c r="AO136" s="14" t="s">
        <v>59</v>
      </c>
      <c r="AP136" s="14" t="s">
        <v>37</v>
      </c>
      <c r="AQ136" s="20">
        <v>202605</v>
      </c>
      <c r="AR136" s="14" t="s">
        <v>152</v>
      </c>
      <c r="AS136" s="14" t="s">
        <v>180</v>
      </c>
      <c r="AT136" s="14" t="s">
        <v>180</v>
      </c>
      <c r="AU136" s="30" t="s">
        <v>309</v>
      </c>
      <c r="AV136" s="30" t="s">
        <v>461</v>
      </c>
    </row>
    <row r="137" spans="1:48" x14ac:dyDescent="0.3">
      <c r="A137" s="5" t="s">
        <v>30</v>
      </c>
      <c r="B137" s="5" t="s">
        <v>54</v>
      </c>
      <c r="C137" s="5" t="s">
        <v>949</v>
      </c>
      <c r="D137" s="5" t="s">
        <v>32</v>
      </c>
      <c r="E137" s="6" t="s">
        <v>33</v>
      </c>
      <c r="F137" s="7">
        <v>70</v>
      </c>
      <c r="G137" s="5" t="s">
        <v>950</v>
      </c>
      <c r="H137" s="5" t="s">
        <v>1091</v>
      </c>
      <c r="I137" s="5" t="s">
        <v>1092</v>
      </c>
      <c r="J137" s="5" t="s">
        <v>34</v>
      </c>
      <c r="K137" s="5" t="s">
        <v>134</v>
      </c>
      <c r="L137" s="5" t="s">
        <v>222</v>
      </c>
      <c r="M137" s="5" t="s">
        <v>39</v>
      </c>
      <c r="N137" s="5" t="s">
        <v>56</v>
      </c>
      <c r="O137" s="6" t="s">
        <v>1093</v>
      </c>
      <c r="P137" s="5" t="s">
        <v>177</v>
      </c>
      <c r="Q137" s="5" t="s">
        <v>64</v>
      </c>
      <c r="R137" s="5" t="s">
        <v>144</v>
      </c>
      <c r="S137" s="5" t="s">
        <v>1094</v>
      </c>
      <c r="T137" s="5" t="s">
        <v>1095</v>
      </c>
      <c r="U137" s="5" t="s">
        <v>1096</v>
      </c>
      <c r="V137" s="8">
        <v>4</v>
      </c>
      <c r="W137" s="9">
        <v>9514</v>
      </c>
      <c r="X137" s="5" t="s">
        <v>35</v>
      </c>
      <c r="Y137" s="10">
        <v>100</v>
      </c>
      <c r="Z137" s="10">
        <v>18.18</v>
      </c>
      <c r="AA137" s="10">
        <v>18.18</v>
      </c>
      <c r="AB137" s="10">
        <v>192053</v>
      </c>
      <c r="AC137" s="10">
        <v>68187</v>
      </c>
      <c r="AD137" s="10">
        <v>0</v>
      </c>
      <c r="AE137" s="11">
        <v>260240</v>
      </c>
      <c r="AF137" s="12" t="s">
        <v>135</v>
      </c>
      <c r="AG137" s="14" t="s">
        <v>938</v>
      </c>
      <c r="AH137" s="14" t="s">
        <v>65</v>
      </c>
      <c r="AI137" s="14" t="s">
        <v>36</v>
      </c>
      <c r="AJ137" s="14">
        <v>10000</v>
      </c>
      <c r="AK137" s="14">
        <v>10000</v>
      </c>
      <c r="AL137" s="13">
        <v>6</v>
      </c>
      <c r="AM137" s="13">
        <v>6</v>
      </c>
      <c r="AN137" s="14" t="s">
        <v>58</v>
      </c>
      <c r="AO137" s="14" t="s">
        <v>59</v>
      </c>
      <c r="AP137" s="14" t="s">
        <v>37</v>
      </c>
      <c r="AQ137" s="20">
        <v>202605</v>
      </c>
      <c r="AR137" s="14" t="s">
        <v>152</v>
      </c>
      <c r="AS137" s="14" t="s">
        <v>180</v>
      </c>
      <c r="AT137" s="14" t="s">
        <v>180</v>
      </c>
      <c r="AU137" s="30" t="s">
        <v>309</v>
      </c>
      <c r="AV137" s="30" t="s">
        <v>461</v>
      </c>
    </row>
    <row r="138" spans="1:48" x14ac:dyDescent="0.3">
      <c r="A138" s="5" t="s">
        <v>30</v>
      </c>
      <c r="B138" s="5" t="s">
        <v>54</v>
      </c>
      <c r="C138" s="5" t="s">
        <v>949</v>
      </c>
      <c r="D138" s="5" t="s">
        <v>32</v>
      </c>
      <c r="E138" s="6" t="s">
        <v>33</v>
      </c>
      <c r="F138" s="7">
        <v>71</v>
      </c>
      <c r="G138" s="5" t="s">
        <v>950</v>
      </c>
      <c r="H138" s="5" t="s">
        <v>1097</v>
      </c>
      <c r="I138" s="5" t="s">
        <v>1098</v>
      </c>
      <c r="J138" s="5" t="s">
        <v>34</v>
      </c>
      <c r="K138" s="5" t="s">
        <v>134</v>
      </c>
      <c r="L138" s="5" t="s">
        <v>232</v>
      </c>
      <c r="M138" s="5" t="s">
        <v>39</v>
      </c>
      <c r="N138" s="5" t="s">
        <v>56</v>
      </c>
      <c r="O138" s="6" t="s">
        <v>1099</v>
      </c>
      <c r="P138" s="5" t="s">
        <v>177</v>
      </c>
      <c r="Q138" s="5" t="s">
        <v>64</v>
      </c>
      <c r="R138" s="5" t="s">
        <v>144</v>
      </c>
      <c r="S138" s="5" t="s">
        <v>1100</v>
      </c>
      <c r="T138" s="5" t="s">
        <v>997</v>
      </c>
      <c r="U138" s="5" t="s">
        <v>1101</v>
      </c>
      <c r="V138" s="8">
        <v>33</v>
      </c>
      <c r="W138" s="9">
        <v>19653</v>
      </c>
      <c r="X138" s="5" t="s">
        <v>35</v>
      </c>
      <c r="Y138" s="10">
        <v>100</v>
      </c>
      <c r="Z138" s="10">
        <v>18.18</v>
      </c>
      <c r="AA138" s="10">
        <v>18.18</v>
      </c>
      <c r="AB138" s="10">
        <v>61827</v>
      </c>
      <c r="AC138" s="10">
        <v>11210</v>
      </c>
      <c r="AD138" s="10">
        <v>0</v>
      </c>
      <c r="AE138" s="11">
        <v>73037</v>
      </c>
      <c r="AF138" s="12" t="s">
        <v>135</v>
      </c>
      <c r="AG138" s="14" t="s">
        <v>151</v>
      </c>
      <c r="AH138" s="14" t="s">
        <v>65</v>
      </c>
      <c r="AI138" s="14" t="s">
        <v>36</v>
      </c>
      <c r="AJ138" s="14">
        <v>20000</v>
      </c>
      <c r="AK138" s="14">
        <v>20000</v>
      </c>
      <c r="AL138" s="13">
        <v>36</v>
      </c>
      <c r="AM138" s="13">
        <v>36</v>
      </c>
      <c r="AN138" s="14" t="s">
        <v>1102</v>
      </c>
      <c r="AO138" s="14" t="s">
        <v>1103</v>
      </c>
      <c r="AP138" s="14" t="s">
        <v>37</v>
      </c>
      <c r="AQ138" s="20">
        <v>202605</v>
      </c>
      <c r="AR138" s="14" t="s">
        <v>152</v>
      </c>
      <c r="AS138" s="14" t="s">
        <v>180</v>
      </c>
      <c r="AT138" s="14" t="s">
        <v>180</v>
      </c>
      <c r="AU138" s="30" t="s">
        <v>309</v>
      </c>
      <c r="AV138" s="30" t="s">
        <v>461</v>
      </c>
    </row>
    <row r="139" spans="1:48" x14ac:dyDescent="0.3">
      <c r="A139" s="5" t="s">
        <v>30</v>
      </c>
      <c r="B139" s="5" t="s">
        <v>54</v>
      </c>
      <c r="C139" s="5" t="s">
        <v>949</v>
      </c>
      <c r="D139" s="5" t="s">
        <v>32</v>
      </c>
      <c r="E139" s="6" t="s">
        <v>33</v>
      </c>
      <c r="F139" s="7">
        <v>72</v>
      </c>
      <c r="G139" s="5" t="s">
        <v>950</v>
      </c>
      <c r="H139" s="5" t="s">
        <v>1104</v>
      </c>
      <c r="I139" s="5" t="s">
        <v>1105</v>
      </c>
      <c r="J139" s="5" t="s">
        <v>34</v>
      </c>
      <c r="K139" s="5" t="s">
        <v>134</v>
      </c>
      <c r="L139" s="5" t="s">
        <v>1106</v>
      </c>
      <c r="M139" s="5" t="s">
        <v>39</v>
      </c>
      <c r="N139" s="5" t="s">
        <v>56</v>
      </c>
      <c r="O139" s="6" t="s">
        <v>1107</v>
      </c>
      <c r="P139" s="5" t="s">
        <v>177</v>
      </c>
      <c r="Q139" s="5" t="s">
        <v>64</v>
      </c>
      <c r="R139" s="5" t="s">
        <v>144</v>
      </c>
      <c r="S139" s="5" t="s">
        <v>1108</v>
      </c>
      <c r="T139" s="5" t="s">
        <v>503</v>
      </c>
      <c r="U139" s="5" t="s">
        <v>1109</v>
      </c>
      <c r="V139" s="8">
        <v>5</v>
      </c>
      <c r="W139" s="9">
        <v>15577</v>
      </c>
      <c r="X139" s="5" t="s">
        <v>35</v>
      </c>
      <c r="Y139" s="10">
        <v>100</v>
      </c>
      <c r="Z139" s="10">
        <v>18.18</v>
      </c>
      <c r="AA139" s="10">
        <v>18.18</v>
      </c>
      <c r="AB139" s="10">
        <v>454912</v>
      </c>
      <c r="AC139" s="10">
        <v>25374</v>
      </c>
      <c r="AD139" s="10">
        <v>0</v>
      </c>
      <c r="AE139" s="11">
        <v>480286</v>
      </c>
      <c r="AF139" s="12" t="s">
        <v>135</v>
      </c>
      <c r="AG139" s="14" t="s">
        <v>321</v>
      </c>
      <c r="AH139" s="14" t="s">
        <v>65</v>
      </c>
      <c r="AI139" s="14" t="s">
        <v>36</v>
      </c>
      <c r="AJ139" s="14">
        <v>20000</v>
      </c>
      <c r="AK139" s="14">
        <v>20000</v>
      </c>
      <c r="AL139" s="13">
        <v>6</v>
      </c>
      <c r="AM139" s="13">
        <v>6</v>
      </c>
      <c r="AN139" s="14" t="s">
        <v>1110</v>
      </c>
      <c r="AO139" s="14" t="s">
        <v>1111</v>
      </c>
      <c r="AP139" s="14" t="s">
        <v>37</v>
      </c>
      <c r="AQ139" s="20">
        <v>202605</v>
      </c>
      <c r="AR139" s="14" t="s">
        <v>152</v>
      </c>
      <c r="AS139" s="14" t="s">
        <v>180</v>
      </c>
      <c r="AT139" s="14" t="s">
        <v>180</v>
      </c>
      <c r="AU139" s="30" t="s">
        <v>309</v>
      </c>
      <c r="AV139" s="30" t="s">
        <v>461</v>
      </c>
    </row>
    <row r="140" spans="1:48" x14ac:dyDescent="0.3">
      <c r="A140" s="5" t="s">
        <v>30</v>
      </c>
      <c r="B140" s="5" t="s">
        <v>54</v>
      </c>
      <c r="C140" s="5" t="s">
        <v>949</v>
      </c>
      <c r="D140" s="5" t="s">
        <v>32</v>
      </c>
      <c r="E140" s="6" t="s">
        <v>33</v>
      </c>
      <c r="F140" s="7">
        <v>73</v>
      </c>
      <c r="G140" s="5" t="s">
        <v>950</v>
      </c>
      <c r="H140" s="5" t="s">
        <v>1112</v>
      </c>
      <c r="I140" s="5" t="s">
        <v>1113</v>
      </c>
      <c r="J140" s="5" t="s">
        <v>34</v>
      </c>
      <c r="K140" s="5" t="s">
        <v>38</v>
      </c>
      <c r="L140" s="5" t="s">
        <v>1114</v>
      </c>
      <c r="M140" s="5" t="s">
        <v>39</v>
      </c>
      <c r="N140" s="5" t="s">
        <v>56</v>
      </c>
      <c r="O140" s="6" t="s">
        <v>1115</v>
      </c>
      <c r="P140" s="5" t="s">
        <v>68</v>
      </c>
      <c r="Q140" s="5" t="s">
        <v>64</v>
      </c>
      <c r="R140" s="5" t="s">
        <v>144</v>
      </c>
      <c r="S140" s="5" t="s">
        <v>1116</v>
      </c>
      <c r="T140" s="5" t="s">
        <v>281</v>
      </c>
      <c r="U140" s="5" t="s">
        <v>1117</v>
      </c>
      <c r="V140" s="8">
        <v>83</v>
      </c>
      <c r="W140" s="9">
        <v>81780</v>
      </c>
      <c r="X140" s="5" t="s">
        <v>35</v>
      </c>
      <c r="Y140" s="10">
        <v>100</v>
      </c>
      <c r="Z140" s="10">
        <v>18.18</v>
      </c>
      <c r="AA140" s="10">
        <v>18.18</v>
      </c>
      <c r="AB140" s="10">
        <v>208829</v>
      </c>
      <c r="AC140" s="10">
        <v>9590</v>
      </c>
      <c r="AD140" s="10">
        <v>0</v>
      </c>
      <c r="AE140" s="11">
        <v>218419</v>
      </c>
      <c r="AF140" s="12" t="s">
        <v>41</v>
      </c>
      <c r="AG140" s="14" t="s">
        <v>1118</v>
      </c>
      <c r="AH140" s="14" t="s">
        <v>65</v>
      </c>
      <c r="AI140" s="14" t="s">
        <v>36</v>
      </c>
      <c r="AJ140" s="14">
        <v>90000</v>
      </c>
      <c r="AK140" s="14">
        <v>85000</v>
      </c>
      <c r="AL140" s="13" t="s">
        <v>123</v>
      </c>
      <c r="AM140" s="13" t="s">
        <v>123</v>
      </c>
      <c r="AN140" s="14" t="s">
        <v>1119</v>
      </c>
      <c r="AO140" s="14" t="s">
        <v>1120</v>
      </c>
      <c r="AP140" s="14" t="s">
        <v>37</v>
      </c>
      <c r="AQ140" s="20">
        <v>202605</v>
      </c>
      <c r="AR140" s="14" t="s">
        <v>152</v>
      </c>
      <c r="AS140" s="14" t="s">
        <v>163</v>
      </c>
      <c r="AT140" s="12" t="s">
        <v>163</v>
      </c>
      <c r="AU140" s="30" t="s">
        <v>309</v>
      </c>
      <c r="AV140" s="30" t="s">
        <v>461</v>
      </c>
    </row>
    <row r="141" spans="1:48" x14ac:dyDescent="0.3">
      <c r="A141" s="5" t="s">
        <v>30</v>
      </c>
      <c r="B141" s="5" t="s">
        <v>54</v>
      </c>
      <c r="C141" s="5" t="s">
        <v>949</v>
      </c>
      <c r="D141" s="5" t="s">
        <v>32</v>
      </c>
      <c r="E141" s="6" t="s">
        <v>33</v>
      </c>
      <c r="F141" s="7">
        <v>74</v>
      </c>
      <c r="G141" s="5" t="s">
        <v>950</v>
      </c>
      <c r="H141" s="5" t="s">
        <v>1121</v>
      </c>
      <c r="I141" s="5" t="s">
        <v>1122</v>
      </c>
      <c r="J141" s="5" t="s">
        <v>34</v>
      </c>
      <c r="K141" s="5" t="s">
        <v>38</v>
      </c>
      <c r="L141" s="5" t="s">
        <v>69</v>
      </c>
      <c r="M141" s="5" t="s">
        <v>39</v>
      </c>
      <c r="N141" s="5" t="s">
        <v>56</v>
      </c>
      <c r="O141" s="6" t="s">
        <v>1123</v>
      </c>
      <c r="P141" s="5" t="s">
        <v>187</v>
      </c>
      <c r="Q141" s="5" t="s">
        <v>64</v>
      </c>
      <c r="R141" s="5" t="s">
        <v>40</v>
      </c>
      <c r="S141" s="5" t="s">
        <v>1124</v>
      </c>
      <c r="T141" s="5" t="s">
        <v>1125</v>
      </c>
      <c r="U141" s="5" t="s">
        <v>1126</v>
      </c>
      <c r="V141" s="8">
        <v>95</v>
      </c>
      <c r="W141" s="9">
        <v>102981</v>
      </c>
      <c r="X141" s="5" t="s">
        <v>35</v>
      </c>
      <c r="Y141" s="10">
        <v>100</v>
      </c>
      <c r="Z141" s="10">
        <v>18.18</v>
      </c>
      <c r="AA141" s="10">
        <v>18.18</v>
      </c>
      <c r="AB141" s="10">
        <v>0</v>
      </c>
      <c r="AC141" s="10">
        <v>0</v>
      </c>
      <c r="AD141" s="10">
        <v>134140</v>
      </c>
      <c r="AE141" s="11">
        <v>134140</v>
      </c>
      <c r="AF141" s="12" t="s">
        <v>41</v>
      </c>
      <c r="AG141" s="14" t="s">
        <v>1127</v>
      </c>
      <c r="AH141" s="14" t="s">
        <v>65</v>
      </c>
      <c r="AI141" s="14" t="s">
        <v>36</v>
      </c>
      <c r="AJ141" s="14" t="s">
        <v>141</v>
      </c>
      <c r="AK141" s="14" t="s">
        <v>141</v>
      </c>
      <c r="AL141" s="13" t="s">
        <v>123</v>
      </c>
      <c r="AM141" s="13" t="s">
        <v>123</v>
      </c>
      <c r="AN141" s="14" t="s">
        <v>58</v>
      </c>
      <c r="AO141" s="14" t="s">
        <v>59</v>
      </c>
      <c r="AP141" s="14" t="s">
        <v>37</v>
      </c>
      <c r="AQ141" s="20">
        <v>202605</v>
      </c>
      <c r="AR141" s="14" t="s">
        <v>152</v>
      </c>
      <c r="AS141" s="14" t="s">
        <v>163</v>
      </c>
      <c r="AT141" s="12" t="s">
        <v>163</v>
      </c>
      <c r="AU141" s="30" t="s">
        <v>309</v>
      </c>
      <c r="AV141" s="30" t="s">
        <v>461</v>
      </c>
    </row>
    <row r="142" spans="1:48" x14ac:dyDescent="0.3">
      <c r="A142" s="5" t="s">
        <v>30</v>
      </c>
      <c r="B142" s="5" t="s">
        <v>54</v>
      </c>
      <c r="C142" s="5" t="s">
        <v>949</v>
      </c>
      <c r="D142" s="5" t="s">
        <v>32</v>
      </c>
      <c r="E142" s="6" t="s">
        <v>33</v>
      </c>
      <c r="F142" s="7">
        <v>75</v>
      </c>
      <c r="G142" s="5" t="s">
        <v>950</v>
      </c>
      <c r="H142" s="5" t="s">
        <v>1128</v>
      </c>
      <c r="I142" s="5" t="s">
        <v>1122</v>
      </c>
      <c r="J142" s="5" t="s">
        <v>34</v>
      </c>
      <c r="K142" s="5" t="s">
        <v>38</v>
      </c>
      <c r="L142" s="5" t="s">
        <v>69</v>
      </c>
      <c r="M142" s="5" t="s">
        <v>39</v>
      </c>
      <c r="N142" s="5" t="s">
        <v>56</v>
      </c>
      <c r="O142" s="6" t="s">
        <v>1123</v>
      </c>
      <c r="P142" s="5" t="s">
        <v>68</v>
      </c>
      <c r="Q142" s="5" t="s">
        <v>64</v>
      </c>
      <c r="R142" s="5" t="s">
        <v>40</v>
      </c>
      <c r="S142" s="5" t="s">
        <v>1124</v>
      </c>
      <c r="T142" s="5" t="s">
        <v>1125</v>
      </c>
      <c r="U142" s="5" t="s">
        <v>1126</v>
      </c>
      <c r="V142" s="8">
        <v>95</v>
      </c>
      <c r="W142" s="9">
        <v>102981</v>
      </c>
      <c r="X142" s="5" t="s">
        <v>35</v>
      </c>
      <c r="Y142" s="10">
        <v>100</v>
      </c>
      <c r="Z142" s="10">
        <v>18.18</v>
      </c>
      <c r="AA142" s="10">
        <v>18.18</v>
      </c>
      <c r="AB142" s="10">
        <v>665866</v>
      </c>
      <c r="AC142" s="10">
        <v>272506</v>
      </c>
      <c r="AD142" s="10">
        <v>0</v>
      </c>
      <c r="AE142" s="11">
        <v>938372</v>
      </c>
      <c r="AF142" s="12" t="s">
        <v>41</v>
      </c>
      <c r="AG142" s="14" t="s">
        <v>1127</v>
      </c>
      <c r="AH142" s="14" t="s">
        <v>65</v>
      </c>
      <c r="AI142" s="14" t="s">
        <v>36</v>
      </c>
      <c r="AJ142" s="14" t="s">
        <v>141</v>
      </c>
      <c r="AK142" s="14" t="s">
        <v>141</v>
      </c>
      <c r="AL142" s="13" t="s">
        <v>123</v>
      </c>
      <c r="AM142" s="13" t="s">
        <v>123</v>
      </c>
      <c r="AN142" s="14" t="s">
        <v>58</v>
      </c>
      <c r="AO142" s="14" t="s">
        <v>59</v>
      </c>
      <c r="AP142" s="14" t="s">
        <v>37</v>
      </c>
      <c r="AQ142" s="20">
        <v>202605</v>
      </c>
      <c r="AR142" s="14" t="s">
        <v>152</v>
      </c>
      <c r="AS142" s="14" t="s">
        <v>163</v>
      </c>
      <c r="AT142" s="12" t="s">
        <v>163</v>
      </c>
      <c r="AU142" s="30" t="s">
        <v>309</v>
      </c>
      <c r="AV142" s="30" t="s">
        <v>461</v>
      </c>
    </row>
    <row r="143" spans="1:48" x14ac:dyDescent="0.3">
      <c r="A143" s="5" t="s">
        <v>30</v>
      </c>
      <c r="B143" s="5" t="s">
        <v>54</v>
      </c>
      <c r="C143" s="5" t="s">
        <v>949</v>
      </c>
      <c r="D143" s="5" t="s">
        <v>32</v>
      </c>
      <c r="E143" s="6" t="s">
        <v>33</v>
      </c>
      <c r="F143" s="7">
        <v>76</v>
      </c>
      <c r="G143" s="5" t="s">
        <v>950</v>
      </c>
      <c r="H143" s="5" t="s">
        <v>1129</v>
      </c>
      <c r="I143" s="5" t="s">
        <v>1130</v>
      </c>
      <c r="J143" s="5" t="s">
        <v>34</v>
      </c>
      <c r="K143" s="5" t="s">
        <v>38</v>
      </c>
      <c r="L143" s="5" t="s">
        <v>69</v>
      </c>
      <c r="M143" s="5" t="s">
        <v>39</v>
      </c>
      <c r="N143" s="5" t="s">
        <v>56</v>
      </c>
      <c r="O143" s="6" t="s">
        <v>1131</v>
      </c>
      <c r="P143" s="5" t="s">
        <v>142</v>
      </c>
      <c r="Q143" s="5" t="s">
        <v>64</v>
      </c>
      <c r="R143" s="5" t="s">
        <v>144</v>
      </c>
      <c r="S143" s="5" t="s">
        <v>1132</v>
      </c>
      <c r="T143" s="5" t="s">
        <v>1125</v>
      </c>
      <c r="U143" s="5" t="s">
        <v>1133</v>
      </c>
      <c r="V143" s="8">
        <v>83</v>
      </c>
      <c r="W143" s="9">
        <v>94030</v>
      </c>
      <c r="X143" s="5" t="s">
        <v>35</v>
      </c>
      <c r="Y143" s="10">
        <v>100</v>
      </c>
      <c r="Z143" s="10">
        <v>18.18</v>
      </c>
      <c r="AA143" s="10">
        <v>18.18</v>
      </c>
      <c r="AB143" s="10">
        <v>659644</v>
      </c>
      <c r="AC143" s="10">
        <v>86233</v>
      </c>
      <c r="AD143" s="10">
        <v>0</v>
      </c>
      <c r="AE143" s="11">
        <v>745877</v>
      </c>
      <c r="AF143" s="12" t="s">
        <v>41</v>
      </c>
      <c r="AG143" s="14" t="s">
        <v>1134</v>
      </c>
      <c r="AH143" s="14" t="s">
        <v>65</v>
      </c>
      <c r="AI143" s="14" t="s">
        <v>36</v>
      </c>
      <c r="AJ143" s="14">
        <v>100000</v>
      </c>
      <c r="AK143" s="14">
        <v>95000</v>
      </c>
      <c r="AL143" s="13" t="s">
        <v>123</v>
      </c>
      <c r="AM143" s="13" t="s">
        <v>123</v>
      </c>
      <c r="AN143" s="14" t="s">
        <v>58</v>
      </c>
      <c r="AO143" s="14" t="s">
        <v>59</v>
      </c>
      <c r="AP143" s="14" t="s">
        <v>37</v>
      </c>
      <c r="AQ143" s="20">
        <v>202605</v>
      </c>
      <c r="AR143" s="14" t="s">
        <v>152</v>
      </c>
      <c r="AS143" s="14" t="s">
        <v>163</v>
      </c>
      <c r="AT143" s="12" t="s">
        <v>163</v>
      </c>
      <c r="AU143" s="30" t="s">
        <v>309</v>
      </c>
      <c r="AV143" s="30" t="s">
        <v>461</v>
      </c>
    </row>
    <row r="144" spans="1:48" x14ac:dyDescent="0.3">
      <c r="A144" s="5" t="s">
        <v>30</v>
      </c>
      <c r="B144" s="5" t="s">
        <v>54</v>
      </c>
      <c r="C144" s="5" t="s">
        <v>949</v>
      </c>
      <c r="D144" s="5" t="s">
        <v>32</v>
      </c>
      <c r="E144" s="6" t="s">
        <v>33</v>
      </c>
      <c r="F144" s="7">
        <v>77</v>
      </c>
      <c r="G144" s="5" t="s">
        <v>950</v>
      </c>
      <c r="H144" s="5" t="s">
        <v>1135</v>
      </c>
      <c r="I144" s="5" t="s">
        <v>1136</v>
      </c>
      <c r="J144" s="5" t="s">
        <v>34</v>
      </c>
      <c r="K144" s="5" t="s">
        <v>38</v>
      </c>
      <c r="L144" s="5" t="s">
        <v>69</v>
      </c>
      <c r="M144" s="5" t="s">
        <v>39</v>
      </c>
      <c r="N144" s="5" t="s">
        <v>56</v>
      </c>
      <c r="O144" s="6" t="s">
        <v>1137</v>
      </c>
      <c r="P144" s="5" t="s">
        <v>142</v>
      </c>
      <c r="Q144" s="5" t="s">
        <v>64</v>
      </c>
      <c r="R144" s="5" t="s">
        <v>40</v>
      </c>
      <c r="S144" s="5" t="s">
        <v>1138</v>
      </c>
      <c r="T144" s="5" t="s">
        <v>474</v>
      </c>
      <c r="U144" s="5" t="s">
        <v>1139</v>
      </c>
      <c r="V144" s="8">
        <v>71</v>
      </c>
      <c r="W144" s="9">
        <v>81888</v>
      </c>
      <c r="X144" s="5" t="s">
        <v>35</v>
      </c>
      <c r="Y144" s="10">
        <v>100</v>
      </c>
      <c r="Z144" s="10">
        <v>18.18</v>
      </c>
      <c r="AA144" s="10">
        <v>18.18</v>
      </c>
      <c r="AB144" s="10">
        <v>523094</v>
      </c>
      <c r="AC144" s="10">
        <v>151770</v>
      </c>
      <c r="AD144" s="10">
        <v>0</v>
      </c>
      <c r="AE144" s="11">
        <v>674864</v>
      </c>
      <c r="AF144" s="12" t="s">
        <v>41</v>
      </c>
      <c r="AG144" s="14" t="s">
        <v>392</v>
      </c>
      <c r="AH144" s="14" t="s">
        <v>65</v>
      </c>
      <c r="AI144" s="14" t="s">
        <v>36</v>
      </c>
      <c r="AJ144" s="14">
        <v>90000</v>
      </c>
      <c r="AK144" s="14">
        <v>85000</v>
      </c>
      <c r="AL144" s="13" t="s">
        <v>123</v>
      </c>
      <c r="AM144" s="13" t="s">
        <v>123</v>
      </c>
      <c r="AN144" s="14" t="s">
        <v>58</v>
      </c>
      <c r="AO144" s="14" t="s">
        <v>59</v>
      </c>
      <c r="AP144" s="14" t="s">
        <v>37</v>
      </c>
      <c r="AQ144" s="20">
        <v>202605</v>
      </c>
      <c r="AR144" s="14" t="s">
        <v>152</v>
      </c>
      <c r="AS144" s="14" t="s">
        <v>163</v>
      </c>
      <c r="AT144" s="12" t="s">
        <v>163</v>
      </c>
      <c r="AU144" s="30" t="s">
        <v>309</v>
      </c>
      <c r="AV144" s="30" t="s">
        <v>461</v>
      </c>
    </row>
    <row r="145" spans="1:48" x14ac:dyDescent="0.3">
      <c r="A145" s="5" t="s">
        <v>30</v>
      </c>
      <c r="B145" s="5" t="s">
        <v>54</v>
      </c>
      <c r="C145" s="5" t="s">
        <v>949</v>
      </c>
      <c r="D145" s="5" t="s">
        <v>32</v>
      </c>
      <c r="E145" s="6" t="s">
        <v>33</v>
      </c>
      <c r="F145" s="7">
        <v>78</v>
      </c>
      <c r="G145" s="5" t="s">
        <v>950</v>
      </c>
      <c r="H145" s="5" t="s">
        <v>1140</v>
      </c>
      <c r="I145" s="5" t="s">
        <v>1141</v>
      </c>
      <c r="J145" s="5" t="s">
        <v>34</v>
      </c>
      <c r="K145" s="5" t="s">
        <v>38</v>
      </c>
      <c r="L145" s="5" t="s">
        <v>69</v>
      </c>
      <c r="M145" s="5" t="s">
        <v>39</v>
      </c>
      <c r="N145" s="5" t="s">
        <v>56</v>
      </c>
      <c r="O145" s="6" t="s">
        <v>1142</v>
      </c>
      <c r="P145" s="5" t="s">
        <v>142</v>
      </c>
      <c r="Q145" s="5" t="s">
        <v>320</v>
      </c>
      <c r="R145" s="5" t="s">
        <v>144</v>
      </c>
      <c r="S145" s="5" t="s">
        <v>1143</v>
      </c>
      <c r="T145" s="5" t="s">
        <v>1095</v>
      </c>
      <c r="U145" s="5" t="s">
        <v>1144</v>
      </c>
      <c r="V145" s="8">
        <v>75</v>
      </c>
      <c r="W145" s="9">
        <v>79654</v>
      </c>
      <c r="X145" s="5" t="s">
        <v>35</v>
      </c>
      <c r="Y145" s="10">
        <v>100</v>
      </c>
      <c r="Z145" s="10">
        <v>18.18</v>
      </c>
      <c r="AA145" s="10">
        <v>18.18</v>
      </c>
      <c r="AB145" s="10">
        <v>522072</v>
      </c>
      <c r="AC145" s="10">
        <v>382298</v>
      </c>
      <c r="AD145" s="10">
        <v>0</v>
      </c>
      <c r="AE145" s="11">
        <v>904370</v>
      </c>
      <c r="AF145" s="12" t="s">
        <v>41</v>
      </c>
      <c r="AG145" s="14" t="s">
        <v>1145</v>
      </c>
      <c r="AH145" s="14" t="s">
        <v>322</v>
      </c>
      <c r="AI145" s="14" t="s">
        <v>36</v>
      </c>
      <c r="AJ145" s="14">
        <v>80000</v>
      </c>
      <c r="AK145" s="14">
        <v>80000</v>
      </c>
      <c r="AL145" s="13" t="s">
        <v>123</v>
      </c>
      <c r="AM145" s="13" t="s">
        <v>123</v>
      </c>
      <c r="AN145" s="14" t="s">
        <v>58</v>
      </c>
      <c r="AO145" s="14" t="s">
        <v>59</v>
      </c>
      <c r="AP145" s="14" t="s">
        <v>37</v>
      </c>
      <c r="AQ145" s="20">
        <v>202605</v>
      </c>
      <c r="AR145" s="14" t="s">
        <v>152</v>
      </c>
      <c r="AS145" s="14" t="s">
        <v>163</v>
      </c>
      <c r="AT145" s="12" t="s">
        <v>163</v>
      </c>
      <c r="AU145" s="30" t="s">
        <v>309</v>
      </c>
      <c r="AV145" s="30" t="s">
        <v>461</v>
      </c>
    </row>
    <row r="146" spans="1:48" x14ac:dyDescent="0.3">
      <c r="A146" s="5" t="s">
        <v>30</v>
      </c>
      <c r="B146" s="5" t="s">
        <v>54</v>
      </c>
      <c r="C146" s="5" t="s">
        <v>949</v>
      </c>
      <c r="D146" s="5" t="s">
        <v>32</v>
      </c>
      <c r="E146" s="6" t="s">
        <v>33</v>
      </c>
      <c r="F146" s="7">
        <v>79</v>
      </c>
      <c r="G146" s="5" t="s">
        <v>950</v>
      </c>
      <c r="H146" s="5" t="s">
        <v>1146</v>
      </c>
      <c r="I146" s="5" t="s">
        <v>1147</v>
      </c>
      <c r="J146" s="5" t="s">
        <v>34</v>
      </c>
      <c r="K146" s="5" t="s">
        <v>38</v>
      </c>
      <c r="L146" s="5" t="s">
        <v>69</v>
      </c>
      <c r="M146" s="5" t="s">
        <v>39</v>
      </c>
      <c r="N146" s="5" t="s">
        <v>56</v>
      </c>
      <c r="O146" s="6" t="s">
        <v>1148</v>
      </c>
      <c r="P146" s="5" t="s">
        <v>187</v>
      </c>
      <c r="Q146" s="5" t="s">
        <v>64</v>
      </c>
      <c r="R146" s="5" t="s">
        <v>144</v>
      </c>
      <c r="S146" s="5" t="s">
        <v>1149</v>
      </c>
      <c r="T146" s="5" t="s">
        <v>775</v>
      </c>
      <c r="U146" s="5" t="s">
        <v>1150</v>
      </c>
      <c r="V146" s="8">
        <v>59</v>
      </c>
      <c r="W146" s="9">
        <v>91829</v>
      </c>
      <c r="X146" s="5" t="s">
        <v>35</v>
      </c>
      <c r="Y146" s="10">
        <v>100</v>
      </c>
      <c r="Z146" s="10">
        <v>18.18</v>
      </c>
      <c r="AA146" s="10">
        <v>18.18</v>
      </c>
      <c r="AB146" s="10">
        <v>0</v>
      </c>
      <c r="AC146" s="10">
        <v>0</v>
      </c>
      <c r="AD146" s="10">
        <v>81031</v>
      </c>
      <c r="AE146" s="11">
        <v>81031</v>
      </c>
      <c r="AF146" s="12" t="s">
        <v>41</v>
      </c>
      <c r="AG146" s="14" t="s">
        <v>285</v>
      </c>
      <c r="AH146" s="14" t="s">
        <v>65</v>
      </c>
      <c r="AI146" s="14" t="s">
        <v>36</v>
      </c>
      <c r="AJ146" s="14">
        <v>100000</v>
      </c>
      <c r="AK146" s="14">
        <v>95000</v>
      </c>
      <c r="AL146" s="13">
        <v>60</v>
      </c>
      <c r="AM146" s="13">
        <v>60</v>
      </c>
      <c r="AN146" s="14" t="s">
        <v>58</v>
      </c>
      <c r="AO146" s="14" t="s">
        <v>59</v>
      </c>
      <c r="AP146" s="14" t="s">
        <v>37</v>
      </c>
      <c r="AQ146" s="20">
        <v>202605</v>
      </c>
      <c r="AR146" s="14" t="s">
        <v>152</v>
      </c>
      <c r="AS146" s="14" t="s">
        <v>163</v>
      </c>
      <c r="AT146" s="12" t="s">
        <v>163</v>
      </c>
      <c r="AU146" s="30" t="s">
        <v>309</v>
      </c>
      <c r="AV146" s="30" t="s">
        <v>461</v>
      </c>
    </row>
    <row r="147" spans="1:48" x14ac:dyDescent="0.3">
      <c r="A147" s="5" t="s">
        <v>30</v>
      </c>
      <c r="B147" s="5" t="s">
        <v>54</v>
      </c>
      <c r="C147" s="5" t="s">
        <v>949</v>
      </c>
      <c r="D147" s="5" t="s">
        <v>32</v>
      </c>
      <c r="E147" s="6" t="s">
        <v>33</v>
      </c>
      <c r="F147" s="7">
        <v>80</v>
      </c>
      <c r="G147" s="5" t="s">
        <v>950</v>
      </c>
      <c r="H147" s="5" t="s">
        <v>1151</v>
      </c>
      <c r="I147" s="5" t="s">
        <v>1147</v>
      </c>
      <c r="J147" s="5" t="s">
        <v>34</v>
      </c>
      <c r="K147" s="5" t="s">
        <v>38</v>
      </c>
      <c r="L147" s="5" t="s">
        <v>69</v>
      </c>
      <c r="M147" s="5" t="s">
        <v>39</v>
      </c>
      <c r="N147" s="5" t="s">
        <v>56</v>
      </c>
      <c r="O147" s="6" t="s">
        <v>1148</v>
      </c>
      <c r="P147" s="5" t="s">
        <v>68</v>
      </c>
      <c r="Q147" s="5" t="s">
        <v>64</v>
      </c>
      <c r="R147" s="5" t="s">
        <v>144</v>
      </c>
      <c r="S147" s="5" t="s">
        <v>1149</v>
      </c>
      <c r="T147" s="5" t="s">
        <v>775</v>
      </c>
      <c r="U147" s="5" t="s">
        <v>1150</v>
      </c>
      <c r="V147" s="8">
        <v>59</v>
      </c>
      <c r="W147" s="9">
        <v>91829</v>
      </c>
      <c r="X147" s="5" t="s">
        <v>35</v>
      </c>
      <c r="Y147" s="10">
        <v>100</v>
      </c>
      <c r="Z147" s="10">
        <v>18.18</v>
      </c>
      <c r="AA147" s="10">
        <v>18.18</v>
      </c>
      <c r="AB147" s="10">
        <v>520450</v>
      </c>
      <c r="AC147" s="10">
        <v>76583</v>
      </c>
      <c r="AD147" s="10">
        <v>49276</v>
      </c>
      <c r="AE147" s="11">
        <v>646309</v>
      </c>
      <c r="AF147" s="12" t="s">
        <v>41</v>
      </c>
      <c r="AG147" s="14" t="s">
        <v>285</v>
      </c>
      <c r="AH147" s="14" t="s">
        <v>65</v>
      </c>
      <c r="AI147" s="14" t="s">
        <v>36</v>
      </c>
      <c r="AJ147" s="14">
        <v>100000</v>
      </c>
      <c r="AK147" s="14">
        <v>95000</v>
      </c>
      <c r="AL147" s="13">
        <v>60</v>
      </c>
      <c r="AM147" s="13">
        <v>60</v>
      </c>
      <c r="AN147" s="14" t="s">
        <v>58</v>
      </c>
      <c r="AO147" s="14" t="s">
        <v>59</v>
      </c>
      <c r="AP147" s="14" t="s">
        <v>37</v>
      </c>
      <c r="AQ147" s="20">
        <v>202605</v>
      </c>
      <c r="AR147" s="14" t="s">
        <v>152</v>
      </c>
      <c r="AS147" s="14" t="s">
        <v>163</v>
      </c>
      <c r="AT147" s="12" t="s">
        <v>163</v>
      </c>
      <c r="AU147" s="30" t="s">
        <v>309</v>
      </c>
      <c r="AV147" s="30" t="s">
        <v>461</v>
      </c>
    </row>
    <row r="148" spans="1:48" x14ac:dyDescent="0.3">
      <c r="A148" s="5" t="s">
        <v>30</v>
      </c>
      <c r="B148" s="5" t="s">
        <v>54</v>
      </c>
      <c r="C148" s="5" t="s">
        <v>949</v>
      </c>
      <c r="D148" s="5" t="s">
        <v>32</v>
      </c>
      <c r="E148" s="6" t="s">
        <v>33</v>
      </c>
      <c r="F148" s="7">
        <v>81</v>
      </c>
      <c r="G148" s="5" t="s">
        <v>950</v>
      </c>
      <c r="H148" s="5" t="s">
        <v>1152</v>
      </c>
      <c r="I148" s="5" t="s">
        <v>1153</v>
      </c>
      <c r="J148" s="5" t="s">
        <v>34</v>
      </c>
      <c r="K148" s="5" t="s">
        <v>55</v>
      </c>
      <c r="L148" s="5" t="s">
        <v>331</v>
      </c>
      <c r="M148" s="5" t="s">
        <v>39</v>
      </c>
      <c r="N148" s="5" t="s">
        <v>56</v>
      </c>
      <c r="O148" s="6" t="s">
        <v>1154</v>
      </c>
      <c r="P148" s="5" t="s">
        <v>68</v>
      </c>
      <c r="Q148" s="5" t="s">
        <v>64</v>
      </c>
      <c r="R148" s="5" t="s">
        <v>145</v>
      </c>
      <c r="S148" s="5" t="s">
        <v>1155</v>
      </c>
      <c r="T148" s="5" t="s">
        <v>531</v>
      </c>
      <c r="U148" s="5" t="s">
        <v>1156</v>
      </c>
      <c r="V148" s="8">
        <v>77</v>
      </c>
      <c r="W148" s="9">
        <v>99038</v>
      </c>
      <c r="X148" s="5" t="s">
        <v>35</v>
      </c>
      <c r="Y148" s="10">
        <v>100</v>
      </c>
      <c r="Z148" s="10">
        <v>18.18</v>
      </c>
      <c r="AA148" s="10">
        <v>18.18</v>
      </c>
      <c r="AB148" s="10">
        <v>229465</v>
      </c>
      <c r="AC148" s="10">
        <v>80465</v>
      </c>
      <c r="AD148" s="10">
        <v>0</v>
      </c>
      <c r="AE148" s="11">
        <v>309930</v>
      </c>
      <c r="AF148" s="12" t="s">
        <v>57</v>
      </c>
      <c r="AG148" s="14" t="s">
        <v>1157</v>
      </c>
      <c r="AH148" s="14" t="s">
        <v>65</v>
      </c>
      <c r="AI148" s="14" t="s">
        <v>36</v>
      </c>
      <c r="AJ148" s="14">
        <v>100000</v>
      </c>
      <c r="AK148" s="14">
        <v>100000</v>
      </c>
      <c r="AL148" s="13" t="s">
        <v>123</v>
      </c>
      <c r="AM148" s="13" t="s">
        <v>123</v>
      </c>
      <c r="AN148" s="14" t="s">
        <v>58</v>
      </c>
      <c r="AO148" s="14" t="s">
        <v>59</v>
      </c>
      <c r="AP148" s="14" t="s">
        <v>37</v>
      </c>
      <c r="AQ148" s="20">
        <v>202605</v>
      </c>
      <c r="AR148" s="14" t="s">
        <v>152</v>
      </c>
      <c r="AS148" s="14" t="s">
        <v>163</v>
      </c>
      <c r="AT148" s="12" t="s">
        <v>163</v>
      </c>
      <c r="AU148" s="30" t="s">
        <v>309</v>
      </c>
      <c r="AV148" s="30" t="s">
        <v>461</v>
      </c>
    </row>
    <row r="149" spans="1:48" x14ac:dyDescent="0.3">
      <c r="A149" s="5" t="s">
        <v>30</v>
      </c>
      <c r="B149" s="5" t="s">
        <v>54</v>
      </c>
      <c r="C149" s="5" t="s">
        <v>949</v>
      </c>
      <c r="D149" s="5" t="s">
        <v>32</v>
      </c>
      <c r="E149" s="6" t="s">
        <v>33</v>
      </c>
      <c r="F149" s="7">
        <v>82</v>
      </c>
      <c r="G149" s="5" t="s">
        <v>950</v>
      </c>
      <c r="H149" s="5" t="s">
        <v>1158</v>
      </c>
      <c r="I149" s="5" t="s">
        <v>1159</v>
      </c>
      <c r="J149" s="5" t="s">
        <v>34</v>
      </c>
      <c r="K149" s="5" t="s">
        <v>55</v>
      </c>
      <c r="L149" s="5" t="s">
        <v>331</v>
      </c>
      <c r="M149" s="5" t="s">
        <v>39</v>
      </c>
      <c r="N149" s="5" t="s">
        <v>56</v>
      </c>
      <c r="O149" s="6" t="s">
        <v>1160</v>
      </c>
      <c r="P149" s="5" t="s">
        <v>68</v>
      </c>
      <c r="Q149" s="5" t="s">
        <v>64</v>
      </c>
      <c r="R149" s="5" t="s">
        <v>79</v>
      </c>
      <c r="S149" s="5" t="s">
        <v>1161</v>
      </c>
      <c r="T149" s="5" t="s">
        <v>1162</v>
      </c>
      <c r="U149" s="5" t="s">
        <v>1163</v>
      </c>
      <c r="V149" s="8">
        <v>73</v>
      </c>
      <c r="W149" s="9">
        <v>113483</v>
      </c>
      <c r="X149" s="5" t="s">
        <v>35</v>
      </c>
      <c r="Y149" s="10">
        <v>100</v>
      </c>
      <c r="Z149" s="10">
        <v>18.18</v>
      </c>
      <c r="AA149" s="10">
        <v>18.18</v>
      </c>
      <c r="AB149" s="10">
        <v>227224</v>
      </c>
      <c r="AC149" s="10">
        <v>80484</v>
      </c>
      <c r="AD149" s="10">
        <v>0</v>
      </c>
      <c r="AE149" s="11">
        <v>307708</v>
      </c>
      <c r="AF149" s="12" t="s">
        <v>57</v>
      </c>
      <c r="AG149" s="14" t="s">
        <v>1164</v>
      </c>
      <c r="AH149" s="14" t="s">
        <v>65</v>
      </c>
      <c r="AI149" s="14" t="s">
        <v>45</v>
      </c>
      <c r="AJ149" s="14" t="s">
        <v>141</v>
      </c>
      <c r="AK149" s="14" t="s">
        <v>141</v>
      </c>
      <c r="AL149" s="13" t="s">
        <v>123</v>
      </c>
      <c r="AM149" s="13" t="s">
        <v>123</v>
      </c>
      <c r="AN149" s="14" t="s">
        <v>58</v>
      </c>
      <c r="AO149" s="14" t="s">
        <v>59</v>
      </c>
      <c r="AP149" s="14" t="s">
        <v>37</v>
      </c>
      <c r="AQ149" s="20">
        <v>202605</v>
      </c>
      <c r="AR149" s="14" t="s">
        <v>152</v>
      </c>
      <c r="AS149" s="14" t="s">
        <v>163</v>
      </c>
      <c r="AT149" s="12" t="s">
        <v>163</v>
      </c>
      <c r="AU149" s="30" t="s">
        <v>309</v>
      </c>
      <c r="AV149" s="30" t="s">
        <v>461</v>
      </c>
    </row>
    <row r="150" spans="1:48" x14ac:dyDescent="0.3">
      <c r="A150" s="5" t="s">
        <v>30</v>
      </c>
      <c r="B150" s="5" t="s">
        <v>54</v>
      </c>
      <c r="C150" s="5" t="s">
        <v>949</v>
      </c>
      <c r="D150" s="5" t="s">
        <v>32</v>
      </c>
      <c r="E150" s="6" t="s">
        <v>33</v>
      </c>
      <c r="F150" s="7">
        <v>83</v>
      </c>
      <c r="G150" s="5" t="s">
        <v>950</v>
      </c>
      <c r="H150" s="5" t="s">
        <v>1165</v>
      </c>
      <c r="I150" s="5" t="s">
        <v>632</v>
      </c>
      <c r="J150" s="5" t="s">
        <v>34</v>
      </c>
      <c r="K150" s="5" t="s">
        <v>55</v>
      </c>
      <c r="L150" s="5" t="s">
        <v>331</v>
      </c>
      <c r="M150" s="5" t="s">
        <v>39</v>
      </c>
      <c r="N150" s="5" t="s">
        <v>56</v>
      </c>
      <c r="O150" s="6" t="s">
        <v>1166</v>
      </c>
      <c r="P150" s="5" t="s">
        <v>187</v>
      </c>
      <c r="Q150" s="5" t="s">
        <v>320</v>
      </c>
      <c r="R150" s="5" t="s">
        <v>291</v>
      </c>
      <c r="S150" s="5" t="s">
        <v>634</v>
      </c>
      <c r="T150" s="5" t="s">
        <v>635</v>
      </c>
      <c r="U150" s="5" t="s">
        <v>636</v>
      </c>
      <c r="V150" s="8">
        <v>69</v>
      </c>
      <c r="W150" s="9">
        <v>121824</v>
      </c>
      <c r="X150" s="5" t="s">
        <v>35</v>
      </c>
      <c r="Y150" s="10">
        <v>100</v>
      </c>
      <c r="Z150" s="10">
        <v>18.18</v>
      </c>
      <c r="AA150" s="10">
        <v>18.18</v>
      </c>
      <c r="AB150" s="10">
        <v>0</v>
      </c>
      <c r="AC150" s="10">
        <v>0</v>
      </c>
      <c r="AD150" s="10">
        <v>134140</v>
      </c>
      <c r="AE150" s="11">
        <v>134140</v>
      </c>
      <c r="AF150" s="12" t="s">
        <v>57</v>
      </c>
      <c r="AG150" s="14" t="s">
        <v>330</v>
      </c>
      <c r="AH150" s="14" t="s">
        <v>322</v>
      </c>
      <c r="AI150" s="14" t="s">
        <v>36</v>
      </c>
      <c r="AJ150" s="14" t="s">
        <v>141</v>
      </c>
      <c r="AK150" s="14" t="s">
        <v>141</v>
      </c>
      <c r="AL150" s="13" t="s">
        <v>123</v>
      </c>
      <c r="AM150" s="13" t="s">
        <v>123</v>
      </c>
      <c r="AN150" s="14" t="s">
        <v>58</v>
      </c>
      <c r="AO150" s="14" t="s">
        <v>59</v>
      </c>
      <c r="AP150" s="14" t="s">
        <v>37</v>
      </c>
      <c r="AQ150" s="20">
        <v>202605</v>
      </c>
      <c r="AR150" s="14" t="s">
        <v>152</v>
      </c>
      <c r="AS150" s="14" t="s">
        <v>163</v>
      </c>
      <c r="AT150" s="12" t="s">
        <v>163</v>
      </c>
      <c r="AU150" s="30" t="s">
        <v>309</v>
      </c>
      <c r="AV150" s="30" t="s">
        <v>461</v>
      </c>
    </row>
    <row r="151" spans="1:48" x14ac:dyDescent="0.3">
      <c r="A151" s="5" t="s">
        <v>30</v>
      </c>
      <c r="B151" s="5" t="s">
        <v>54</v>
      </c>
      <c r="C151" s="5" t="s">
        <v>949</v>
      </c>
      <c r="D151" s="5" t="s">
        <v>32</v>
      </c>
      <c r="E151" s="6" t="s">
        <v>33</v>
      </c>
      <c r="F151" s="7">
        <v>84</v>
      </c>
      <c r="G151" s="5" t="s">
        <v>950</v>
      </c>
      <c r="H151" s="5" t="s">
        <v>1167</v>
      </c>
      <c r="I151" s="5" t="s">
        <v>1168</v>
      </c>
      <c r="J151" s="5" t="s">
        <v>34</v>
      </c>
      <c r="K151" s="5" t="s">
        <v>55</v>
      </c>
      <c r="L151" s="5" t="s">
        <v>233</v>
      </c>
      <c r="M151" s="5" t="s">
        <v>39</v>
      </c>
      <c r="N151" s="5" t="s">
        <v>56</v>
      </c>
      <c r="O151" s="6" t="s">
        <v>1169</v>
      </c>
      <c r="P151" s="5" t="s">
        <v>584</v>
      </c>
      <c r="Q151" s="5" t="s">
        <v>320</v>
      </c>
      <c r="R151" s="5" t="s">
        <v>144</v>
      </c>
      <c r="S151" s="5" t="s">
        <v>1170</v>
      </c>
      <c r="T151" s="5" t="s">
        <v>510</v>
      </c>
      <c r="U151" s="5" t="s">
        <v>1171</v>
      </c>
      <c r="V151" s="8">
        <v>82</v>
      </c>
      <c r="W151" s="9">
        <v>60128</v>
      </c>
      <c r="X151" s="5" t="s">
        <v>35</v>
      </c>
      <c r="Y151" s="10">
        <v>100</v>
      </c>
      <c r="Z151" s="10">
        <v>18.18</v>
      </c>
      <c r="AA151" s="10">
        <v>18.18</v>
      </c>
      <c r="AB151" s="10">
        <v>230733</v>
      </c>
      <c r="AC151" s="10">
        <v>43979</v>
      </c>
      <c r="AD151" s="10">
        <v>0</v>
      </c>
      <c r="AE151" s="11">
        <v>274712</v>
      </c>
      <c r="AF151" s="12" t="s">
        <v>57</v>
      </c>
      <c r="AG151" s="14" t="s">
        <v>1172</v>
      </c>
      <c r="AH151" s="14" t="s">
        <v>322</v>
      </c>
      <c r="AI151" s="14" t="s">
        <v>36</v>
      </c>
      <c r="AJ151" s="14">
        <v>70000</v>
      </c>
      <c r="AK151" s="14">
        <v>65000</v>
      </c>
      <c r="AL151" s="13" t="s">
        <v>123</v>
      </c>
      <c r="AM151" s="13" t="s">
        <v>123</v>
      </c>
      <c r="AN151" s="14" t="s">
        <v>58</v>
      </c>
      <c r="AO151" s="14" t="s">
        <v>59</v>
      </c>
      <c r="AP151" s="14" t="s">
        <v>37</v>
      </c>
      <c r="AQ151" s="20">
        <v>202605</v>
      </c>
      <c r="AR151" s="14" t="s">
        <v>152</v>
      </c>
      <c r="AS151" s="14" t="s">
        <v>163</v>
      </c>
      <c r="AT151" s="12" t="s">
        <v>163</v>
      </c>
      <c r="AU151" s="30" t="s">
        <v>309</v>
      </c>
      <c r="AV151" s="30" t="s">
        <v>461</v>
      </c>
    </row>
    <row r="152" spans="1:48" x14ac:dyDescent="0.3">
      <c r="A152" s="5" t="s">
        <v>30</v>
      </c>
      <c r="B152" s="5" t="s">
        <v>54</v>
      </c>
      <c r="C152" s="5" t="s">
        <v>949</v>
      </c>
      <c r="D152" s="5" t="s">
        <v>32</v>
      </c>
      <c r="E152" s="6" t="s">
        <v>33</v>
      </c>
      <c r="F152" s="7">
        <v>85</v>
      </c>
      <c r="G152" s="5" t="s">
        <v>950</v>
      </c>
      <c r="H152" s="5" t="s">
        <v>1173</v>
      </c>
      <c r="I152" s="5" t="s">
        <v>1174</v>
      </c>
      <c r="J152" s="5" t="s">
        <v>34</v>
      </c>
      <c r="K152" s="5" t="s">
        <v>55</v>
      </c>
      <c r="L152" s="5" t="s">
        <v>233</v>
      </c>
      <c r="M152" s="5" t="s">
        <v>39</v>
      </c>
      <c r="N152" s="5" t="s">
        <v>56</v>
      </c>
      <c r="O152" s="6" t="s">
        <v>1175</v>
      </c>
      <c r="P152" s="5" t="s">
        <v>68</v>
      </c>
      <c r="Q152" s="5" t="s">
        <v>320</v>
      </c>
      <c r="R152" s="5" t="s">
        <v>1176</v>
      </c>
      <c r="S152" s="5" t="s">
        <v>1177</v>
      </c>
      <c r="T152" s="5" t="s">
        <v>380</v>
      </c>
      <c r="U152" s="5" t="s">
        <v>308</v>
      </c>
      <c r="V152" s="8">
        <v>73</v>
      </c>
      <c r="W152" s="9">
        <v>124411</v>
      </c>
      <c r="X152" s="5" t="s">
        <v>35</v>
      </c>
      <c r="Y152" s="10">
        <v>100</v>
      </c>
      <c r="Z152" s="10">
        <v>18.18</v>
      </c>
      <c r="AA152" s="10">
        <v>18.18</v>
      </c>
      <c r="AB152" s="10">
        <v>215140</v>
      </c>
      <c r="AC152" s="10">
        <v>39905</v>
      </c>
      <c r="AD152" s="10">
        <v>24509</v>
      </c>
      <c r="AE152" s="11">
        <v>279554</v>
      </c>
      <c r="AF152" s="12" t="s">
        <v>57</v>
      </c>
      <c r="AG152" s="14" t="s">
        <v>260</v>
      </c>
      <c r="AH152" s="14" t="s">
        <v>322</v>
      </c>
      <c r="AI152" s="14" t="s">
        <v>85</v>
      </c>
      <c r="AJ152" s="14" t="s">
        <v>141</v>
      </c>
      <c r="AK152" s="14" t="s">
        <v>141</v>
      </c>
      <c r="AL152" s="13" t="s">
        <v>123</v>
      </c>
      <c r="AM152" s="13" t="s">
        <v>123</v>
      </c>
      <c r="AN152" s="14" t="s">
        <v>75</v>
      </c>
      <c r="AO152" s="14" t="s">
        <v>76</v>
      </c>
      <c r="AP152" s="14" t="s">
        <v>37</v>
      </c>
      <c r="AQ152" s="20">
        <v>202605</v>
      </c>
      <c r="AR152" s="14" t="s">
        <v>152</v>
      </c>
      <c r="AS152" s="14" t="s">
        <v>163</v>
      </c>
      <c r="AT152" s="12" t="s">
        <v>163</v>
      </c>
      <c r="AU152" s="30" t="s">
        <v>309</v>
      </c>
      <c r="AV152" s="30" t="s">
        <v>461</v>
      </c>
    </row>
    <row r="153" spans="1:48" x14ac:dyDescent="0.3">
      <c r="A153" s="5" t="s">
        <v>30</v>
      </c>
      <c r="B153" s="5" t="s">
        <v>54</v>
      </c>
      <c r="C153" s="5" t="s">
        <v>949</v>
      </c>
      <c r="D153" s="5" t="s">
        <v>32</v>
      </c>
      <c r="E153" s="6" t="s">
        <v>33</v>
      </c>
      <c r="F153" s="7">
        <v>86</v>
      </c>
      <c r="G153" s="5" t="s">
        <v>950</v>
      </c>
      <c r="H153" s="5" t="s">
        <v>1178</v>
      </c>
      <c r="I153" s="5" t="s">
        <v>1179</v>
      </c>
      <c r="J153" s="5" t="s">
        <v>34</v>
      </c>
      <c r="K153" s="5" t="s">
        <v>55</v>
      </c>
      <c r="L153" s="5" t="s">
        <v>233</v>
      </c>
      <c r="M153" s="5" t="s">
        <v>39</v>
      </c>
      <c r="N153" s="5" t="s">
        <v>56</v>
      </c>
      <c r="O153" s="6" t="s">
        <v>1180</v>
      </c>
      <c r="P153" s="5" t="s">
        <v>68</v>
      </c>
      <c r="Q153" s="5" t="s">
        <v>64</v>
      </c>
      <c r="R153" s="5" t="s">
        <v>144</v>
      </c>
      <c r="S153" s="5" t="s">
        <v>1181</v>
      </c>
      <c r="T153" s="5" t="s">
        <v>510</v>
      </c>
      <c r="U153" s="5" t="s">
        <v>1182</v>
      </c>
      <c r="V153" s="8">
        <v>73</v>
      </c>
      <c r="W153" s="9">
        <v>106070</v>
      </c>
      <c r="X153" s="5" t="s">
        <v>35</v>
      </c>
      <c r="Y153" s="10">
        <v>100</v>
      </c>
      <c r="Z153" s="10">
        <v>18.18</v>
      </c>
      <c r="AA153" s="10">
        <v>18.18</v>
      </c>
      <c r="AB153" s="10">
        <v>229096</v>
      </c>
      <c r="AC153" s="10">
        <v>55805</v>
      </c>
      <c r="AD153" s="10">
        <v>0</v>
      </c>
      <c r="AE153" s="11">
        <v>284901</v>
      </c>
      <c r="AF153" s="12" t="s">
        <v>57</v>
      </c>
      <c r="AG153" s="14" t="s">
        <v>230</v>
      </c>
      <c r="AH153" s="14" t="s">
        <v>65</v>
      </c>
      <c r="AI153" s="14" t="s">
        <v>36</v>
      </c>
      <c r="AJ153" s="14" t="s">
        <v>141</v>
      </c>
      <c r="AK153" s="14" t="s">
        <v>141</v>
      </c>
      <c r="AL153" s="13" t="s">
        <v>123</v>
      </c>
      <c r="AM153" s="13" t="s">
        <v>123</v>
      </c>
      <c r="AN153" s="14" t="s">
        <v>58</v>
      </c>
      <c r="AO153" s="14" t="s">
        <v>59</v>
      </c>
      <c r="AP153" s="14" t="s">
        <v>37</v>
      </c>
      <c r="AQ153" s="20">
        <v>202605</v>
      </c>
      <c r="AR153" s="14" t="s">
        <v>152</v>
      </c>
      <c r="AS153" s="14" t="s">
        <v>163</v>
      </c>
      <c r="AT153" s="12" t="s">
        <v>163</v>
      </c>
      <c r="AU153" s="30" t="s">
        <v>309</v>
      </c>
      <c r="AV153" s="30" t="s">
        <v>461</v>
      </c>
    </row>
    <row r="154" spans="1:48" x14ac:dyDescent="0.3">
      <c r="A154" s="5" t="s">
        <v>30</v>
      </c>
      <c r="B154" s="5" t="s">
        <v>54</v>
      </c>
      <c r="C154" s="5" t="s">
        <v>949</v>
      </c>
      <c r="D154" s="5" t="s">
        <v>32</v>
      </c>
      <c r="E154" s="6" t="s">
        <v>33</v>
      </c>
      <c r="F154" s="7">
        <v>87</v>
      </c>
      <c r="G154" s="5" t="s">
        <v>950</v>
      </c>
      <c r="H154" s="5" t="s">
        <v>1183</v>
      </c>
      <c r="I154" s="5" t="s">
        <v>1184</v>
      </c>
      <c r="J154" s="5" t="s">
        <v>34</v>
      </c>
      <c r="K154" s="5" t="s">
        <v>55</v>
      </c>
      <c r="L154" s="5" t="s">
        <v>233</v>
      </c>
      <c r="M154" s="5" t="s">
        <v>39</v>
      </c>
      <c r="N154" s="5" t="s">
        <v>56</v>
      </c>
      <c r="O154" s="6" t="s">
        <v>1185</v>
      </c>
      <c r="P154" s="5" t="s">
        <v>584</v>
      </c>
      <c r="Q154" s="5" t="s">
        <v>64</v>
      </c>
      <c r="R154" s="5" t="s">
        <v>79</v>
      </c>
      <c r="S154" s="5" t="s">
        <v>1186</v>
      </c>
      <c r="T154" s="5" t="s">
        <v>635</v>
      </c>
      <c r="U154" s="5" t="s">
        <v>1187</v>
      </c>
      <c r="V154" s="8">
        <v>60</v>
      </c>
      <c r="W154" s="9">
        <v>76723</v>
      </c>
      <c r="X154" s="5" t="s">
        <v>35</v>
      </c>
      <c r="Y154" s="10">
        <v>100</v>
      </c>
      <c r="Z154" s="10">
        <v>18.18</v>
      </c>
      <c r="AA154" s="10">
        <v>18.18</v>
      </c>
      <c r="AB154" s="10">
        <v>229543</v>
      </c>
      <c r="AC154" s="10">
        <v>47206</v>
      </c>
      <c r="AD154" s="10">
        <v>0</v>
      </c>
      <c r="AE154" s="11">
        <v>276749</v>
      </c>
      <c r="AF154" s="12" t="s">
        <v>57</v>
      </c>
      <c r="AG154" s="14" t="s">
        <v>285</v>
      </c>
      <c r="AH154" s="14" t="s">
        <v>65</v>
      </c>
      <c r="AI154" s="14" t="s">
        <v>45</v>
      </c>
      <c r="AJ154" s="14">
        <v>80000</v>
      </c>
      <c r="AK154" s="14">
        <v>80000</v>
      </c>
      <c r="AL154" s="13" t="s">
        <v>123</v>
      </c>
      <c r="AM154" s="13" t="s">
        <v>123</v>
      </c>
      <c r="AN154" s="14" t="s">
        <v>58</v>
      </c>
      <c r="AO154" s="14" t="s">
        <v>59</v>
      </c>
      <c r="AP154" s="14" t="s">
        <v>37</v>
      </c>
      <c r="AQ154" s="20">
        <v>202605</v>
      </c>
      <c r="AR154" s="14" t="s">
        <v>152</v>
      </c>
      <c r="AS154" s="14" t="s">
        <v>163</v>
      </c>
      <c r="AT154" s="12" t="s">
        <v>163</v>
      </c>
      <c r="AU154" s="30" t="s">
        <v>309</v>
      </c>
      <c r="AV154" s="30" t="s">
        <v>461</v>
      </c>
    </row>
    <row r="155" spans="1:48" x14ac:dyDescent="0.3">
      <c r="A155" s="5" t="s">
        <v>30</v>
      </c>
      <c r="B155" s="5" t="s">
        <v>54</v>
      </c>
      <c r="C155" s="5" t="s">
        <v>949</v>
      </c>
      <c r="D155" s="5" t="s">
        <v>32</v>
      </c>
      <c r="E155" s="6" t="s">
        <v>33</v>
      </c>
      <c r="F155" s="7">
        <v>91</v>
      </c>
      <c r="G155" s="5" t="s">
        <v>950</v>
      </c>
      <c r="H155" s="5" t="s">
        <v>1188</v>
      </c>
      <c r="I155" s="5" t="s">
        <v>1189</v>
      </c>
      <c r="J155" s="5" t="s">
        <v>34</v>
      </c>
      <c r="K155" s="5" t="s">
        <v>42</v>
      </c>
      <c r="L155" s="5" t="s">
        <v>126</v>
      </c>
      <c r="M155" s="5" t="s">
        <v>43</v>
      </c>
      <c r="N155" s="5" t="s">
        <v>56</v>
      </c>
      <c r="O155" s="6" t="s">
        <v>1190</v>
      </c>
      <c r="P155" s="5" t="s">
        <v>47</v>
      </c>
      <c r="Q155" s="5" t="s">
        <v>64</v>
      </c>
      <c r="R155" s="5" t="s">
        <v>1191</v>
      </c>
      <c r="S155" s="5" t="s">
        <v>1192</v>
      </c>
      <c r="T155" s="5" t="s">
        <v>1193</v>
      </c>
      <c r="U155" s="5" t="s">
        <v>1194</v>
      </c>
      <c r="V155" s="8">
        <v>26</v>
      </c>
      <c r="W155" s="9">
        <v>53878</v>
      </c>
      <c r="X155" s="5" t="s">
        <v>35</v>
      </c>
      <c r="Y155" s="10">
        <v>100</v>
      </c>
      <c r="Z155" s="10">
        <v>18.18</v>
      </c>
      <c r="AA155" s="10">
        <v>18.18</v>
      </c>
      <c r="AB155" s="10">
        <v>169186</v>
      </c>
      <c r="AC155" s="10">
        <v>5037</v>
      </c>
      <c r="AD155" s="10">
        <v>0</v>
      </c>
      <c r="AE155" s="11">
        <v>174223</v>
      </c>
      <c r="AF155" s="12" t="s">
        <v>44</v>
      </c>
      <c r="AG155" s="14" t="s">
        <v>173</v>
      </c>
      <c r="AH155" s="14" t="s">
        <v>65</v>
      </c>
      <c r="AI155" s="14" t="s">
        <v>226</v>
      </c>
      <c r="AJ155" s="14">
        <v>60000</v>
      </c>
      <c r="AK155" s="14">
        <v>55000</v>
      </c>
      <c r="AL155" s="13">
        <v>30</v>
      </c>
      <c r="AM155" s="13">
        <v>27</v>
      </c>
      <c r="AN155" s="14" t="s">
        <v>171</v>
      </c>
      <c r="AO155" s="14" t="s">
        <v>172</v>
      </c>
      <c r="AP155" s="14" t="s">
        <v>46</v>
      </c>
      <c r="AQ155" s="20">
        <v>202605</v>
      </c>
      <c r="AR155" s="14" t="s">
        <v>850</v>
      </c>
      <c r="AS155" s="14" t="s">
        <v>1195</v>
      </c>
      <c r="AT155" s="12" t="s">
        <v>44</v>
      </c>
      <c r="AU155" s="30" t="s">
        <v>309</v>
      </c>
      <c r="AV155" s="30" t="s">
        <v>461</v>
      </c>
    </row>
    <row r="156" spans="1:48" x14ac:dyDescent="0.3">
      <c r="A156" s="5" t="s">
        <v>30</v>
      </c>
      <c r="B156" s="5" t="s">
        <v>54</v>
      </c>
      <c r="C156" s="5" t="s">
        <v>949</v>
      </c>
      <c r="D156" s="5" t="s">
        <v>32</v>
      </c>
      <c r="E156" s="6" t="s">
        <v>33</v>
      </c>
      <c r="F156" s="7">
        <v>100</v>
      </c>
      <c r="G156" s="5" t="s">
        <v>950</v>
      </c>
      <c r="H156" s="5" t="s">
        <v>1196</v>
      </c>
      <c r="I156" s="5" t="s">
        <v>1197</v>
      </c>
      <c r="J156" s="5" t="s">
        <v>34</v>
      </c>
      <c r="K156" s="5" t="s">
        <v>191</v>
      </c>
      <c r="L156" s="5" t="s">
        <v>683</v>
      </c>
      <c r="M156" s="5" t="s">
        <v>43</v>
      </c>
      <c r="N156" s="5" t="s">
        <v>56</v>
      </c>
      <c r="O156" s="25" t="s">
        <v>1198</v>
      </c>
      <c r="P156" s="5" t="s">
        <v>276</v>
      </c>
      <c r="Q156" s="5" t="s">
        <v>64</v>
      </c>
      <c r="R156" s="5" t="s">
        <v>74</v>
      </c>
      <c r="S156" s="5" t="s">
        <v>1199</v>
      </c>
      <c r="T156" s="5" t="s">
        <v>468</v>
      </c>
      <c r="U156" s="5" t="s">
        <v>386</v>
      </c>
      <c r="V156" s="8">
        <v>9</v>
      </c>
      <c r="W156" s="9">
        <v>26015</v>
      </c>
      <c r="X156" s="5" t="s">
        <v>35</v>
      </c>
      <c r="Y156" s="10">
        <v>100</v>
      </c>
      <c r="Z156" s="10">
        <v>18.18</v>
      </c>
      <c r="AA156" s="10">
        <v>18.18</v>
      </c>
      <c r="AB156" s="10">
        <v>91572</v>
      </c>
      <c r="AC156" s="10">
        <v>22010</v>
      </c>
      <c r="AD156" s="10">
        <v>0</v>
      </c>
      <c r="AE156" s="11">
        <v>113582</v>
      </c>
      <c r="AF156" s="12" t="s">
        <v>192</v>
      </c>
      <c r="AG156" s="14" t="s">
        <v>223</v>
      </c>
      <c r="AH156" s="14" t="s">
        <v>65</v>
      </c>
      <c r="AI156" s="14" t="s">
        <v>49</v>
      </c>
      <c r="AJ156" s="14">
        <v>30000</v>
      </c>
      <c r="AK156" s="14">
        <v>30000</v>
      </c>
      <c r="AL156" s="13">
        <v>12</v>
      </c>
      <c r="AM156" s="13">
        <v>12</v>
      </c>
      <c r="AN156" s="14" t="s">
        <v>75</v>
      </c>
      <c r="AO156" s="14" t="s">
        <v>76</v>
      </c>
      <c r="AP156" s="14" t="s">
        <v>46</v>
      </c>
      <c r="AQ156" s="20">
        <v>202605</v>
      </c>
      <c r="AR156" s="30" t="s">
        <v>164</v>
      </c>
      <c r="AS156" s="30"/>
      <c r="AT156" s="12" t="s">
        <v>192</v>
      </c>
      <c r="AU156" s="30" t="s">
        <v>309</v>
      </c>
      <c r="AV156" s="30" t="s">
        <v>461</v>
      </c>
    </row>
    <row r="157" spans="1:48" x14ac:dyDescent="0.3">
      <c r="A157" s="5" t="s">
        <v>30</v>
      </c>
      <c r="B157" s="5" t="s">
        <v>54</v>
      </c>
      <c r="C157" s="5" t="s">
        <v>949</v>
      </c>
      <c r="D157" s="5" t="s">
        <v>32</v>
      </c>
      <c r="E157" s="6" t="s">
        <v>33</v>
      </c>
      <c r="F157" s="7">
        <v>101</v>
      </c>
      <c r="G157" s="5" t="s">
        <v>950</v>
      </c>
      <c r="H157" s="5" t="s">
        <v>1200</v>
      </c>
      <c r="I157" s="5" t="s">
        <v>1201</v>
      </c>
      <c r="J157" s="5" t="s">
        <v>34</v>
      </c>
      <c r="K157" s="5" t="s">
        <v>191</v>
      </c>
      <c r="L157" s="5" t="s">
        <v>683</v>
      </c>
      <c r="M157" s="5" t="s">
        <v>43</v>
      </c>
      <c r="N157" s="5" t="s">
        <v>56</v>
      </c>
      <c r="O157" s="6" t="s">
        <v>1202</v>
      </c>
      <c r="P157" s="5" t="s">
        <v>51</v>
      </c>
      <c r="Q157" s="5" t="s">
        <v>64</v>
      </c>
      <c r="R157" s="5" t="s">
        <v>1203</v>
      </c>
      <c r="S157" s="5" t="s">
        <v>1204</v>
      </c>
      <c r="T157" s="5" t="s">
        <v>1205</v>
      </c>
      <c r="U157" s="5" t="s">
        <v>1206</v>
      </c>
      <c r="V157" s="8">
        <v>6</v>
      </c>
      <c r="W157" s="9">
        <v>16936</v>
      </c>
      <c r="X157" s="5" t="s">
        <v>35</v>
      </c>
      <c r="Y157" s="10">
        <v>100</v>
      </c>
      <c r="Z157" s="10">
        <v>18.18</v>
      </c>
      <c r="AA157" s="10">
        <v>18.18</v>
      </c>
      <c r="AB157" s="10">
        <v>80463</v>
      </c>
      <c r="AC157" s="10">
        <v>11654</v>
      </c>
      <c r="AD157" s="10">
        <v>26609</v>
      </c>
      <c r="AE157" s="11">
        <v>118726</v>
      </c>
      <c r="AF157" s="12" t="s">
        <v>192</v>
      </c>
      <c r="AG157" s="14" t="s">
        <v>391</v>
      </c>
      <c r="AH157" s="14" t="s">
        <v>65</v>
      </c>
      <c r="AI157" s="14" t="s">
        <v>226</v>
      </c>
      <c r="AJ157" s="14">
        <v>20000</v>
      </c>
      <c r="AK157" s="14">
        <v>20000</v>
      </c>
      <c r="AL157" s="13">
        <v>12</v>
      </c>
      <c r="AM157" s="13">
        <v>9</v>
      </c>
      <c r="AN157" s="14" t="s">
        <v>75</v>
      </c>
      <c r="AO157" s="14" t="s">
        <v>76</v>
      </c>
      <c r="AP157" s="14" t="s">
        <v>46</v>
      </c>
      <c r="AQ157" s="20">
        <v>202605</v>
      </c>
      <c r="AR157" s="30" t="s">
        <v>164</v>
      </c>
      <c r="AS157" s="30"/>
      <c r="AT157" s="12" t="s">
        <v>192</v>
      </c>
      <c r="AU157" s="30" t="s">
        <v>309</v>
      </c>
      <c r="AV157" s="30" t="s">
        <v>461</v>
      </c>
    </row>
    <row r="158" spans="1:48" x14ac:dyDescent="0.3">
      <c r="A158" s="5" t="s">
        <v>30</v>
      </c>
      <c r="B158" s="5" t="s">
        <v>54</v>
      </c>
      <c r="C158" s="5" t="s">
        <v>949</v>
      </c>
      <c r="D158" s="5" t="s">
        <v>32</v>
      </c>
      <c r="E158" s="6" t="s">
        <v>33</v>
      </c>
      <c r="F158" s="7">
        <v>103</v>
      </c>
      <c r="G158" s="5" t="s">
        <v>950</v>
      </c>
      <c r="H158" s="5" t="s">
        <v>1207</v>
      </c>
      <c r="I158" s="5" t="s">
        <v>1208</v>
      </c>
      <c r="J158" s="5" t="s">
        <v>34</v>
      </c>
      <c r="K158" s="5" t="s">
        <v>134</v>
      </c>
      <c r="L158" s="5" t="s">
        <v>157</v>
      </c>
      <c r="M158" s="5" t="s">
        <v>154</v>
      </c>
      <c r="N158" s="5" t="s">
        <v>56</v>
      </c>
      <c r="O158" s="6" t="s">
        <v>1209</v>
      </c>
      <c r="P158" s="5" t="s">
        <v>158</v>
      </c>
      <c r="Q158" s="5" t="s">
        <v>320</v>
      </c>
      <c r="R158" s="5" t="s">
        <v>1210</v>
      </c>
      <c r="S158" s="5" t="s">
        <v>1211</v>
      </c>
      <c r="T158" s="5" t="s">
        <v>503</v>
      </c>
      <c r="U158" s="5" t="s">
        <v>1212</v>
      </c>
      <c r="V158" s="8">
        <v>39</v>
      </c>
      <c r="W158" s="9">
        <v>83058</v>
      </c>
      <c r="X158" s="5" t="s">
        <v>35</v>
      </c>
      <c r="Y158" s="10">
        <v>100</v>
      </c>
      <c r="Z158" s="10">
        <v>18.18</v>
      </c>
      <c r="AA158" s="10">
        <v>18.18</v>
      </c>
      <c r="AB158" s="10">
        <v>66920</v>
      </c>
      <c r="AC158" s="10">
        <v>49084</v>
      </c>
      <c r="AD158" s="10">
        <v>0</v>
      </c>
      <c r="AE158" s="11">
        <v>116004</v>
      </c>
      <c r="AF158" s="12" t="s">
        <v>135</v>
      </c>
      <c r="AG158" s="14" t="s">
        <v>244</v>
      </c>
      <c r="AH158" s="14" t="s">
        <v>322</v>
      </c>
      <c r="AI158" s="14" t="s">
        <v>1213</v>
      </c>
      <c r="AJ158" s="14">
        <v>90000</v>
      </c>
      <c r="AK158" s="14">
        <v>85000</v>
      </c>
      <c r="AL158" s="13">
        <v>42</v>
      </c>
      <c r="AM158" s="13">
        <v>42</v>
      </c>
      <c r="AN158" s="14" t="s">
        <v>58</v>
      </c>
      <c r="AO158" s="14" t="s">
        <v>59</v>
      </c>
      <c r="AP158" s="14" t="s">
        <v>439</v>
      </c>
      <c r="AQ158" s="20">
        <v>202605</v>
      </c>
      <c r="AR158" s="30" t="s">
        <v>164</v>
      </c>
      <c r="AS158" s="30"/>
      <c r="AT158" s="12" t="s">
        <v>135</v>
      </c>
      <c r="AU158" s="30" t="s">
        <v>309</v>
      </c>
      <c r="AV158" s="30" t="s">
        <v>461</v>
      </c>
    </row>
    <row r="159" spans="1:48" x14ac:dyDescent="0.3">
      <c r="A159" s="5" t="s">
        <v>30</v>
      </c>
      <c r="B159" s="5" t="s">
        <v>54</v>
      </c>
      <c r="C159" s="5" t="s">
        <v>949</v>
      </c>
      <c r="D159" s="5" t="s">
        <v>32</v>
      </c>
      <c r="E159" s="6" t="s">
        <v>33</v>
      </c>
      <c r="F159" s="7">
        <v>104</v>
      </c>
      <c r="G159" s="5" t="s">
        <v>950</v>
      </c>
      <c r="H159" s="5" t="s">
        <v>1214</v>
      </c>
      <c r="I159" s="5" t="s">
        <v>1215</v>
      </c>
      <c r="J159" s="5" t="s">
        <v>34</v>
      </c>
      <c r="K159" s="5" t="s">
        <v>134</v>
      </c>
      <c r="L159" s="5" t="s">
        <v>157</v>
      </c>
      <c r="M159" s="5" t="s">
        <v>154</v>
      </c>
      <c r="N159" s="5" t="s">
        <v>56</v>
      </c>
      <c r="O159" s="6" t="s">
        <v>1216</v>
      </c>
      <c r="P159" s="5"/>
      <c r="Q159" s="5" t="s">
        <v>744</v>
      </c>
      <c r="R159" s="5" t="s">
        <v>745</v>
      </c>
      <c r="S159" s="5" t="s">
        <v>1217</v>
      </c>
      <c r="T159" s="5" t="s">
        <v>1218</v>
      </c>
      <c r="U159" s="5" t="s">
        <v>1219</v>
      </c>
      <c r="V159" s="8">
        <v>37</v>
      </c>
      <c r="W159" s="9">
        <v>67262</v>
      </c>
      <c r="X159" s="5" t="s">
        <v>35</v>
      </c>
      <c r="Y159" s="10">
        <v>100</v>
      </c>
      <c r="Z159" s="10">
        <v>18.18</v>
      </c>
      <c r="AA159" s="10">
        <v>18.18</v>
      </c>
      <c r="AB159" s="10">
        <v>0</v>
      </c>
      <c r="AC159" s="10">
        <v>0</v>
      </c>
      <c r="AD159" s="10">
        <v>17367</v>
      </c>
      <c r="AE159" s="11">
        <v>17367</v>
      </c>
      <c r="AF159" s="12" t="s">
        <v>135</v>
      </c>
      <c r="AG159" s="14" t="s">
        <v>368</v>
      </c>
      <c r="AH159" s="14" t="s">
        <v>748</v>
      </c>
      <c r="AI159" s="14" t="e">
        <v>#N/A</v>
      </c>
      <c r="AJ159" s="14">
        <v>70000</v>
      </c>
      <c r="AK159" s="14">
        <v>70000</v>
      </c>
      <c r="AL159" s="13">
        <v>42</v>
      </c>
      <c r="AM159" s="13">
        <v>39</v>
      </c>
      <c r="AN159" s="14" t="s">
        <v>58</v>
      </c>
      <c r="AO159" s="14" t="s">
        <v>59</v>
      </c>
      <c r="AP159" s="14" t="s">
        <v>439</v>
      </c>
      <c r="AQ159" s="20">
        <v>202605</v>
      </c>
      <c r="AR159" s="30" t="s">
        <v>164</v>
      </c>
      <c r="AS159" s="30"/>
      <c r="AT159" s="12" t="s">
        <v>135</v>
      </c>
      <c r="AU159" s="30" t="s">
        <v>309</v>
      </c>
      <c r="AV159" s="30" t="s">
        <v>461</v>
      </c>
    </row>
    <row r="160" spans="1:48" x14ac:dyDescent="0.3">
      <c r="A160" s="5" t="s">
        <v>30</v>
      </c>
      <c r="B160" s="5" t="s">
        <v>54</v>
      </c>
      <c r="C160" s="5" t="s">
        <v>949</v>
      </c>
      <c r="D160" s="5" t="s">
        <v>32</v>
      </c>
      <c r="E160" s="6" t="s">
        <v>33</v>
      </c>
      <c r="F160" s="7">
        <v>105</v>
      </c>
      <c r="G160" s="5" t="s">
        <v>950</v>
      </c>
      <c r="H160" s="5" t="s">
        <v>1220</v>
      </c>
      <c r="I160" s="5" t="s">
        <v>1215</v>
      </c>
      <c r="J160" s="5" t="s">
        <v>34</v>
      </c>
      <c r="K160" s="5" t="s">
        <v>134</v>
      </c>
      <c r="L160" s="5" t="s">
        <v>157</v>
      </c>
      <c r="M160" s="5" t="s">
        <v>154</v>
      </c>
      <c r="N160" s="5" t="s">
        <v>56</v>
      </c>
      <c r="O160" s="6" t="s">
        <v>1216</v>
      </c>
      <c r="P160" s="5" t="s">
        <v>51</v>
      </c>
      <c r="Q160" s="5" t="s">
        <v>320</v>
      </c>
      <c r="R160" s="5" t="s">
        <v>148</v>
      </c>
      <c r="S160" s="5" t="s">
        <v>1217</v>
      </c>
      <c r="T160" s="5" t="s">
        <v>1218</v>
      </c>
      <c r="U160" s="5" t="s">
        <v>1219</v>
      </c>
      <c r="V160" s="8">
        <v>37</v>
      </c>
      <c r="W160" s="9">
        <v>67262</v>
      </c>
      <c r="X160" s="5" t="s">
        <v>35</v>
      </c>
      <c r="Y160" s="10">
        <v>100</v>
      </c>
      <c r="Z160" s="10">
        <v>18.18</v>
      </c>
      <c r="AA160" s="10">
        <v>18.18</v>
      </c>
      <c r="AB160" s="10">
        <v>64275</v>
      </c>
      <c r="AC160" s="10">
        <v>70163</v>
      </c>
      <c r="AD160" s="10">
        <v>0</v>
      </c>
      <c r="AE160" s="11">
        <v>134438</v>
      </c>
      <c r="AF160" s="12" t="s">
        <v>135</v>
      </c>
      <c r="AG160" s="14" t="s">
        <v>368</v>
      </c>
      <c r="AH160" s="14" t="s">
        <v>322</v>
      </c>
      <c r="AI160" s="14" t="s">
        <v>143</v>
      </c>
      <c r="AJ160" s="14">
        <v>70000</v>
      </c>
      <c r="AK160" s="14">
        <v>70000</v>
      </c>
      <c r="AL160" s="13">
        <v>42</v>
      </c>
      <c r="AM160" s="13">
        <v>39</v>
      </c>
      <c r="AN160" s="14" t="s">
        <v>58</v>
      </c>
      <c r="AO160" s="14" t="s">
        <v>59</v>
      </c>
      <c r="AP160" s="14" t="s">
        <v>439</v>
      </c>
      <c r="AQ160" s="20">
        <v>202605</v>
      </c>
      <c r="AR160" s="30" t="s">
        <v>164</v>
      </c>
      <c r="AS160" s="30"/>
      <c r="AT160" s="12" t="s">
        <v>135</v>
      </c>
      <c r="AU160" s="30" t="s">
        <v>309</v>
      </c>
      <c r="AV160" s="30" t="s">
        <v>461</v>
      </c>
    </row>
    <row r="161" spans="1:48" x14ac:dyDescent="0.3">
      <c r="A161" s="5" t="s">
        <v>30</v>
      </c>
      <c r="B161" s="5" t="s">
        <v>54</v>
      </c>
      <c r="C161" s="5" t="s">
        <v>949</v>
      </c>
      <c r="D161" s="5" t="s">
        <v>32</v>
      </c>
      <c r="E161" s="6" t="s">
        <v>33</v>
      </c>
      <c r="F161" s="7">
        <v>106</v>
      </c>
      <c r="G161" s="5" t="s">
        <v>950</v>
      </c>
      <c r="H161" s="5" t="s">
        <v>1221</v>
      </c>
      <c r="I161" s="5" t="s">
        <v>1215</v>
      </c>
      <c r="J161" s="5" t="s">
        <v>34</v>
      </c>
      <c r="K161" s="5" t="s">
        <v>134</v>
      </c>
      <c r="L161" s="5" t="s">
        <v>157</v>
      </c>
      <c r="M161" s="5" t="s">
        <v>154</v>
      </c>
      <c r="N161" s="5" t="s">
        <v>56</v>
      </c>
      <c r="O161" s="6" t="s">
        <v>1216</v>
      </c>
      <c r="P161" s="5" t="s">
        <v>1222</v>
      </c>
      <c r="Q161" s="5" t="s">
        <v>320</v>
      </c>
      <c r="R161" s="5" t="s">
        <v>148</v>
      </c>
      <c r="S161" s="5" t="s">
        <v>1217</v>
      </c>
      <c r="T161" s="5" t="s">
        <v>1218</v>
      </c>
      <c r="U161" s="5" t="s">
        <v>1219</v>
      </c>
      <c r="V161" s="8">
        <v>37</v>
      </c>
      <c r="W161" s="9">
        <v>67262</v>
      </c>
      <c r="X161" s="5" t="s">
        <v>35</v>
      </c>
      <c r="Y161" s="10">
        <v>100</v>
      </c>
      <c r="Z161" s="10">
        <v>18.18</v>
      </c>
      <c r="AA161" s="10">
        <v>18.18</v>
      </c>
      <c r="AB161" s="10">
        <v>0</v>
      </c>
      <c r="AC161" s="10">
        <v>0</v>
      </c>
      <c r="AD161" s="10">
        <v>80484</v>
      </c>
      <c r="AE161" s="11">
        <v>80484</v>
      </c>
      <c r="AF161" s="12" t="s">
        <v>135</v>
      </c>
      <c r="AG161" s="14" t="s">
        <v>368</v>
      </c>
      <c r="AH161" s="14" t="s">
        <v>322</v>
      </c>
      <c r="AI161" s="14" t="s">
        <v>143</v>
      </c>
      <c r="AJ161" s="14">
        <v>70000</v>
      </c>
      <c r="AK161" s="14">
        <v>70000</v>
      </c>
      <c r="AL161" s="13">
        <v>42</v>
      </c>
      <c r="AM161" s="13">
        <v>39</v>
      </c>
      <c r="AN161" s="14" t="s">
        <v>58</v>
      </c>
      <c r="AO161" s="14" t="s">
        <v>59</v>
      </c>
      <c r="AP161" s="14" t="s">
        <v>439</v>
      </c>
      <c r="AQ161" s="20">
        <v>202605</v>
      </c>
      <c r="AR161" s="30" t="s">
        <v>164</v>
      </c>
      <c r="AS161" s="30"/>
      <c r="AT161" s="12" t="s">
        <v>135</v>
      </c>
      <c r="AU161" s="30" t="s">
        <v>309</v>
      </c>
      <c r="AV161" s="30" t="s">
        <v>461</v>
      </c>
    </row>
    <row r="162" spans="1:48" x14ac:dyDescent="0.3">
      <c r="A162" s="5" t="s">
        <v>30</v>
      </c>
      <c r="B162" s="5" t="s">
        <v>54</v>
      </c>
      <c r="C162" s="5" t="s">
        <v>949</v>
      </c>
      <c r="D162" s="5" t="s">
        <v>32</v>
      </c>
      <c r="E162" s="6" t="s">
        <v>33</v>
      </c>
      <c r="F162" s="7">
        <v>107</v>
      </c>
      <c r="G162" s="5" t="s">
        <v>950</v>
      </c>
      <c r="H162" s="5" t="s">
        <v>1223</v>
      </c>
      <c r="I162" s="5" t="s">
        <v>1224</v>
      </c>
      <c r="J162" s="5" t="s">
        <v>34</v>
      </c>
      <c r="K162" s="5" t="s">
        <v>131</v>
      </c>
      <c r="L162" s="5" t="s">
        <v>1225</v>
      </c>
      <c r="M162" s="5" t="s">
        <v>46</v>
      </c>
      <c r="N162" s="5" t="s">
        <v>56</v>
      </c>
      <c r="O162" s="6" t="s">
        <v>1226</v>
      </c>
      <c r="P162" s="5" t="s">
        <v>47</v>
      </c>
      <c r="Q162" s="5" t="s">
        <v>64</v>
      </c>
      <c r="R162" s="5" t="s">
        <v>70</v>
      </c>
      <c r="S162" s="5" t="s">
        <v>1227</v>
      </c>
      <c r="T162" s="5" t="s">
        <v>1228</v>
      </c>
      <c r="U162" s="5" t="s">
        <v>1229</v>
      </c>
      <c r="V162" s="8">
        <v>14</v>
      </c>
      <c r="W162" s="9">
        <v>10027</v>
      </c>
      <c r="X162" s="5" t="s">
        <v>35</v>
      </c>
      <c r="Y162" s="10">
        <v>100</v>
      </c>
      <c r="Z162" s="10">
        <v>18.18</v>
      </c>
      <c r="AA162" s="10">
        <v>18.18</v>
      </c>
      <c r="AB162" s="10">
        <v>27418</v>
      </c>
      <c r="AC162" s="10">
        <v>1643</v>
      </c>
      <c r="AD162" s="10">
        <v>0</v>
      </c>
      <c r="AE162" s="11">
        <v>29061</v>
      </c>
      <c r="AF162" s="12" t="s">
        <v>133</v>
      </c>
      <c r="AG162" s="14" t="s">
        <v>1230</v>
      </c>
      <c r="AH162" s="14" t="s">
        <v>65</v>
      </c>
      <c r="AI162" s="14" t="s">
        <v>49</v>
      </c>
      <c r="AJ162" s="14">
        <v>20000</v>
      </c>
      <c r="AK162" s="14">
        <v>15000</v>
      </c>
      <c r="AL162" s="13">
        <v>18</v>
      </c>
      <c r="AM162" s="13">
        <v>15</v>
      </c>
      <c r="AN162" s="14" t="s">
        <v>577</v>
      </c>
      <c r="AO162" s="14" t="s">
        <v>578</v>
      </c>
      <c r="AP162" s="14" t="s">
        <v>46</v>
      </c>
      <c r="AQ162" s="20">
        <v>202605</v>
      </c>
      <c r="AR162" s="30" t="s">
        <v>164</v>
      </c>
      <c r="AS162" s="30"/>
      <c r="AT162" s="12" t="s">
        <v>133</v>
      </c>
      <c r="AU162" s="30" t="s">
        <v>309</v>
      </c>
      <c r="AV162" s="30" t="s">
        <v>461</v>
      </c>
    </row>
    <row r="163" spans="1:48" x14ac:dyDescent="0.3">
      <c r="A163" s="5" t="s">
        <v>30</v>
      </c>
      <c r="B163" s="5" t="s">
        <v>54</v>
      </c>
      <c r="C163" s="5" t="s">
        <v>949</v>
      </c>
      <c r="D163" s="5" t="s">
        <v>32</v>
      </c>
      <c r="E163" s="6" t="s">
        <v>33</v>
      </c>
      <c r="F163" s="7">
        <v>124</v>
      </c>
      <c r="G163" s="5" t="s">
        <v>950</v>
      </c>
      <c r="H163" s="5" t="s">
        <v>1231</v>
      </c>
      <c r="I163" s="5" t="s">
        <v>1232</v>
      </c>
      <c r="J163" s="5" t="s">
        <v>34</v>
      </c>
      <c r="K163" s="5" t="s">
        <v>191</v>
      </c>
      <c r="L163" s="5" t="s">
        <v>275</v>
      </c>
      <c r="M163" s="5" t="s">
        <v>46</v>
      </c>
      <c r="N163" s="5" t="s">
        <v>56</v>
      </c>
      <c r="O163" s="6" t="e">
        <v>#N/A</v>
      </c>
      <c r="P163" s="5" t="s">
        <v>276</v>
      </c>
      <c r="Q163" s="5" t="s">
        <v>64</v>
      </c>
      <c r="R163" s="5" t="s">
        <v>148</v>
      </c>
      <c r="S163" s="5" t="s">
        <v>370</v>
      </c>
      <c r="T163" s="5" t="s">
        <v>503</v>
      </c>
      <c r="U163" s="5" t="s">
        <v>1233</v>
      </c>
      <c r="V163" s="8">
        <v>34</v>
      </c>
      <c r="W163" s="9">
        <v>64058</v>
      </c>
      <c r="X163" s="5" t="s">
        <v>35</v>
      </c>
      <c r="Y163" s="10">
        <v>100</v>
      </c>
      <c r="Z163" s="10">
        <v>18.18</v>
      </c>
      <c r="AA163" s="10">
        <v>18.18</v>
      </c>
      <c r="AB163" s="10">
        <v>51215</v>
      </c>
      <c r="AC163" s="10">
        <v>10107</v>
      </c>
      <c r="AD163" s="10">
        <v>0</v>
      </c>
      <c r="AE163" s="11">
        <v>61322</v>
      </c>
      <c r="AF163" s="12" t="s">
        <v>192</v>
      </c>
      <c r="AG163" s="14" t="s">
        <v>184</v>
      </c>
      <c r="AH163" s="14" t="s">
        <v>65</v>
      </c>
      <c r="AI163" s="14" t="s">
        <v>143</v>
      </c>
      <c r="AJ163" s="14">
        <v>70000</v>
      </c>
      <c r="AK163" s="14">
        <v>65000</v>
      </c>
      <c r="AL163" s="13">
        <v>36</v>
      </c>
      <c r="AM163" s="13">
        <v>36</v>
      </c>
      <c r="AN163" s="14" t="s">
        <v>1234</v>
      </c>
      <c r="AO163" s="14" t="s">
        <v>1235</v>
      </c>
      <c r="AP163" s="14" t="s">
        <v>46</v>
      </c>
      <c r="AQ163" s="20">
        <v>202605</v>
      </c>
      <c r="AR163" s="30" t="s">
        <v>164</v>
      </c>
      <c r="AS163" s="30"/>
      <c r="AT163" s="12" t="s">
        <v>192</v>
      </c>
      <c r="AU163" s="30" t="s">
        <v>309</v>
      </c>
      <c r="AV163" s="30" t="s">
        <v>461</v>
      </c>
    </row>
    <row r="164" spans="1:48" x14ac:dyDescent="0.3">
      <c r="A164" s="5" t="s">
        <v>30</v>
      </c>
      <c r="B164" s="5" t="s">
        <v>54</v>
      </c>
      <c r="C164" s="5" t="s">
        <v>949</v>
      </c>
      <c r="D164" s="5" t="s">
        <v>32</v>
      </c>
      <c r="E164" s="6" t="s">
        <v>33</v>
      </c>
      <c r="F164" s="7">
        <v>125</v>
      </c>
      <c r="G164" s="5" t="s">
        <v>950</v>
      </c>
      <c r="H164" s="5" t="s">
        <v>1236</v>
      </c>
      <c r="I164" s="5" t="s">
        <v>1237</v>
      </c>
      <c r="J164" s="5" t="s">
        <v>34</v>
      </c>
      <c r="K164" s="5" t="s">
        <v>42</v>
      </c>
      <c r="L164" s="5" t="s">
        <v>227</v>
      </c>
      <c r="M164" s="5" t="s">
        <v>197</v>
      </c>
      <c r="N164" s="5" t="s">
        <v>56</v>
      </c>
      <c r="O164" s="6" t="s">
        <v>1238</v>
      </c>
      <c r="P164" s="5" t="s">
        <v>225</v>
      </c>
      <c r="Q164" s="5" t="s">
        <v>71</v>
      </c>
      <c r="R164" s="5" t="s">
        <v>74</v>
      </c>
      <c r="S164" s="5" t="s">
        <v>339</v>
      </c>
      <c r="T164" s="5" t="s">
        <v>474</v>
      </c>
      <c r="U164" s="5" t="s">
        <v>1239</v>
      </c>
      <c r="V164" s="8">
        <v>15</v>
      </c>
      <c r="W164" s="9">
        <v>31237</v>
      </c>
      <c r="X164" s="5" t="s">
        <v>35</v>
      </c>
      <c r="Y164" s="10">
        <v>100</v>
      </c>
      <c r="Z164" s="10">
        <v>18.18</v>
      </c>
      <c r="AA164" s="10">
        <v>18.18</v>
      </c>
      <c r="AB164" s="10">
        <v>31271</v>
      </c>
      <c r="AC164" s="10">
        <v>7339</v>
      </c>
      <c r="AD164" s="10">
        <v>0</v>
      </c>
      <c r="AE164" s="11">
        <v>38610</v>
      </c>
      <c r="AF164" s="12" t="s">
        <v>44</v>
      </c>
      <c r="AG164" s="14" t="s">
        <v>193</v>
      </c>
      <c r="AH164" s="14" t="s">
        <v>72</v>
      </c>
      <c r="AI164" s="14" t="s">
        <v>49</v>
      </c>
      <c r="AJ164" s="14">
        <v>40000</v>
      </c>
      <c r="AK164" s="14">
        <v>35000</v>
      </c>
      <c r="AL164" s="13">
        <v>18</v>
      </c>
      <c r="AM164" s="13">
        <v>18</v>
      </c>
      <c r="AN164" s="14" t="s">
        <v>228</v>
      </c>
      <c r="AO164" s="14" t="s">
        <v>229</v>
      </c>
      <c r="AP164" s="14" t="s">
        <v>53</v>
      </c>
      <c r="AQ164" s="20">
        <v>202605</v>
      </c>
      <c r="AR164" s="30" t="s">
        <v>164</v>
      </c>
      <c r="AS164" s="30"/>
      <c r="AT164" s="12" t="s">
        <v>44</v>
      </c>
      <c r="AU164" s="30" t="s">
        <v>309</v>
      </c>
      <c r="AV164" s="30" t="s">
        <v>461</v>
      </c>
    </row>
    <row r="165" spans="1:48" x14ac:dyDescent="0.3">
      <c r="A165" s="5" t="s">
        <v>30</v>
      </c>
      <c r="B165" s="5" t="s">
        <v>54</v>
      </c>
      <c r="C165" s="5" t="s">
        <v>949</v>
      </c>
      <c r="D165" s="5" t="s">
        <v>32</v>
      </c>
      <c r="E165" s="6" t="s">
        <v>33</v>
      </c>
      <c r="F165" s="7">
        <v>126</v>
      </c>
      <c r="G165" s="5" t="s">
        <v>950</v>
      </c>
      <c r="H165" s="5" t="s">
        <v>1240</v>
      </c>
      <c r="I165" s="5" t="s">
        <v>1241</v>
      </c>
      <c r="J165" s="5" t="s">
        <v>34</v>
      </c>
      <c r="K165" s="5" t="s">
        <v>42</v>
      </c>
      <c r="L165" s="5" t="s">
        <v>227</v>
      </c>
      <c r="M165" s="5" t="s">
        <v>197</v>
      </c>
      <c r="N165" s="5" t="s">
        <v>56</v>
      </c>
      <c r="O165" s="6" t="s">
        <v>1242</v>
      </c>
      <c r="P165" s="5" t="s">
        <v>225</v>
      </c>
      <c r="Q165" s="5" t="s">
        <v>64</v>
      </c>
      <c r="R165" s="5" t="s">
        <v>70</v>
      </c>
      <c r="S165" s="5" t="s">
        <v>1243</v>
      </c>
      <c r="T165" s="5" t="s">
        <v>537</v>
      </c>
      <c r="U165" s="5" t="s">
        <v>1244</v>
      </c>
      <c r="V165" s="8">
        <v>9</v>
      </c>
      <c r="W165" s="9">
        <v>38945</v>
      </c>
      <c r="X165" s="5" t="s">
        <v>35</v>
      </c>
      <c r="Y165" s="10">
        <v>100</v>
      </c>
      <c r="Z165" s="10">
        <v>18.18</v>
      </c>
      <c r="AA165" s="10">
        <v>18.18</v>
      </c>
      <c r="AB165" s="10">
        <v>31528</v>
      </c>
      <c r="AC165" s="10">
        <v>7339</v>
      </c>
      <c r="AD165" s="10">
        <v>0</v>
      </c>
      <c r="AE165" s="11">
        <v>38867</v>
      </c>
      <c r="AF165" s="12" t="s">
        <v>44</v>
      </c>
      <c r="AG165" s="14" t="s">
        <v>213</v>
      </c>
      <c r="AH165" s="14" t="s">
        <v>65</v>
      </c>
      <c r="AI165" s="14" t="s">
        <v>49</v>
      </c>
      <c r="AJ165" s="14">
        <v>40000</v>
      </c>
      <c r="AK165" s="14">
        <v>40000</v>
      </c>
      <c r="AL165" s="13">
        <v>12</v>
      </c>
      <c r="AM165" s="13">
        <v>12</v>
      </c>
      <c r="AN165" s="14" t="s">
        <v>228</v>
      </c>
      <c r="AO165" s="14" t="s">
        <v>229</v>
      </c>
      <c r="AP165" s="14" t="s">
        <v>53</v>
      </c>
      <c r="AQ165" s="20">
        <v>202605</v>
      </c>
      <c r="AR165" s="30" t="s">
        <v>164</v>
      </c>
      <c r="AS165" s="30"/>
      <c r="AT165" s="12" t="s">
        <v>44</v>
      </c>
      <c r="AU165" s="30" t="s">
        <v>309</v>
      </c>
      <c r="AV165" s="30" t="s">
        <v>461</v>
      </c>
    </row>
    <row r="166" spans="1:48" x14ac:dyDescent="0.3">
      <c r="A166" s="5" t="s">
        <v>30</v>
      </c>
      <c r="B166" s="5" t="s">
        <v>54</v>
      </c>
      <c r="C166" s="5" t="s">
        <v>949</v>
      </c>
      <c r="D166" s="5" t="s">
        <v>32</v>
      </c>
      <c r="E166" s="6" t="s">
        <v>33</v>
      </c>
      <c r="F166" s="7">
        <v>127</v>
      </c>
      <c r="G166" s="5" t="s">
        <v>950</v>
      </c>
      <c r="H166" s="5" t="s">
        <v>1245</v>
      </c>
      <c r="I166" s="5" t="s">
        <v>1246</v>
      </c>
      <c r="J166" s="5" t="s">
        <v>34</v>
      </c>
      <c r="K166" s="5" t="s">
        <v>42</v>
      </c>
      <c r="L166" s="5" t="s">
        <v>227</v>
      </c>
      <c r="M166" s="5" t="s">
        <v>197</v>
      </c>
      <c r="N166" s="5" t="s">
        <v>56</v>
      </c>
      <c r="O166" s="6" t="s">
        <v>1247</v>
      </c>
      <c r="P166" s="5" t="s">
        <v>225</v>
      </c>
      <c r="Q166" s="5" t="s">
        <v>71</v>
      </c>
      <c r="R166" s="5" t="s">
        <v>234</v>
      </c>
      <c r="S166" s="5" t="s">
        <v>1248</v>
      </c>
      <c r="T166" s="5" t="s">
        <v>537</v>
      </c>
      <c r="U166" s="5" t="s">
        <v>1249</v>
      </c>
      <c r="V166" s="8">
        <v>8</v>
      </c>
      <c r="W166" s="9">
        <v>17962</v>
      </c>
      <c r="X166" s="5" t="s">
        <v>35</v>
      </c>
      <c r="Y166" s="10">
        <v>100</v>
      </c>
      <c r="Z166" s="10">
        <v>18.18</v>
      </c>
      <c r="AA166" s="10">
        <v>18.18</v>
      </c>
      <c r="AB166" s="10">
        <v>31271</v>
      </c>
      <c r="AC166" s="10">
        <v>6359</v>
      </c>
      <c r="AD166" s="10">
        <v>0</v>
      </c>
      <c r="AE166" s="11">
        <v>37630</v>
      </c>
      <c r="AF166" s="12" t="s">
        <v>44</v>
      </c>
      <c r="AG166" s="14" t="s">
        <v>1250</v>
      </c>
      <c r="AH166" s="14" t="s">
        <v>72</v>
      </c>
      <c r="AI166" s="14" t="s">
        <v>49</v>
      </c>
      <c r="AJ166" s="14">
        <v>20000</v>
      </c>
      <c r="AK166" s="14">
        <v>20000</v>
      </c>
      <c r="AL166" s="13">
        <v>12</v>
      </c>
      <c r="AM166" s="13">
        <v>9</v>
      </c>
      <c r="AN166" s="14" t="s">
        <v>228</v>
      </c>
      <c r="AO166" s="14" t="s">
        <v>229</v>
      </c>
      <c r="AP166" s="14" t="s">
        <v>53</v>
      </c>
      <c r="AQ166" s="20">
        <v>202605</v>
      </c>
      <c r="AR166" s="30" t="s">
        <v>164</v>
      </c>
      <c r="AS166" s="30"/>
      <c r="AT166" s="12" t="s">
        <v>44</v>
      </c>
      <c r="AU166" s="30" t="s">
        <v>309</v>
      </c>
      <c r="AV166" s="30" t="s">
        <v>461</v>
      </c>
    </row>
    <row r="167" spans="1:48" x14ac:dyDescent="0.3">
      <c r="A167" s="5" t="s">
        <v>30</v>
      </c>
      <c r="B167" s="5" t="s">
        <v>54</v>
      </c>
      <c r="C167" s="5" t="s">
        <v>949</v>
      </c>
      <c r="D167" s="5" t="s">
        <v>32</v>
      </c>
      <c r="E167" s="6" t="s">
        <v>33</v>
      </c>
      <c r="F167" s="7">
        <v>128</v>
      </c>
      <c r="G167" s="5" t="s">
        <v>950</v>
      </c>
      <c r="H167" s="5" t="s">
        <v>1251</v>
      </c>
      <c r="I167" s="5" t="s">
        <v>1252</v>
      </c>
      <c r="J167" s="5" t="s">
        <v>34</v>
      </c>
      <c r="K167" s="5" t="s">
        <v>42</v>
      </c>
      <c r="L167" s="5" t="s">
        <v>227</v>
      </c>
      <c r="M167" s="5" t="s">
        <v>197</v>
      </c>
      <c r="N167" s="5" t="s">
        <v>56</v>
      </c>
      <c r="O167" s="6" t="s">
        <v>1253</v>
      </c>
      <c r="P167" s="5" t="s">
        <v>225</v>
      </c>
      <c r="Q167" s="5" t="s">
        <v>71</v>
      </c>
      <c r="R167" s="5" t="s">
        <v>241</v>
      </c>
      <c r="S167" s="5" t="s">
        <v>1254</v>
      </c>
      <c r="T167" s="5" t="s">
        <v>1255</v>
      </c>
      <c r="U167" s="5" t="s">
        <v>1256</v>
      </c>
      <c r="V167" s="8">
        <v>9</v>
      </c>
      <c r="W167" s="9">
        <v>45619</v>
      </c>
      <c r="X167" s="5" t="s">
        <v>35</v>
      </c>
      <c r="Y167" s="10">
        <v>100</v>
      </c>
      <c r="Z167" s="10">
        <v>18.18</v>
      </c>
      <c r="AA167" s="10">
        <v>18.18</v>
      </c>
      <c r="AB167" s="10">
        <v>31528</v>
      </c>
      <c r="AC167" s="10">
        <v>7339</v>
      </c>
      <c r="AD167" s="10">
        <v>0</v>
      </c>
      <c r="AE167" s="11">
        <v>38867</v>
      </c>
      <c r="AF167" s="12" t="s">
        <v>44</v>
      </c>
      <c r="AG167" s="14" t="s">
        <v>1250</v>
      </c>
      <c r="AH167" s="14" t="s">
        <v>72</v>
      </c>
      <c r="AI167" s="14" t="s">
        <v>49</v>
      </c>
      <c r="AJ167" s="14">
        <v>50000</v>
      </c>
      <c r="AK167" s="14">
        <v>50000</v>
      </c>
      <c r="AL167" s="13">
        <v>12</v>
      </c>
      <c r="AM167" s="13">
        <v>12</v>
      </c>
      <c r="AN167" s="14" t="s">
        <v>228</v>
      </c>
      <c r="AO167" s="14" t="s">
        <v>229</v>
      </c>
      <c r="AP167" s="14" t="s">
        <v>53</v>
      </c>
      <c r="AQ167" s="20">
        <v>202605</v>
      </c>
      <c r="AR167" s="30" t="s">
        <v>164</v>
      </c>
      <c r="AS167" s="30"/>
      <c r="AT167" s="12" t="s">
        <v>44</v>
      </c>
      <c r="AU167" s="30" t="s">
        <v>309</v>
      </c>
      <c r="AV167" s="30" t="s">
        <v>461</v>
      </c>
    </row>
    <row r="168" spans="1:48" x14ac:dyDescent="0.3">
      <c r="A168" s="5" t="s">
        <v>30</v>
      </c>
      <c r="B168" s="5" t="s">
        <v>54</v>
      </c>
      <c r="C168" s="5" t="s">
        <v>949</v>
      </c>
      <c r="D168" s="5" t="s">
        <v>32</v>
      </c>
      <c r="E168" s="6" t="s">
        <v>33</v>
      </c>
      <c r="F168" s="7">
        <v>129</v>
      </c>
      <c r="G168" s="5" t="s">
        <v>950</v>
      </c>
      <c r="H168" s="5" t="s">
        <v>1257</v>
      </c>
      <c r="I168" s="5" t="s">
        <v>1258</v>
      </c>
      <c r="J168" s="5" t="s">
        <v>34</v>
      </c>
      <c r="K168" s="5" t="s">
        <v>134</v>
      </c>
      <c r="L168" s="5" t="s">
        <v>287</v>
      </c>
      <c r="M168" s="5" t="s">
        <v>53</v>
      </c>
      <c r="N168" s="5" t="s">
        <v>56</v>
      </c>
      <c r="O168" s="6" t="s">
        <v>1259</v>
      </c>
      <c r="P168" s="5" t="s">
        <v>73</v>
      </c>
      <c r="Q168" s="5" t="s">
        <v>64</v>
      </c>
      <c r="R168" s="5" t="s">
        <v>70</v>
      </c>
      <c r="S168" s="5" t="s">
        <v>1260</v>
      </c>
      <c r="T168" s="5" t="s">
        <v>1033</v>
      </c>
      <c r="U168" s="5" t="s">
        <v>1261</v>
      </c>
      <c r="V168" s="8">
        <v>14</v>
      </c>
      <c r="W168" s="9">
        <v>25145</v>
      </c>
      <c r="X168" s="5" t="s">
        <v>35</v>
      </c>
      <c r="Y168" s="10">
        <v>100</v>
      </c>
      <c r="Z168" s="10">
        <v>18.18</v>
      </c>
      <c r="AA168" s="10">
        <v>18.18</v>
      </c>
      <c r="AB168" s="10">
        <v>22530</v>
      </c>
      <c r="AC168" s="10">
        <v>7241</v>
      </c>
      <c r="AD168" s="10">
        <v>0</v>
      </c>
      <c r="AE168" s="11">
        <v>29771</v>
      </c>
      <c r="AF168" s="12" t="s">
        <v>135</v>
      </c>
      <c r="AG168" s="14" t="s">
        <v>250</v>
      </c>
      <c r="AH168" s="14" t="s">
        <v>65</v>
      </c>
      <c r="AI168" s="14" t="s">
        <v>49</v>
      </c>
      <c r="AJ168" s="14">
        <v>30000</v>
      </c>
      <c r="AK168" s="14">
        <v>30000</v>
      </c>
      <c r="AL168" s="13">
        <v>18</v>
      </c>
      <c r="AM168" s="13">
        <v>15</v>
      </c>
      <c r="AN168" s="14" t="s">
        <v>75</v>
      </c>
      <c r="AO168" s="14" t="s">
        <v>76</v>
      </c>
      <c r="AP168" s="14" t="s">
        <v>53</v>
      </c>
      <c r="AQ168" s="20">
        <v>202605</v>
      </c>
      <c r="AR168" s="30" t="s">
        <v>164</v>
      </c>
      <c r="AS168" s="30"/>
      <c r="AT168" s="12" t="s">
        <v>135</v>
      </c>
      <c r="AU168" s="30" t="s">
        <v>309</v>
      </c>
      <c r="AV168" s="30" t="s">
        <v>461</v>
      </c>
    </row>
    <row r="169" spans="1:48" x14ac:dyDescent="0.3">
      <c r="A169" s="5" t="s">
        <v>30</v>
      </c>
      <c r="B169" s="5" t="s">
        <v>54</v>
      </c>
      <c r="C169" s="5" t="s">
        <v>949</v>
      </c>
      <c r="D169" s="5" t="s">
        <v>32</v>
      </c>
      <c r="E169" s="6" t="s">
        <v>33</v>
      </c>
      <c r="F169" s="7">
        <v>130</v>
      </c>
      <c r="G169" s="5" t="s">
        <v>950</v>
      </c>
      <c r="H169" s="5" t="s">
        <v>1262</v>
      </c>
      <c r="I169" s="5" t="s">
        <v>1263</v>
      </c>
      <c r="J169" s="5" t="s">
        <v>34</v>
      </c>
      <c r="K169" s="5" t="s">
        <v>60</v>
      </c>
      <c r="L169" s="5" t="s">
        <v>400</v>
      </c>
      <c r="M169" s="5" t="s">
        <v>53</v>
      </c>
      <c r="N169" s="5" t="s">
        <v>56</v>
      </c>
      <c r="O169" s="6" t="s">
        <v>1264</v>
      </c>
      <c r="P169" s="5" t="s">
        <v>73</v>
      </c>
      <c r="Q169" s="5" t="s">
        <v>61</v>
      </c>
      <c r="R169" s="5" t="s">
        <v>406</v>
      </c>
      <c r="S169" s="5" t="s">
        <v>312</v>
      </c>
      <c r="T169" s="5" t="s">
        <v>498</v>
      </c>
      <c r="U169" s="5" t="s">
        <v>359</v>
      </c>
      <c r="V169" s="8">
        <v>2</v>
      </c>
      <c r="W169" s="9">
        <v>16</v>
      </c>
      <c r="X169" s="5" t="s">
        <v>35</v>
      </c>
      <c r="Y169" s="10">
        <v>100</v>
      </c>
      <c r="Z169" s="10">
        <v>18.18</v>
      </c>
      <c r="AA169" s="10">
        <v>18.18</v>
      </c>
      <c r="AB169" s="10">
        <v>35576</v>
      </c>
      <c r="AC169" s="10">
        <v>24638</v>
      </c>
      <c r="AD169" s="10">
        <v>0</v>
      </c>
      <c r="AE169" s="11">
        <v>60214</v>
      </c>
      <c r="AF169" s="12" t="s">
        <v>62</v>
      </c>
      <c r="AG169" s="14" t="s">
        <v>408</v>
      </c>
      <c r="AH169" s="14" t="s">
        <v>63</v>
      </c>
      <c r="AI169" s="14" t="s">
        <v>407</v>
      </c>
      <c r="AJ169" s="14">
        <v>10000</v>
      </c>
      <c r="AK169" s="14">
        <v>5000</v>
      </c>
      <c r="AL169" s="13">
        <v>6</v>
      </c>
      <c r="AM169" s="13">
        <v>3</v>
      </c>
      <c r="AN169" s="14" t="s">
        <v>77</v>
      </c>
      <c r="AO169" s="14" t="s">
        <v>78</v>
      </c>
      <c r="AP169" s="14" t="s">
        <v>53</v>
      </c>
      <c r="AQ169" s="20">
        <v>202605</v>
      </c>
      <c r="AR169" s="30" t="s">
        <v>164</v>
      </c>
      <c r="AS169" s="30"/>
      <c r="AT169" s="12" t="s">
        <v>62</v>
      </c>
      <c r="AU169" s="30" t="s">
        <v>309</v>
      </c>
      <c r="AV169" s="30" t="s">
        <v>461</v>
      </c>
    </row>
    <row r="170" spans="1:48" x14ac:dyDescent="0.3">
      <c r="A170" s="5" t="s">
        <v>30</v>
      </c>
      <c r="B170" s="5" t="s">
        <v>54</v>
      </c>
      <c r="C170" s="5" t="s">
        <v>949</v>
      </c>
      <c r="D170" s="5" t="s">
        <v>32</v>
      </c>
      <c r="E170" s="6" t="s">
        <v>33</v>
      </c>
      <c r="F170" s="7">
        <v>135</v>
      </c>
      <c r="G170" s="5" t="s">
        <v>950</v>
      </c>
      <c r="H170" s="5" t="s">
        <v>1265</v>
      </c>
      <c r="I170" s="5" t="s">
        <v>1266</v>
      </c>
      <c r="J170" s="5" t="s">
        <v>34</v>
      </c>
      <c r="K170" s="5" t="s">
        <v>42</v>
      </c>
      <c r="L170" s="5" t="s">
        <v>167</v>
      </c>
      <c r="M170" s="5" t="s">
        <v>168</v>
      </c>
      <c r="N170" s="5" t="s">
        <v>56</v>
      </c>
      <c r="O170" s="6" t="s">
        <v>1267</v>
      </c>
      <c r="P170" s="5" t="s">
        <v>169</v>
      </c>
      <c r="Q170" s="5" t="s">
        <v>71</v>
      </c>
      <c r="R170" s="5" t="s">
        <v>70</v>
      </c>
      <c r="S170" s="5" t="s">
        <v>1268</v>
      </c>
      <c r="T170" s="5" t="s">
        <v>989</v>
      </c>
      <c r="U170" s="5" t="s">
        <v>1269</v>
      </c>
      <c r="V170" s="8">
        <v>24</v>
      </c>
      <c r="W170" s="9">
        <v>30734</v>
      </c>
      <c r="X170" s="5" t="s">
        <v>35</v>
      </c>
      <c r="Y170" s="10">
        <v>100</v>
      </c>
      <c r="Z170" s="10">
        <v>18.18</v>
      </c>
      <c r="AA170" s="10">
        <v>18.18</v>
      </c>
      <c r="AB170" s="10">
        <v>8194</v>
      </c>
      <c r="AC170" s="10">
        <v>1051</v>
      </c>
      <c r="AD170" s="10">
        <v>0</v>
      </c>
      <c r="AE170" s="11">
        <v>9245</v>
      </c>
      <c r="AF170" s="12" t="s">
        <v>44</v>
      </c>
      <c r="AG170" s="14" t="s">
        <v>173</v>
      </c>
      <c r="AH170" s="14" t="s">
        <v>72</v>
      </c>
      <c r="AI170" s="14" t="s">
        <v>49</v>
      </c>
      <c r="AJ170" s="14">
        <v>40000</v>
      </c>
      <c r="AK170" s="14">
        <v>35000</v>
      </c>
      <c r="AL170" s="13">
        <v>30</v>
      </c>
      <c r="AM170" s="13">
        <v>27</v>
      </c>
      <c r="AN170" s="14" t="s">
        <v>257</v>
      </c>
      <c r="AO170" s="14" t="s">
        <v>402</v>
      </c>
      <c r="AP170" s="14" t="s">
        <v>168</v>
      </c>
      <c r="AQ170" s="20">
        <v>202605</v>
      </c>
      <c r="AR170" s="30" t="s">
        <v>164</v>
      </c>
      <c r="AS170" s="30"/>
      <c r="AT170" s="12" t="s">
        <v>44</v>
      </c>
      <c r="AU170" s="30" t="s">
        <v>309</v>
      </c>
      <c r="AV170" s="30" t="s">
        <v>461</v>
      </c>
    </row>
    <row r="171" spans="1:48" x14ac:dyDescent="0.3">
      <c r="A171" s="5" t="s">
        <v>30</v>
      </c>
      <c r="B171" s="5" t="s">
        <v>54</v>
      </c>
      <c r="C171" s="5" t="s">
        <v>949</v>
      </c>
      <c r="D171" s="5" t="s">
        <v>32</v>
      </c>
      <c r="E171" s="6" t="s">
        <v>33</v>
      </c>
      <c r="F171" s="7">
        <v>136</v>
      </c>
      <c r="G171" s="5" t="s">
        <v>950</v>
      </c>
      <c r="H171" s="5" t="s">
        <v>1270</v>
      </c>
      <c r="I171" s="5" t="s">
        <v>1271</v>
      </c>
      <c r="J171" s="5" t="s">
        <v>34</v>
      </c>
      <c r="K171" s="5" t="s">
        <v>42</v>
      </c>
      <c r="L171" s="5" t="s">
        <v>167</v>
      </c>
      <c r="M171" s="5" t="s">
        <v>168</v>
      </c>
      <c r="N171" s="5" t="s">
        <v>56</v>
      </c>
      <c r="O171" s="6" t="s">
        <v>1272</v>
      </c>
      <c r="P171" s="5" t="s">
        <v>169</v>
      </c>
      <c r="Q171" s="5" t="s">
        <v>71</v>
      </c>
      <c r="R171" s="5" t="s">
        <v>70</v>
      </c>
      <c r="S171" s="5" t="s">
        <v>1273</v>
      </c>
      <c r="T171" s="5" t="s">
        <v>1274</v>
      </c>
      <c r="U171" s="5" t="s">
        <v>758</v>
      </c>
      <c r="V171" s="8">
        <v>8</v>
      </c>
      <c r="W171" s="9">
        <v>20549</v>
      </c>
      <c r="X171" s="5" t="s">
        <v>35</v>
      </c>
      <c r="Y171" s="10">
        <v>100</v>
      </c>
      <c r="Z171" s="10">
        <v>18.18</v>
      </c>
      <c r="AA171" s="10">
        <v>18.18</v>
      </c>
      <c r="AB171" s="10">
        <v>8194</v>
      </c>
      <c r="AC171" s="10">
        <v>1051</v>
      </c>
      <c r="AD171" s="10">
        <v>0</v>
      </c>
      <c r="AE171" s="11">
        <v>9245</v>
      </c>
      <c r="AF171" s="12" t="s">
        <v>44</v>
      </c>
      <c r="AG171" s="14" t="s">
        <v>388</v>
      </c>
      <c r="AH171" s="14" t="s">
        <v>72</v>
      </c>
      <c r="AI171" s="14" t="s">
        <v>49</v>
      </c>
      <c r="AJ171" s="14">
        <v>30000</v>
      </c>
      <c r="AK171" s="14">
        <v>25000</v>
      </c>
      <c r="AL171" s="13">
        <v>12</v>
      </c>
      <c r="AM171" s="13">
        <v>9</v>
      </c>
      <c r="AN171" s="14" t="s">
        <v>257</v>
      </c>
      <c r="AO171" s="14" t="s">
        <v>402</v>
      </c>
      <c r="AP171" s="14" t="s">
        <v>168</v>
      </c>
      <c r="AQ171" s="20">
        <v>202605</v>
      </c>
      <c r="AR171" s="30" t="s">
        <v>164</v>
      </c>
      <c r="AS171" s="30"/>
      <c r="AT171" s="12" t="s">
        <v>44</v>
      </c>
      <c r="AU171" s="30" t="s">
        <v>309</v>
      </c>
      <c r="AV171" s="30" t="s">
        <v>461</v>
      </c>
    </row>
    <row r="172" spans="1:48" x14ac:dyDescent="0.3">
      <c r="A172" s="5" t="s">
        <v>30</v>
      </c>
      <c r="B172" s="5" t="s">
        <v>54</v>
      </c>
      <c r="C172" s="5" t="s">
        <v>949</v>
      </c>
      <c r="D172" s="5" t="s">
        <v>32</v>
      </c>
      <c r="E172" s="6" t="s">
        <v>33</v>
      </c>
      <c r="F172" s="7">
        <v>137</v>
      </c>
      <c r="G172" s="5" t="s">
        <v>950</v>
      </c>
      <c r="H172" s="5" t="s">
        <v>1275</v>
      </c>
      <c r="I172" s="5" t="s">
        <v>1276</v>
      </c>
      <c r="J172" s="5" t="s">
        <v>34</v>
      </c>
      <c r="K172" s="5" t="s">
        <v>191</v>
      </c>
      <c r="L172" s="5" t="s">
        <v>1277</v>
      </c>
      <c r="M172" s="5" t="s">
        <v>1278</v>
      </c>
      <c r="N172" s="5" t="s">
        <v>56</v>
      </c>
      <c r="O172" s="6" t="e">
        <v>#N/A</v>
      </c>
      <c r="P172" s="5" t="s">
        <v>1279</v>
      </c>
      <c r="Q172" s="5" t="s">
        <v>64</v>
      </c>
      <c r="R172" s="5" t="s">
        <v>847</v>
      </c>
      <c r="S172" s="5" t="s">
        <v>1280</v>
      </c>
      <c r="T172" s="5" t="s">
        <v>536</v>
      </c>
      <c r="U172" s="5" t="s">
        <v>1281</v>
      </c>
      <c r="V172" s="8">
        <v>28</v>
      </c>
      <c r="W172" s="9">
        <v>69696</v>
      </c>
      <c r="X172" s="5" t="s">
        <v>35</v>
      </c>
      <c r="Y172" s="10">
        <v>100</v>
      </c>
      <c r="Z172" s="10">
        <v>18.18</v>
      </c>
      <c r="AA172" s="10">
        <v>18.18</v>
      </c>
      <c r="AB172" s="10">
        <v>53651</v>
      </c>
      <c r="AC172" s="10">
        <v>67322</v>
      </c>
      <c r="AD172" s="10">
        <v>0</v>
      </c>
      <c r="AE172" s="11">
        <v>120973</v>
      </c>
      <c r="AF172" s="12" t="s">
        <v>192</v>
      </c>
      <c r="AG172" s="14" t="s">
        <v>238</v>
      </c>
      <c r="AH172" s="14" t="s">
        <v>65</v>
      </c>
      <c r="AI172" s="14" t="s">
        <v>122</v>
      </c>
      <c r="AJ172" s="14">
        <v>70000</v>
      </c>
      <c r="AK172" s="14">
        <v>70000</v>
      </c>
      <c r="AL172" s="13">
        <v>30</v>
      </c>
      <c r="AM172" s="13">
        <v>30</v>
      </c>
      <c r="AN172" s="14" t="s">
        <v>58</v>
      </c>
      <c r="AO172" s="14" t="s">
        <v>59</v>
      </c>
      <c r="AP172" s="14" t="s">
        <v>1278</v>
      </c>
      <c r="AQ172" s="20">
        <v>202605</v>
      </c>
      <c r="AR172" s="30" t="s">
        <v>164</v>
      </c>
      <c r="AS172" s="30"/>
      <c r="AT172" s="12" t="s">
        <v>192</v>
      </c>
      <c r="AU172" s="30" t="s">
        <v>309</v>
      </c>
      <c r="AV172" s="30" t="s">
        <v>461</v>
      </c>
    </row>
    <row r="173" spans="1:48" x14ac:dyDescent="0.3">
      <c r="A173" s="5" t="s">
        <v>30</v>
      </c>
      <c r="B173" s="5" t="s">
        <v>54</v>
      </c>
      <c r="C173" s="5" t="s">
        <v>1049</v>
      </c>
      <c r="D173" s="5" t="s">
        <v>32</v>
      </c>
      <c r="E173" s="6" t="s">
        <v>33</v>
      </c>
      <c r="F173" s="7">
        <v>1</v>
      </c>
      <c r="G173" s="5" t="s">
        <v>444</v>
      </c>
      <c r="H173" s="5" t="s">
        <v>1282</v>
      </c>
      <c r="I173" s="5" t="s">
        <v>1283</v>
      </c>
      <c r="J173" s="5" t="s">
        <v>34</v>
      </c>
      <c r="K173" s="5" t="s">
        <v>42</v>
      </c>
      <c r="L173" s="5" t="s">
        <v>298</v>
      </c>
      <c r="M173" s="5" t="s">
        <v>43</v>
      </c>
      <c r="N173" s="5" t="s">
        <v>56</v>
      </c>
      <c r="O173" s="6" t="e">
        <v>#N/A</v>
      </c>
      <c r="P173" s="5" t="s">
        <v>47</v>
      </c>
      <c r="Q173" s="5" t="s">
        <v>61</v>
      </c>
      <c r="R173" s="5" t="s">
        <v>296</v>
      </c>
      <c r="S173" s="5" t="s">
        <v>1284</v>
      </c>
      <c r="T173" s="5" t="s">
        <v>393</v>
      </c>
      <c r="U173" s="5" t="s">
        <v>1285</v>
      </c>
      <c r="V173" s="8">
        <v>15</v>
      </c>
      <c r="W173" s="9">
        <v>10764</v>
      </c>
      <c r="X173" s="5" t="s">
        <v>35</v>
      </c>
      <c r="Y173" s="10">
        <v>100</v>
      </c>
      <c r="Z173" s="10">
        <v>18.18</v>
      </c>
      <c r="AA173" s="10">
        <v>18.18</v>
      </c>
      <c r="AB173" s="10">
        <v>367133</v>
      </c>
      <c r="AC173" s="10">
        <v>2254</v>
      </c>
      <c r="AD173" s="10">
        <v>0</v>
      </c>
      <c r="AE173" s="11">
        <v>369387</v>
      </c>
      <c r="AF173" s="12" t="s">
        <v>44</v>
      </c>
      <c r="AG173" s="14" t="s">
        <v>396</v>
      </c>
      <c r="AH173" s="14" t="s">
        <v>63</v>
      </c>
      <c r="AI173" s="14" t="s">
        <v>49</v>
      </c>
      <c r="AJ173" s="14">
        <v>20000</v>
      </c>
      <c r="AK173" s="14">
        <v>15000</v>
      </c>
      <c r="AL173" s="13">
        <v>18</v>
      </c>
      <c r="AM173" s="13">
        <v>18</v>
      </c>
      <c r="AN173" s="14" t="s">
        <v>404</v>
      </c>
      <c r="AO173" s="14" t="s">
        <v>405</v>
      </c>
      <c r="AP173" s="14" t="s">
        <v>46</v>
      </c>
      <c r="AQ173" s="20">
        <v>202605</v>
      </c>
      <c r="AR173" s="14" t="s">
        <v>850</v>
      </c>
      <c r="AS173" s="14" t="s">
        <v>1195</v>
      </c>
      <c r="AT173" s="12" t="s">
        <v>44</v>
      </c>
      <c r="AU173" s="30" t="s">
        <v>309</v>
      </c>
      <c r="AV173" s="30" t="s">
        <v>461</v>
      </c>
    </row>
    <row r="174" spans="1:48" x14ac:dyDescent="0.3">
      <c r="A174" s="5" t="s">
        <v>80</v>
      </c>
      <c r="B174" s="5" t="s">
        <v>31</v>
      </c>
      <c r="C174" s="5" t="s">
        <v>949</v>
      </c>
      <c r="D174" s="5" t="s">
        <v>81</v>
      </c>
      <c r="E174" s="6" t="s">
        <v>33</v>
      </c>
      <c r="F174" s="7">
        <v>1</v>
      </c>
      <c r="G174" s="5" t="s">
        <v>950</v>
      </c>
      <c r="H174" s="5" t="s">
        <v>1286</v>
      </c>
      <c r="I174" s="5" t="s">
        <v>1287</v>
      </c>
      <c r="J174" s="5" t="s">
        <v>34</v>
      </c>
      <c r="K174" s="5" t="s">
        <v>38</v>
      </c>
      <c r="L174" s="5" t="s">
        <v>1288</v>
      </c>
      <c r="M174" s="5" t="s">
        <v>1289</v>
      </c>
      <c r="N174" s="5" t="s">
        <v>56</v>
      </c>
      <c r="O174" s="6" t="s">
        <v>1290</v>
      </c>
      <c r="P174" s="5" t="s">
        <v>1291</v>
      </c>
      <c r="Q174" s="5"/>
      <c r="R174" s="5" t="s">
        <v>145</v>
      </c>
      <c r="S174" s="5" t="s">
        <v>1292</v>
      </c>
      <c r="T174" s="5" t="s">
        <v>517</v>
      </c>
      <c r="U174" s="5" t="s">
        <v>1293</v>
      </c>
      <c r="V174" s="8">
        <v>42</v>
      </c>
      <c r="W174" s="9">
        <v>26986</v>
      </c>
      <c r="X174" s="5" t="s">
        <v>35</v>
      </c>
      <c r="Y174" s="10">
        <v>100</v>
      </c>
      <c r="Z174" s="10">
        <v>27.72</v>
      </c>
      <c r="AA174" s="10">
        <v>27.72</v>
      </c>
      <c r="AB174" s="10">
        <v>279922</v>
      </c>
      <c r="AC174" s="10">
        <v>108247</v>
      </c>
      <c r="AD174" s="10">
        <v>0</v>
      </c>
      <c r="AE174" s="11">
        <v>388169</v>
      </c>
      <c r="AF174" s="12" t="s">
        <v>41</v>
      </c>
      <c r="AG174" s="14" t="s">
        <v>139</v>
      </c>
      <c r="AH174" s="14" t="e">
        <v>#N/A</v>
      </c>
      <c r="AI174" s="14" t="s">
        <v>36</v>
      </c>
      <c r="AJ174" s="14">
        <v>30000</v>
      </c>
      <c r="AK174" s="14">
        <v>30000</v>
      </c>
      <c r="AL174" s="13">
        <v>48</v>
      </c>
      <c r="AM174" s="13">
        <v>45</v>
      </c>
      <c r="AN174" s="14" t="s">
        <v>1294</v>
      </c>
      <c r="AO174" s="14" t="s">
        <v>86</v>
      </c>
      <c r="AP174" s="14" t="s">
        <v>37</v>
      </c>
      <c r="AQ174" s="20">
        <v>202605</v>
      </c>
      <c r="AR174" s="14" t="s">
        <v>152</v>
      </c>
      <c r="AS174" s="19" t="s">
        <v>165</v>
      </c>
      <c r="AT174" s="19" t="s">
        <v>165</v>
      </c>
      <c r="AU174" s="30" t="s">
        <v>309</v>
      </c>
      <c r="AV174" s="30" t="s">
        <v>461</v>
      </c>
    </row>
    <row r="175" spans="1:48" x14ac:dyDescent="0.3">
      <c r="A175" s="5" t="s">
        <v>80</v>
      </c>
      <c r="B175" s="5" t="s">
        <v>31</v>
      </c>
      <c r="C175" s="5" t="s">
        <v>949</v>
      </c>
      <c r="D175" s="5" t="s">
        <v>81</v>
      </c>
      <c r="E175" s="6" t="s">
        <v>33</v>
      </c>
      <c r="F175" s="7">
        <v>2</v>
      </c>
      <c r="G175" s="5" t="s">
        <v>950</v>
      </c>
      <c r="H175" s="5" t="s">
        <v>1295</v>
      </c>
      <c r="I175" s="5" t="s">
        <v>1296</v>
      </c>
      <c r="J175" s="5" t="s">
        <v>34</v>
      </c>
      <c r="K175" s="5" t="s">
        <v>82</v>
      </c>
      <c r="L175" s="5" t="s">
        <v>819</v>
      </c>
      <c r="M175" s="5" t="s">
        <v>820</v>
      </c>
      <c r="N175" s="5" t="s">
        <v>56</v>
      </c>
      <c r="O175" s="6" t="s">
        <v>1297</v>
      </c>
      <c r="P175" s="5" t="s">
        <v>826</v>
      </c>
      <c r="Q175" s="5"/>
      <c r="R175" s="5" t="s">
        <v>70</v>
      </c>
      <c r="S175" s="5" t="s">
        <v>1298</v>
      </c>
      <c r="T175" s="5" t="s">
        <v>1228</v>
      </c>
      <c r="U175" s="5" t="s">
        <v>1299</v>
      </c>
      <c r="V175" s="8">
        <v>15</v>
      </c>
      <c r="W175" s="9">
        <v>4137</v>
      </c>
      <c r="X175" s="5" t="s">
        <v>35</v>
      </c>
      <c r="Y175" s="10">
        <v>100</v>
      </c>
      <c r="Z175" s="10">
        <v>27.72</v>
      </c>
      <c r="AA175" s="10">
        <v>27.72</v>
      </c>
      <c r="AB175" s="10">
        <v>323325</v>
      </c>
      <c r="AC175" s="10">
        <v>78600</v>
      </c>
      <c r="AD175" s="10">
        <v>0</v>
      </c>
      <c r="AE175" s="11">
        <v>401925</v>
      </c>
      <c r="AF175" s="12" t="s">
        <v>823</v>
      </c>
      <c r="AG175" s="14" t="s">
        <v>282</v>
      </c>
      <c r="AH175" s="14" t="e">
        <v>#N/A</v>
      </c>
      <c r="AI175" s="14" t="s">
        <v>49</v>
      </c>
      <c r="AJ175" s="14">
        <v>10000</v>
      </c>
      <c r="AK175" s="14">
        <v>5000</v>
      </c>
      <c r="AL175" s="13">
        <v>18</v>
      </c>
      <c r="AM175" s="13">
        <v>18</v>
      </c>
      <c r="AN175" s="14" t="s">
        <v>1300</v>
      </c>
      <c r="AO175" s="14" t="s">
        <v>86</v>
      </c>
      <c r="AP175" s="14" t="s">
        <v>37</v>
      </c>
      <c r="AQ175" s="20">
        <v>202605</v>
      </c>
      <c r="AR175" s="14" t="s">
        <v>152</v>
      </c>
      <c r="AS175" s="19" t="s">
        <v>165</v>
      </c>
      <c r="AT175" s="19" t="s">
        <v>165</v>
      </c>
      <c r="AU175" s="30" t="s">
        <v>309</v>
      </c>
      <c r="AV175" s="30" t="s">
        <v>461</v>
      </c>
    </row>
    <row r="176" spans="1:48" x14ac:dyDescent="0.3">
      <c r="A176" s="5" t="s">
        <v>80</v>
      </c>
      <c r="B176" s="5" t="s">
        <v>54</v>
      </c>
      <c r="C176" s="5" t="s">
        <v>949</v>
      </c>
      <c r="D176" s="5" t="s">
        <v>81</v>
      </c>
      <c r="E176" s="6" t="s">
        <v>33</v>
      </c>
      <c r="F176" s="7">
        <v>1</v>
      </c>
      <c r="G176" s="5" t="s">
        <v>950</v>
      </c>
      <c r="H176" s="5" t="s">
        <v>1301</v>
      </c>
      <c r="I176" s="5" t="s">
        <v>1302</v>
      </c>
      <c r="J176" s="5" t="s">
        <v>34</v>
      </c>
      <c r="K176" s="5" t="s">
        <v>261</v>
      </c>
      <c r="L176" s="5" t="s">
        <v>411</v>
      </c>
      <c r="M176" s="5" t="s">
        <v>412</v>
      </c>
      <c r="N176" s="5" t="s">
        <v>56</v>
      </c>
      <c r="O176" s="6" t="s">
        <v>1303</v>
      </c>
      <c r="P176" s="5" t="s">
        <v>129</v>
      </c>
      <c r="Q176" s="5" t="s">
        <v>61</v>
      </c>
      <c r="R176" s="5" t="s">
        <v>291</v>
      </c>
      <c r="S176" s="5" t="s">
        <v>1304</v>
      </c>
      <c r="T176" s="5" t="s">
        <v>1305</v>
      </c>
      <c r="U176" s="5" t="s">
        <v>414</v>
      </c>
      <c r="V176" s="8">
        <v>6</v>
      </c>
      <c r="W176" s="9">
        <v>9740</v>
      </c>
      <c r="X176" s="5" t="s">
        <v>35</v>
      </c>
      <c r="Y176" s="10">
        <v>100</v>
      </c>
      <c r="Z176" s="10">
        <v>19.8</v>
      </c>
      <c r="AA176" s="10">
        <v>19.8</v>
      </c>
      <c r="AB176" s="10">
        <v>65568</v>
      </c>
      <c r="AC176" s="10">
        <v>20047</v>
      </c>
      <c r="AD176" s="10">
        <v>0</v>
      </c>
      <c r="AE176" s="11">
        <v>85615</v>
      </c>
      <c r="AF176" s="12" t="s">
        <v>262</v>
      </c>
      <c r="AG176" s="14" t="s">
        <v>398</v>
      </c>
      <c r="AH176" s="14" t="s">
        <v>63</v>
      </c>
      <c r="AI176" s="14" t="s">
        <v>36</v>
      </c>
      <c r="AJ176" s="14">
        <v>10000</v>
      </c>
      <c r="AK176" s="14">
        <v>10000</v>
      </c>
      <c r="AL176" s="13">
        <v>12</v>
      </c>
      <c r="AM176" s="13">
        <v>9</v>
      </c>
      <c r="AN176" s="14" t="s">
        <v>352</v>
      </c>
      <c r="AO176" s="14" t="s">
        <v>353</v>
      </c>
      <c r="AP176" s="14" t="s">
        <v>37</v>
      </c>
      <c r="AQ176" s="20">
        <v>202605</v>
      </c>
      <c r="AR176" s="14" t="s">
        <v>152</v>
      </c>
      <c r="AS176" s="14" t="s">
        <v>180</v>
      </c>
      <c r="AT176" s="14" t="s">
        <v>180</v>
      </c>
      <c r="AU176" s="30" t="s">
        <v>309</v>
      </c>
      <c r="AV176" s="30" t="s">
        <v>461</v>
      </c>
    </row>
    <row r="177" spans="1:48" x14ac:dyDescent="0.3">
      <c r="A177" s="5" t="s">
        <v>80</v>
      </c>
      <c r="B177" s="5" t="s">
        <v>54</v>
      </c>
      <c r="C177" s="5" t="s">
        <v>949</v>
      </c>
      <c r="D177" s="5" t="s">
        <v>81</v>
      </c>
      <c r="E177" s="6" t="s">
        <v>33</v>
      </c>
      <c r="F177" s="7">
        <v>2</v>
      </c>
      <c r="G177" s="5" t="s">
        <v>950</v>
      </c>
      <c r="H177" s="5" t="s">
        <v>1306</v>
      </c>
      <c r="I177" s="5" t="s">
        <v>1307</v>
      </c>
      <c r="J177" s="5" t="s">
        <v>34</v>
      </c>
      <c r="K177" s="5" t="s">
        <v>146</v>
      </c>
      <c r="L177" s="5" t="s">
        <v>174</v>
      </c>
      <c r="M177" s="5" t="s">
        <v>39</v>
      </c>
      <c r="N177" s="5" t="s">
        <v>56</v>
      </c>
      <c r="O177" s="6" t="s">
        <v>1308</v>
      </c>
      <c r="P177" s="5" t="s">
        <v>129</v>
      </c>
      <c r="Q177" s="5" t="s">
        <v>320</v>
      </c>
      <c r="R177" s="5" t="s">
        <v>144</v>
      </c>
      <c r="S177" s="5" t="s">
        <v>1309</v>
      </c>
      <c r="T177" s="5" t="s">
        <v>1310</v>
      </c>
      <c r="U177" s="5" t="s">
        <v>1311</v>
      </c>
      <c r="V177" s="8">
        <v>44</v>
      </c>
      <c r="W177" s="9">
        <v>68352</v>
      </c>
      <c r="X177" s="5" t="s">
        <v>35</v>
      </c>
      <c r="Y177" s="10">
        <v>100</v>
      </c>
      <c r="Z177" s="10">
        <v>19.8</v>
      </c>
      <c r="AA177" s="10">
        <v>19.8</v>
      </c>
      <c r="AB177" s="10">
        <v>187860</v>
      </c>
      <c r="AC177" s="10">
        <v>106338</v>
      </c>
      <c r="AD177" s="10">
        <v>0</v>
      </c>
      <c r="AE177" s="11">
        <v>294198</v>
      </c>
      <c r="AF177" s="12" t="s">
        <v>147</v>
      </c>
      <c r="AG177" s="14" t="s">
        <v>130</v>
      </c>
      <c r="AH177" s="14" t="s">
        <v>322</v>
      </c>
      <c r="AI177" s="14" t="s">
        <v>36</v>
      </c>
      <c r="AJ177" s="14">
        <v>70000</v>
      </c>
      <c r="AK177" s="14">
        <v>70000</v>
      </c>
      <c r="AL177" s="13">
        <v>48</v>
      </c>
      <c r="AM177" s="13">
        <v>45</v>
      </c>
      <c r="AN177" s="14" t="s">
        <v>58</v>
      </c>
      <c r="AO177" s="14" t="s">
        <v>59</v>
      </c>
      <c r="AP177" s="14" t="s">
        <v>37</v>
      </c>
      <c r="AQ177" s="20">
        <v>202605</v>
      </c>
      <c r="AR177" s="14" t="s">
        <v>152</v>
      </c>
      <c r="AS177" s="14" t="s">
        <v>163</v>
      </c>
      <c r="AT177" s="12" t="s">
        <v>163</v>
      </c>
      <c r="AU177" s="30" t="s">
        <v>309</v>
      </c>
      <c r="AV177" s="30" t="s">
        <v>461</v>
      </c>
    </row>
    <row r="178" spans="1:48" x14ac:dyDescent="0.3">
      <c r="A178" s="5" t="s">
        <v>80</v>
      </c>
      <c r="B178" s="5" t="s">
        <v>54</v>
      </c>
      <c r="C178" s="5" t="s">
        <v>949</v>
      </c>
      <c r="D178" s="5" t="s">
        <v>81</v>
      </c>
      <c r="E178" s="6" t="s">
        <v>33</v>
      </c>
      <c r="F178" s="7">
        <v>3</v>
      </c>
      <c r="G178" s="5" t="s">
        <v>950</v>
      </c>
      <c r="H178" s="5" t="s">
        <v>1312</v>
      </c>
      <c r="I178" s="5" t="s">
        <v>1313</v>
      </c>
      <c r="J178" s="5" t="s">
        <v>34</v>
      </c>
      <c r="K178" s="5" t="s">
        <v>218</v>
      </c>
      <c r="L178" s="5" t="s">
        <v>1314</v>
      </c>
      <c r="M178" s="5" t="s">
        <v>39</v>
      </c>
      <c r="N178" s="5" t="s">
        <v>56</v>
      </c>
      <c r="O178" s="6" t="s">
        <v>1315</v>
      </c>
      <c r="P178" s="5" t="s">
        <v>159</v>
      </c>
      <c r="Q178" s="5" t="s">
        <v>64</v>
      </c>
      <c r="R178" s="5" t="s">
        <v>144</v>
      </c>
      <c r="S178" s="5" t="s">
        <v>1316</v>
      </c>
      <c r="T178" s="5" t="s">
        <v>362</v>
      </c>
      <c r="U178" s="5" t="s">
        <v>1317</v>
      </c>
      <c r="V178" s="8">
        <v>53</v>
      </c>
      <c r="W178" s="9">
        <v>75038</v>
      </c>
      <c r="X178" s="5" t="s">
        <v>35</v>
      </c>
      <c r="Y178" s="10">
        <v>100</v>
      </c>
      <c r="Z178" s="10">
        <v>19.8</v>
      </c>
      <c r="AA178" s="10">
        <v>19.8</v>
      </c>
      <c r="AB178" s="10">
        <v>0</v>
      </c>
      <c r="AC178" s="10">
        <v>0</v>
      </c>
      <c r="AD178" s="10">
        <v>80393</v>
      </c>
      <c r="AE178" s="11">
        <v>80393</v>
      </c>
      <c r="AF178" s="12" t="s">
        <v>815</v>
      </c>
      <c r="AG178" s="14" t="s">
        <v>247</v>
      </c>
      <c r="AH178" s="14" t="s">
        <v>65</v>
      </c>
      <c r="AI178" s="14" t="s">
        <v>36</v>
      </c>
      <c r="AJ178" s="14">
        <v>80000</v>
      </c>
      <c r="AK178" s="14">
        <v>80000</v>
      </c>
      <c r="AL178" s="13">
        <v>54</v>
      </c>
      <c r="AM178" s="13">
        <v>54</v>
      </c>
      <c r="AN178" s="14" t="s">
        <v>58</v>
      </c>
      <c r="AO178" s="14" t="s">
        <v>59</v>
      </c>
      <c r="AP178" s="14" t="s">
        <v>37</v>
      </c>
      <c r="AQ178" s="20">
        <v>202605</v>
      </c>
      <c r="AR178" s="14" t="s">
        <v>152</v>
      </c>
      <c r="AS178" s="14" t="s">
        <v>163</v>
      </c>
      <c r="AT178" s="12" t="s">
        <v>163</v>
      </c>
      <c r="AU178" s="30" t="s">
        <v>309</v>
      </c>
      <c r="AV178" s="30" t="s">
        <v>461</v>
      </c>
    </row>
    <row r="179" spans="1:48" x14ac:dyDescent="0.3">
      <c r="A179" s="5" t="s">
        <v>80</v>
      </c>
      <c r="B179" s="5" t="s">
        <v>54</v>
      </c>
      <c r="C179" s="5" t="s">
        <v>949</v>
      </c>
      <c r="D179" s="5" t="s">
        <v>81</v>
      </c>
      <c r="E179" s="6" t="s">
        <v>33</v>
      </c>
      <c r="F179" s="7">
        <v>4</v>
      </c>
      <c r="G179" s="5" t="s">
        <v>950</v>
      </c>
      <c r="H179" s="5" t="s">
        <v>1318</v>
      </c>
      <c r="I179" s="5" t="s">
        <v>1313</v>
      </c>
      <c r="J179" s="5" t="s">
        <v>34</v>
      </c>
      <c r="K179" s="5" t="s">
        <v>218</v>
      </c>
      <c r="L179" s="5" t="s">
        <v>1314</v>
      </c>
      <c r="M179" s="5" t="s">
        <v>39</v>
      </c>
      <c r="N179" s="5" t="s">
        <v>56</v>
      </c>
      <c r="O179" s="6" t="s">
        <v>1315</v>
      </c>
      <c r="P179" s="5" t="s">
        <v>129</v>
      </c>
      <c r="Q179" s="5" t="s">
        <v>64</v>
      </c>
      <c r="R179" s="5" t="s">
        <v>144</v>
      </c>
      <c r="S179" s="5" t="s">
        <v>1316</v>
      </c>
      <c r="T179" s="5" t="s">
        <v>362</v>
      </c>
      <c r="U179" s="5" t="s">
        <v>1317</v>
      </c>
      <c r="V179" s="8">
        <v>53</v>
      </c>
      <c r="W179" s="9">
        <v>75038</v>
      </c>
      <c r="X179" s="5" t="s">
        <v>35</v>
      </c>
      <c r="Y179" s="10">
        <v>100</v>
      </c>
      <c r="Z179" s="10">
        <v>19.8</v>
      </c>
      <c r="AA179" s="10">
        <v>19.8</v>
      </c>
      <c r="AB179" s="10">
        <v>177046</v>
      </c>
      <c r="AC179" s="10">
        <v>120072</v>
      </c>
      <c r="AD179" s="10">
        <v>0</v>
      </c>
      <c r="AE179" s="11">
        <v>297118</v>
      </c>
      <c r="AF179" s="12" t="s">
        <v>815</v>
      </c>
      <c r="AG179" s="14" t="s">
        <v>247</v>
      </c>
      <c r="AH179" s="14" t="s">
        <v>65</v>
      </c>
      <c r="AI179" s="14" t="s">
        <v>36</v>
      </c>
      <c r="AJ179" s="14">
        <v>80000</v>
      </c>
      <c r="AK179" s="14">
        <v>80000</v>
      </c>
      <c r="AL179" s="13">
        <v>54</v>
      </c>
      <c r="AM179" s="13">
        <v>54</v>
      </c>
      <c r="AN179" s="14" t="s">
        <v>58</v>
      </c>
      <c r="AO179" s="14" t="s">
        <v>59</v>
      </c>
      <c r="AP179" s="14" t="s">
        <v>37</v>
      </c>
      <c r="AQ179" s="20">
        <v>202605</v>
      </c>
      <c r="AR179" s="14" t="s">
        <v>152</v>
      </c>
      <c r="AS179" s="14" t="s">
        <v>163</v>
      </c>
      <c r="AT179" s="12" t="s">
        <v>163</v>
      </c>
      <c r="AU179" s="30" t="s">
        <v>309</v>
      </c>
      <c r="AV179" s="30" t="s">
        <v>461</v>
      </c>
    </row>
    <row r="180" spans="1:48" x14ac:dyDescent="0.3">
      <c r="A180" s="5" t="s">
        <v>80</v>
      </c>
      <c r="B180" s="5" t="s">
        <v>54</v>
      </c>
      <c r="C180" s="5" t="s">
        <v>949</v>
      </c>
      <c r="D180" s="5" t="s">
        <v>81</v>
      </c>
      <c r="E180" s="6" t="s">
        <v>33</v>
      </c>
      <c r="F180" s="7">
        <v>5</v>
      </c>
      <c r="G180" s="5" t="s">
        <v>950</v>
      </c>
      <c r="H180" s="5" t="s">
        <v>1319</v>
      </c>
      <c r="I180" s="5" t="s">
        <v>1320</v>
      </c>
      <c r="J180" s="5" t="s">
        <v>34</v>
      </c>
      <c r="K180" s="5" t="s">
        <v>199</v>
      </c>
      <c r="L180" s="5" t="s">
        <v>219</v>
      </c>
      <c r="M180" s="5" t="s">
        <v>39</v>
      </c>
      <c r="N180" s="5" t="s">
        <v>56</v>
      </c>
      <c r="O180" s="6" t="s">
        <v>1321</v>
      </c>
      <c r="P180" s="5" t="s">
        <v>129</v>
      </c>
      <c r="Q180" s="5" t="s">
        <v>64</v>
      </c>
      <c r="R180" s="5" t="s">
        <v>144</v>
      </c>
      <c r="S180" s="5" t="s">
        <v>1322</v>
      </c>
      <c r="T180" s="5" t="s">
        <v>374</v>
      </c>
      <c r="U180" s="5" t="s">
        <v>1323</v>
      </c>
      <c r="V180" s="8">
        <v>45</v>
      </c>
      <c r="W180" s="9">
        <v>77354</v>
      </c>
      <c r="X180" s="5" t="s">
        <v>35</v>
      </c>
      <c r="Y180" s="10">
        <v>100</v>
      </c>
      <c r="Z180" s="10">
        <v>19.8</v>
      </c>
      <c r="AA180" s="10">
        <v>19.8</v>
      </c>
      <c r="AB180" s="10">
        <v>196581</v>
      </c>
      <c r="AC180" s="10">
        <v>103355</v>
      </c>
      <c r="AD180" s="10">
        <v>0</v>
      </c>
      <c r="AE180" s="11">
        <v>299936</v>
      </c>
      <c r="AF180" s="12" t="s">
        <v>200</v>
      </c>
      <c r="AG180" s="14" t="s">
        <v>128</v>
      </c>
      <c r="AH180" s="14" t="s">
        <v>65</v>
      </c>
      <c r="AI180" s="14" t="s">
        <v>36</v>
      </c>
      <c r="AJ180" s="14">
        <v>80000</v>
      </c>
      <c r="AK180" s="14">
        <v>80000</v>
      </c>
      <c r="AL180" s="13">
        <v>48</v>
      </c>
      <c r="AM180" s="13">
        <v>48</v>
      </c>
      <c r="AN180" s="14" t="s">
        <v>58</v>
      </c>
      <c r="AO180" s="14" t="s">
        <v>59</v>
      </c>
      <c r="AP180" s="14" t="s">
        <v>37</v>
      </c>
      <c r="AQ180" s="20">
        <v>202605</v>
      </c>
      <c r="AR180" s="14" t="s">
        <v>152</v>
      </c>
      <c r="AS180" s="14" t="s">
        <v>180</v>
      </c>
      <c r="AT180" s="14" t="s">
        <v>180</v>
      </c>
      <c r="AU180" s="30" t="s">
        <v>309</v>
      </c>
      <c r="AV180" s="30" t="s">
        <v>461</v>
      </c>
    </row>
    <row r="181" spans="1:48" x14ac:dyDescent="0.3">
      <c r="A181" s="5" t="s">
        <v>80</v>
      </c>
      <c r="B181" s="5" t="s">
        <v>54</v>
      </c>
      <c r="C181" s="5" t="s">
        <v>949</v>
      </c>
      <c r="D181" s="5" t="s">
        <v>81</v>
      </c>
      <c r="E181" s="6" t="s">
        <v>33</v>
      </c>
      <c r="F181" s="7">
        <v>6</v>
      </c>
      <c r="G181" s="5" t="s">
        <v>950</v>
      </c>
      <c r="H181" s="5" t="s">
        <v>1324</v>
      </c>
      <c r="I181" s="5" t="s">
        <v>1320</v>
      </c>
      <c r="J181" s="5" t="s">
        <v>34</v>
      </c>
      <c r="K181" s="5" t="s">
        <v>199</v>
      </c>
      <c r="L181" s="5" t="s">
        <v>219</v>
      </c>
      <c r="M181" s="5" t="s">
        <v>39</v>
      </c>
      <c r="N181" s="5" t="s">
        <v>56</v>
      </c>
      <c r="O181" s="6" t="s">
        <v>1321</v>
      </c>
      <c r="P181" s="5" t="s">
        <v>159</v>
      </c>
      <c r="Q181" s="5" t="s">
        <v>64</v>
      </c>
      <c r="R181" s="5" t="s">
        <v>144</v>
      </c>
      <c r="S181" s="5" t="s">
        <v>1322</v>
      </c>
      <c r="T181" s="5" t="s">
        <v>374</v>
      </c>
      <c r="U181" s="5" t="s">
        <v>1323</v>
      </c>
      <c r="V181" s="8">
        <v>45</v>
      </c>
      <c r="W181" s="9">
        <v>77354</v>
      </c>
      <c r="X181" s="5" t="s">
        <v>35</v>
      </c>
      <c r="Y181" s="10">
        <v>100</v>
      </c>
      <c r="Z181" s="10">
        <v>19.8</v>
      </c>
      <c r="AA181" s="10">
        <v>19.8</v>
      </c>
      <c r="AB181" s="10">
        <v>0</v>
      </c>
      <c r="AC181" s="10">
        <v>0</v>
      </c>
      <c r="AD181" s="10">
        <v>120590</v>
      </c>
      <c r="AE181" s="11">
        <v>120590</v>
      </c>
      <c r="AF181" s="12" t="s">
        <v>200</v>
      </c>
      <c r="AG181" s="14" t="s">
        <v>128</v>
      </c>
      <c r="AH181" s="14" t="s">
        <v>65</v>
      </c>
      <c r="AI181" s="14" t="s">
        <v>36</v>
      </c>
      <c r="AJ181" s="14">
        <v>80000</v>
      </c>
      <c r="AK181" s="14">
        <v>80000</v>
      </c>
      <c r="AL181" s="13">
        <v>48</v>
      </c>
      <c r="AM181" s="13">
        <v>48</v>
      </c>
      <c r="AN181" s="14" t="s">
        <v>58</v>
      </c>
      <c r="AO181" s="14" t="s">
        <v>59</v>
      </c>
      <c r="AP181" s="14" t="s">
        <v>37</v>
      </c>
      <c r="AQ181" s="20">
        <v>202605</v>
      </c>
      <c r="AR181" s="14" t="s">
        <v>152</v>
      </c>
      <c r="AS181" s="14" t="s">
        <v>180</v>
      </c>
      <c r="AT181" s="14" t="s">
        <v>180</v>
      </c>
      <c r="AU181" s="30" t="s">
        <v>309</v>
      </c>
      <c r="AV181" s="30" t="s">
        <v>461</v>
      </c>
    </row>
    <row r="182" spans="1:48" x14ac:dyDescent="0.3">
      <c r="A182" s="5" t="s">
        <v>80</v>
      </c>
      <c r="B182" s="5" t="s">
        <v>54</v>
      </c>
      <c r="C182" s="5" t="s">
        <v>949</v>
      </c>
      <c r="D182" s="5" t="s">
        <v>81</v>
      </c>
      <c r="E182" s="6" t="s">
        <v>33</v>
      </c>
      <c r="F182" s="7">
        <v>7</v>
      </c>
      <c r="G182" s="5" t="s">
        <v>950</v>
      </c>
      <c r="H182" s="5" t="s">
        <v>1325</v>
      </c>
      <c r="I182" s="5" t="s">
        <v>1326</v>
      </c>
      <c r="J182" s="5" t="s">
        <v>34</v>
      </c>
      <c r="K182" s="5" t="s">
        <v>199</v>
      </c>
      <c r="L182" s="5" t="s">
        <v>219</v>
      </c>
      <c r="M182" s="5" t="s">
        <v>39</v>
      </c>
      <c r="N182" s="5" t="s">
        <v>56</v>
      </c>
      <c r="O182" s="6" t="s">
        <v>1327</v>
      </c>
      <c r="P182" s="5" t="s">
        <v>129</v>
      </c>
      <c r="Q182" s="5" t="s">
        <v>124</v>
      </c>
      <c r="R182" s="5" t="s">
        <v>144</v>
      </c>
      <c r="S182" s="5" t="s">
        <v>1328</v>
      </c>
      <c r="T182" s="5" t="s">
        <v>537</v>
      </c>
      <c r="U182" s="5" t="s">
        <v>1329</v>
      </c>
      <c r="V182" s="8">
        <v>29</v>
      </c>
      <c r="W182" s="9">
        <v>38618</v>
      </c>
      <c r="X182" s="5" t="s">
        <v>35</v>
      </c>
      <c r="Y182" s="10">
        <v>100</v>
      </c>
      <c r="Z182" s="10">
        <v>19.8</v>
      </c>
      <c r="AA182" s="10">
        <v>19.8</v>
      </c>
      <c r="AB182" s="10">
        <v>262136</v>
      </c>
      <c r="AC182" s="10">
        <v>260104</v>
      </c>
      <c r="AD182" s="10">
        <v>0</v>
      </c>
      <c r="AE182" s="11">
        <v>522240</v>
      </c>
      <c r="AF182" s="12" t="s">
        <v>200</v>
      </c>
      <c r="AG182" s="14" t="s">
        <v>184</v>
      </c>
      <c r="AH182" s="14" t="s">
        <v>125</v>
      </c>
      <c r="AI182" s="14" t="s">
        <v>36</v>
      </c>
      <c r="AJ182" s="14">
        <v>40000</v>
      </c>
      <c r="AK182" s="14">
        <v>40000</v>
      </c>
      <c r="AL182" s="13">
        <v>30</v>
      </c>
      <c r="AM182" s="13">
        <v>30</v>
      </c>
      <c r="AN182" s="14" t="s">
        <v>75</v>
      </c>
      <c r="AO182" s="14" t="s">
        <v>76</v>
      </c>
      <c r="AP182" s="14" t="s">
        <v>37</v>
      </c>
      <c r="AQ182" s="20">
        <v>202605</v>
      </c>
      <c r="AR182" s="14" t="s">
        <v>152</v>
      </c>
      <c r="AS182" s="14" t="s">
        <v>180</v>
      </c>
      <c r="AT182" s="14" t="s">
        <v>180</v>
      </c>
      <c r="AU182" s="30" t="s">
        <v>309</v>
      </c>
      <c r="AV182" s="30" t="s">
        <v>461</v>
      </c>
    </row>
    <row r="183" spans="1:48" x14ac:dyDescent="0.3">
      <c r="A183" s="5" t="s">
        <v>80</v>
      </c>
      <c r="B183" s="5" t="s">
        <v>54</v>
      </c>
      <c r="C183" s="5" t="s">
        <v>949</v>
      </c>
      <c r="D183" s="5" t="s">
        <v>81</v>
      </c>
      <c r="E183" s="6" t="s">
        <v>33</v>
      </c>
      <c r="F183" s="7">
        <v>8</v>
      </c>
      <c r="G183" s="5" t="s">
        <v>950</v>
      </c>
      <c r="H183" s="5" t="s">
        <v>1330</v>
      </c>
      <c r="I183" s="5" t="s">
        <v>1331</v>
      </c>
      <c r="J183" s="5" t="s">
        <v>34</v>
      </c>
      <c r="K183" s="5" t="s">
        <v>38</v>
      </c>
      <c r="L183" s="5" t="s">
        <v>1332</v>
      </c>
      <c r="M183" s="5" t="s">
        <v>84</v>
      </c>
      <c r="N183" s="5" t="s">
        <v>56</v>
      </c>
      <c r="O183" s="6" t="s">
        <v>1333</v>
      </c>
      <c r="P183" s="5" t="s">
        <v>220</v>
      </c>
      <c r="Q183" s="5" t="s">
        <v>64</v>
      </c>
      <c r="R183" s="5" t="s">
        <v>144</v>
      </c>
      <c r="S183" s="5" t="s">
        <v>1334</v>
      </c>
      <c r="T183" s="5" t="s">
        <v>335</v>
      </c>
      <c r="U183" s="5" t="s">
        <v>1335</v>
      </c>
      <c r="V183" s="8">
        <v>23</v>
      </c>
      <c r="W183" s="9">
        <v>81263</v>
      </c>
      <c r="X183" s="5" t="s">
        <v>35</v>
      </c>
      <c r="Y183" s="10">
        <v>100</v>
      </c>
      <c r="Z183" s="10">
        <v>19.8</v>
      </c>
      <c r="AA183" s="10">
        <v>19.8</v>
      </c>
      <c r="AB183" s="10">
        <v>156473</v>
      </c>
      <c r="AC183" s="10">
        <v>80666</v>
      </c>
      <c r="AD183" s="10">
        <v>0</v>
      </c>
      <c r="AE183" s="11">
        <v>237139</v>
      </c>
      <c r="AF183" s="12" t="s">
        <v>41</v>
      </c>
      <c r="AG183" s="14" t="s">
        <v>270</v>
      </c>
      <c r="AH183" s="14" t="s">
        <v>65</v>
      </c>
      <c r="AI183" s="14" t="s">
        <v>36</v>
      </c>
      <c r="AJ183" s="14">
        <v>90000</v>
      </c>
      <c r="AK183" s="14">
        <v>85000</v>
      </c>
      <c r="AL183" s="13">
        <v>24</v>
      </c>
      <c r="AM183" s="13">
        <v>24</v>
      </c>
      <c r="AN183" s="14" t="s">
        <v>679</v>
      </c>
      <c r="AO183" s="14" t="s">
        <v>680</v>
      </c>
      <c r="AP183" s="14" t="s">
        <v>37</v>
      </c>
      <c r="AQ183" s="20">
        <v>202605</v>
      </c>
      <c r="AR183" s="14" t="s">
        <v>152</v>
      </c>
      <c r="AS183" s="19" t="s">
        <v>165</v>
      </c>
      <c r="AT183" s="19" t="s">
        <v>165</v>
      </c>
      <c r="AU183" s="30" t="s">
        <v>309</v>
      </c>
      <c r="AV183" s="30" t="s">
        <v>461</v>
      </c>
    </row>
    <row r="184" spans="1:48" x14ac:dyDescent="0.3">
      <c r="A184" s="5" t="s">
        <v>418</v>
      </c>
      <c r="B184" s="5" t="s">
        <v>1336</v>
      </c>
      <c r="C184" s="5" t="s">
        <v>1337</v>
      </c>
      <c r="D184" s="5" t="s">
        <v>81</v>
      </c>
      <c r="E184" s="6" t="s">
        <v>33</v>
      </c>
      <c r="F184" s="7">
        <v>1</v>
      </c>
      <c r="G184" s="5" t="s">
        <v>950</v>
      </c>
      <c r="H184" s="5" t="s">
        <v>1338</v>
      </c>
      <c r="I184" s="5" t="s">
        <v>1339</v>
      </c>
      <c r="J184" s="5" t="s">
        <v>34</v>
      </c>
      <c r="K184" s="5" t="s">
        <v>419</v>
      </c>
      <c r="L184" s="5" t="s">
        <v>420</v>
      </c>
      <c r="M184" s="5" t="s">
        <v>421</v>
      </c>
      <c r="N184" s="5" t="s">
        <v>56</v>
      </c>
      <c r="O184" s="6" t="e">
        <v>#N/A</v>
      </c>
      <c r="P184" s="5" t="s">
        <v>422</v>
      </c>
      <c r="Q184" s="5" t="s">
        <v>71</v>
      </c>
      <c r="R184" s="5" t="s">
        <v>144</v>
      </c>
      <c r="S184" s="5" t="s">
        <v>1340</v>
      </c>
      <c r="T184" s="5" t="s">
        <v>1341</v>
      </c>
      <c r="U184" s="5" t="s">
        <v>1342</v>
      </c>
      <c r="V184" s="8">
        <v>48</v>
      </c>
      <c r="W184" s="9">
        <v>99651</v>
      </c>
      <c r="X184" s="5" t="s">
        <v>35</v>
      </c>
      <c r="Y184" s="10">
        <v>100</v>
      </c>
      <c r="Z184" s="10">
        <v>19.8</v>
      </c>
      <c r="AA184" s="10">
        <v>19.8</v>
      </c>
      <c r="AB184" s="10">
        <v>115916</v>
      </c>
      <c r="AC184" s="10">
        <v>40934</v>
      </c>
      <c r="AD184" s="10">
        <v>0</v>
      </c>
      <c r="AE184" s="11">
        <v>156850</v>
      </c>
      <c r="AF184" s="12" t="s">
        <v>424</v>
      </c>
      <c r="AG184" s="14" t="s">
        <v>356</v>
      </c>
      <c r="AH184" s="14" t="s">
        <v>72</v>
      </c>
      <c r="AI184" s="14" t="s">
        <v>36</v>
      </c>
      <c r="AJ184" s="14">
        <v>100000</v>
      </c>
      <c r="AK184" s="14">
        <v>100000</v>
      </c>
      <c r="AL184" s="13">
        <v>54</v>
      </c>
      <c r="AM184" s="13">
        <v>51</v>
      </c>
      <c r="AN184" s="14" t="s">
        <v>404</v>
      </c>
      <c r="AO184" s="14" t="s">
        <v>86</v>
      </c>
      <c r="AP184" s="14" t="s">
        <v>37</v>
      </c>
      <c r="AQ184" s="20">
        <v>202605</v>
      </c>
      <c r="AR184" s="14" t="s">
        <v>152</v>
      </c>
      <c r="AS184" s="14" t="s">
        <v>425</v>
      </c>
      <c r="AT184" s="14" t="s">
        <v>425</v>
      </c>
      <c r="AU184" s="30" t="s">
        <v>309</v>
      </c>
      <c r="AV184" s="30" t="s">
        <v>461</v>
      </c>
    </row>
    <row r="185" spans="1:48" x14ac:dyDescent="0.3">
      <c r="A185" s="5" t="s">
        <v>418</v>
      </c>
      <c r="B185" s="5" t="s">
        <v>1336</v>
      </c>
      <c r="C185" s="5" t="s">
        <v>1337</v>
      </c>
      <c r="D185" s="5" t="s">
        <v>81</v>
      </c>
      <c r="E185" s="6" t="s">
        <v>33</v>
      </c>
      <c r="F185" s="7">
        <v>2</v>
      </c>
      <c r="G185" s="5" t="s">
        <v>950</v>
      </c>
      <c r="H185" s="5" t="s">
        <v>1343</v>
      </c>
      <c r="I185" s="5" t="s">
        <v>1344</v>
      </c>
      <c r="J185" s="5" t="s">
        <v>34</v>
      </c>
      <c r="K185" s="5" t="s">
        <v>419</v>
      </c>
      <c r="L185" s="5" t="s">
        <v>420</v>
      </c>
      <c r="M185" s="5" t="s">
        <v>421</v>
      </c>
      <c r="N185" s="5" t="s">
        <v>56</v>
      </c>
      <c r="O185" s="6" t="e">
        <v>#N/A</v>
      </c>
      <c r="P185" s="5" t="s">
        <v>422</v>
      </c>
      <c r="Q185" s="5" t="s">
        <v>71</v>
      </c>
      <c r="R185" s="5" t="s">
        <v>144</v>
      </c>
      <c r="S185" s="5" t="s">
        <v>1345</v>
      </c>
      <c r="T185" s="5" t="s">
        <v>984</v>
      </c>
      <c r="U185" s="5" t="s">
        <v>1346</v>
      </c>
      <c r="V185" s="8">
        <v>41</v>
      </c>
      <c r="W185" s="9">
        <v>70698</v>
      </c>
      <c r="X185" s="5" t="s">
        <v>35</v>
      </c>
      <c r="Y185" s="10">
        <v>100</v>
      </c>
      <c r="Z185" s="10">
        <v>19.8</v>
      </c>
      <c r="AA185" s="10">
        <v>19.8</v>
      </c>
      <c r="AB185" s="10">
        <v>125522</v>
      </c>
      <c r="AC185" s="10">
        <v>33666</v>
      </c>
      <c r="AD185" s="10">
        <v>0</v>
      </c>
      <c r="AE185" s="11">
        <v>159188</v>
      </c>
      <c r="AF185" s="12" t="s">
        <v>424</v>
      </c>
      <c r="AG185" s="14" t="s">
        <v>198</v>
      </c>
      <c r="AH185" s="14" t="s">
        <v>72</v>
      </c>
      <c r="AI185" s="14" t="s">
        <v>36</v>
      </c>
      <c r="AJ185" s="14">
        <v>80000</v>
      </c>
      <c r="AK185" s="14">
        <v>75000</v>
      </c>
      <c r="AL185" s="13">
        <v>42</v>
      </c>
      <c r="AM185" s="13">
        <v>42</v>
      </c>
      <c r="AN185" s="14" t="s">
        <v>404</v>
      </c>
      <c r="AO185" s="14" t="s">
        <v>86</v>
      </c>
      <c r="AP185" s="14" t="s">
        <v>37</v>
      </c>
      <c r="AQ185" s="20">
        <v>202605</v>
      </c>
      <c r="AR185" s="14" t="s">
        <v>152</v>
      </c>
      <c r="AS185" s="14" t="s">
        <v>425</v>
      </c>
      <c r="AT185" s="14" t="s">
        <v>425</v>
      </c>
      <c r="AU185" s="30" t="s">
        <v>309</v>
      </c>
      <c r="AV185" s="30" t="s">
        <v>461</v>
      </c>
    </row>
    <row r="186" spans="1:48" x14ac:dyDescent="0.3">
      <c r="A186" s="5" t="s">
        <v>150</v>
      </c>
      <c r="B186" s="5" t="s">
        <v>31</v>
      </c>
      <c r="C186" s="5" t="s">
        <v>949</v>
      </c>
      <c r="D186" s="5" t="s">
        <v>32</v>
      </c>
      <c r="E186" s="6" t="s">
        <v>33</v>
      </c>
      <c r="F186" s="7">
        <v>29</v>
      </c>
      <c r="G186" s="5" t="s">
        <v>950</v>
      </c>
      <c r="H186" s="5" t="s">
        <v>1347</v>
      </c>
      <c r="I186" s="5" t="s">
        <v>1348</v>
      </c>
      <c r="J186" s="5" t="s">
        <v>34</v>
      </c>
      <c r="K186" s="5" t="s">
        <v>93</v>
      </c>
      <c r="L186" s="5" t="s">
        <v>97</v>
      </c>
      <c r="M186" s="5" t="s">
        <v>39</v>
      </c>
      <c r="N186" s="5"/>
      <c r="O186" s="6"/>
      <c r="P186" s="5" t="s">
        <v>83</v>
      </c>
      <c r="Q186" s="5" t="s">
        <v>94</v>
      </c>
      <c r="R186" s="5" t="s">
        <v>145</v>
      </c>
      <c r="S186" s="5" t="s">
        <v>1349</v>
      </c>
      <c r="T186" s="5" t="s">
        <v>1350</v>
      </c>
      <c r="U186" s="5" t="s">
        <v>1351</v>
      </c>
      <c r="V186" s="8">
        <v>33</v>
      </c>
      <c r="W186" s="9">
        <v>38669</v>
      </c>
      <c r="X186" s="5"/>
      <c r="Y186" s="10">
        <v>100</v>
      </c>
      <c r="Z186" s="10">
        <v>25.44</v>
      </c>
      <c r="AA186" s="10">
        <v>25.44</v>
      </c>
      <c r="AB186" s="10">
        <v>197920</v>
      </c>
      <c r="AC186" s="10">
        <v>36977</v>
      </c>
      <c r="AD186" s="10">
        <v>0</v>
      </c>
      <c r="AE186" s="11">
        <v>234897</v>
      </c>
      <c r="AF186" s="12" t="s">
        <v>95</v>
      </c>
      <c r="AG186" s="14" t="s">
        <v>179</v>
      </c>
      <c r="AH186" s="14" t="e">
        <v>#N/A</v>
      </c>
      <c r="AI186" s="14" t="s">
        <v>36</v>
      </c>
      <c r="AJ186" s="14">
        <v>40000</v>
      </c>
      <c r="AK186" s="14">
        <v>40000</v>
      </c>
      <c r="AL186" s="13">
        <v>36</v>
      </c>
      <c r="AM186" s="13">
        <v>36</v>
      </c>
      <c r="AN186" s="14" t="s">
        <v>460</v>
      </c>
      <c r="AO186" s="14" t="s">
        <v>86</v>
      </c>
      <c r="AP186" s="14" t="s">
        <v>37</v>
      </c>
      <c r="AQ186" s="20">
        <v>202605</v>
      </c>
      <c r="AR186" s="20" t="s">
        <v>152</v>
      </c>
      <c r="AS186" s="14" t="s">
        <v>249</v>
      </c>
      <c r="AT186" s="14" t="s">
        <v>249</v>
      </c>
      <c r="AU186" s="30" t="s">
        <v>309</v>
      </c>
      <c r="AV186" s="30" t="s">
        <v>461</v>
      </c>
    </row>
    <row r="187" spans="1:48" x14ac:dyDescent="0.3">
      <c r="A187" s="5" t="s">
        <v>150</v>
      </c>
      <c r="B187" s="5" t="s">
        <v>31</v>
      </c>
      <c r="C187" s="5" t="s">
        <v>949</v>
      </c>
      <c r="D187" s="5" t="s">
        <v>32</v>
      </c>
      <c r="E187" s="6" t="s">
        <v>33</v>
      </c>
      <c r="F187" s="7">
        <v>30</v>
      </c>
      <c r="G187" s="5" t="s">
        <v>950</v>
      </c>
      <c r="H187" s="5" t="s">
        <v>1352</v>
      </c>
      <c r="I187" s="5" t="s">
        <v>1353</v>
      </c>
      <c r="J187" s="5" t="s">
        <v>34</v>
      </c>
      <c r="K187" s="5" t="s">
        <v>93</v>
      </c>
      <c r="L187" s="5" t="s">
        <v>97</v>
      </c>
      <c r="M187" s="5" t="s">
        <v>39</v>
      </c>
      <c r="N187" s="5"/>
      <c r="O187" s="6"/>
      <c r="P187" s="5" t="s">
        <v>83</v>
      </c>
      <c r="Q187" s="5" t="s">
        <v>94</v>
      </c>
      <c r="R187" s="5" t="s">
        <v>145</v>
      </c>
      <c r="S187" s="5" t="s">
        <v>1354</v>
      </c>
      <c r="T187" s="5" t="s">
        <v>1355</v>
      </c>
      <c r="U187" s="5" t="s">
        <v>1356</v>
      </c>
      <c r="V187" s="8">
        <v>20</v>
      </c>
      <c r="W187" s="9">
        <v>18580</v>
      </c>
      <c r="X187" s="5"/>
      <c r="Y187" s="10">
        <v>100</v>
      </c>
      <c r="Z187" s="10">
        <v>25.44</v>
      </c>
      <c r="AA187" s="10">
        <v>25.44</v>
      </c>
      <c r="AB187" s="10">
        <v>197860</v>
      </c>
      <c r="AC187" s="10">
        <v>36252</v>
      </c>
      <c r="AD187" s="10">
        <v>0</v>
      </c>
      <c r="AE187" s="11">
        <v>234112</v>
      </c>
      <c r="AF187" s="12" t="s">
        <v>95</v>
      </c>
      <c r="AG187" s="14" t="s">
        <v>1250</v>
      </c>
      <c r="AH187" s="14" t="e">
        <v>#N/A</v>
      </c>
      <c r="AI187" s="14" t="s">
        <v>36</v>
      </c>
      <c r="AJ187" s="14">
        <v>20000</v>
      </c>
      <c r="AK187" s="14">
        <v>20000</v>
      </c>
      <c r="AL187" s="13">
        <v>24</v>
      </c>
      <c r="AM187" s="13">
        <v>21</v>
      </c>
      <c r="AN187" s="14" t="s">
        <v>512</v>
      </c>
      <c r="AO187" s="14" t="s">
        <v>86</v>
      </c>
      <c r="AP187" s="14" t="s">
        <v>37</v>
      </c>
      <c r="AQ187" s="20">
        <v>202605</v>
      </c>
      <c r="AR187" s="20" t="s">
        <v>152</v>
      </c>
      <c r="AS187" s="14" t="s">
        <v>249</v>
      </c>
      <c r="AT187" s="14" t="s">
        <v>249</v>
      </c>
      <c r="AU187" s="30" t="s">
        <v>309</v>
      </c>
      <c r="AV187" s="30" t="s">
        <v>461</v>
      </c>
    </row>
    <row r="188" spans="1:48" x14ac:dyDescent="0.3">
      <c r="A188" s="5" t="s">
        <v>150</v>
      </c>
      <c r="B188" s="5" t="s">
        <v>31</v>
      </c>
      <c r="C188" s="5" t="s">
        <v>949</v>
      </c>
      <c r="D188" s="5" t="s">
        <v>32</v>
      </c>
      <c r="E188" s="6" t="s">
        <v>33</v>
      </c>
      <c r="F188" s="7">
        <v>31</v>
      </c>
      <c r="G188" s="5" t="s">
        <v>950</v>
      </c>
      <c r="H188" s="5" t="s">
        <v>1357</v>
      </c>
      <c r="I188" s="5" t="s">
        <v>1358</v>
      </c>
      <c r="J188" s="5" t="s">
        <v>34</v>
      </c>
      <c r="K188" s="5" t="s">
        <v>93</v>
      </c>
      <c r="L188" s="5" t="s">
        <v>97</v>
      </c>
      <c r="M188" s="5" t="s">
        <v>39</v>
      </c>
      <c r="N188" s="5"/>
      <c r="O188" s="6"/>
      <c r="P188" s="5" t="s">
        <v>995</v>
      </c>
      <c r="Q188" s="5" t="s">
        <v>94</v>
      </c>
      <c r="R188" s="5" t="s">
        <v>145</v>
      </c>
      <c r="S188" s="5" t="s">
        <v>1359</v>
      </c>
      <c r="T188" s="5" t="s">
        <v>1360</v>
      </c>
      <c r="U188" s="5" t="s">
        <v>1361</v>
      </c>
      <c r="V188" s="8">
        <v>3</v>
      </c>
      <c r="W188" s="9">
        <v>3667</v>
      </c>
      <c r="X188" s="5"/>
      <c r="Y188" s="10">
        <v>100</v>
      </c>
      <c r="Z188" s="10">
        <v>25.44</v>
      </c>
      <c r="AA188" s="10">
        <v>25.44</v>
      </c>
      <c r="AB188" s="10">
        <v>235091</v>
      </c>
      <c r="AC188" s="10">
        <v>38465</v>
      </c>
      <c r="AD188" s="10">
        <v>0</v>
      </c>
      <c r="AE188" s="11">
        <v>273556</v>
      </c>
      <c r="AF188" s="12" t="s">
        <v>95</v>
      </c>
      <c r="AG188" s="14" t="s">
        <v>408</v>
      </c>
      <c r="AH188" s="14" t="e">
        <v>#N/A</v>
      </c>
      <c r="AI188" s="14" t="s">
        <v>36</v>
      </c>
      <c r="AJ188" s="14">
        <v>10000</v>
      </c>
      <c r="AK188" s="14">
        <v>5000</v>
      </c>
      <c r="AL188" s="13">
        <v>6</v>
      </c>
      <c r="AM188" s="13">
        <v>6</v>
      </c>
      <c r="AN188" s="14" t="s">
        <v>361</v>
      </c>
      <c r="AO188" s="14" t="s">
        <v>86</v>
      </c>
      <c r="AP188" s="14" t="s">
        <v>37</v>
      </c>
      <c r="AQ188" s="20">
        <v>202605</v>
      </c>
      <c r="AR188" s="20" t="s">
        <v>152</v>
      </c>
      <c r="AS188" s="14" t="s">
        <v>249</v>
      </c>
      <c r="AT188" s="14" t="s">
        <v>249</v>
      </c>
      <c r="AU188" s="30" t="s">
        <v>309</v>
      </c>
      <c r="AV188" s="30" t="s">
        <v>461</v>
      </c>
    </row>
    <row r="189" spans="1:48" x14ac:dyDescent="0.3">
      <c r="A189" s="5" t="s">
        <v>150</v>
      </c>
      <c r="B189" s="5" t="s">
        <v>54</v>
      </c>
      <c r="C189" s="5" t="s">
        <v>949</v>
      </c>
      <c r="D189" s="5" t="s">
        <v>32</v>
      </c>
      <c r="E189" s="6" t="s">
        <v>33</v>
      </c>
      <c r="F189" s="7">
        <v>79</v>
      </c>
      <c r="G189" s="5" t="s">
        <v>950</v>
      </c>
      <c r="H189" s="5" t="s">
        <v>1362</v>
      </c>
      <c r="I189" s="5" t="s">
        <v>1363</v>
      </c>
      <c r="J189" s="5" t="s">
        <v>34</v>
      </c>
      <c r="K189" s="5" t="s">
        <v>60</v>
      </c>
      <c r="L189" s="5" t="s">
        <v>99</v>
      </c>
      <c r="M189" s="5" t="s">
        <v>91</v>
      </c>
      <c r="N189" s="5"/>
      <c r="O189" s="6"/>
      <c r="P189" s="5" t="s">
        <v>92</v>
      </c>
      <c r="Q189" s="5" t="s">
        <v>64</v>
      </c>
      <c r="R189" s="5" t="s">
        <v>144</v>
      </c>
      <c r="S189" s="5" t="s">
        <v>1364</v>
      </c>
      <c r="T189" s="5" t="s">
        <v>1365</v>
      </c>
      <c r="U189" s="5" t="s">
        <v>1366</v>
      </c>
      <c r="V189" s="8">
        <v>78</v>
      </c>
      <c r="W189" s="9">
        <v>64589</v>
      </c>
      <c r="X189" s="5"/>
      <c r="Y189" s="10">
        <v>100</v>
      </c>
      <c r="Z189" s="10">
        <v>18.18</v>
      </c>
      <c r="AA189" s="10">
        <v>18.18</v>
      </c>
      <c r="AB189" s="10">
        <v>176468</v>
      </c>
      <c r="AC189" s="10">
        <v>55017</v>
      </c>
      <c r="AD189" s="10">
        <v>0</v>
      </c>
      <c r="AE189" s="11">
        <v>231485</v>
      </c>
      <c r="AF189" s="12" t="s">
        <v>62</v>
      </c>
      <c r="AG189" s="14" t="s">
        <v>253</v>
      </c>
      <c r="AH189" s="14" t="s">
        <v>65</v>
      </c>
      <c r="AI189" s="14" t="s">
        <v>36</v>
      </c>
      <c r="AJ189" s="14">
        <v>70000</v>
      </c>
      <c r="AK189" s="14">
        <v>65000</v>
      </c>
      <c r="AL189" s="13" t="s">
        <v>123</v>
      </c>
      <c r="AM189" s="13" t="s">
        <v>123</v>
      </c>
      <c r="AN189" s="14" t="s">
        <v>77</v>
      </c>
      <c r="AO189" s="14" t="s">
        <v>78</v>
      </c>
      <c r="AP189" s="14" t="s">
        <v>37</v>
      </c>
      <c r="AQ189" s="20">
        <v>202605</v>
      </c>
      <c r="AR189" s="20" t="s">
        <v>152</v>
      </c>
      <c r="AS189" s="14" t="s">
        <v>249</v>
      </c>
      <c r="AT189" s="14" t="s">
        <v>249</v>
      </c>
      <c r="AU189" s="30" t="s">
        <v>309</v>
      </c>
      <c r="AV189" s="30" t="s">
        <v>461</v>
      </c>
    </row>
    <row r="190" spans="1:48" x14ac:dyDescent="0.3">
      <c r="A190" s="5" t="s">
        <v>150</v>
      </c>
      <c r="B190" s="5" t="s">
        <v>54</v>
      </c>
      <c r="C190" s="5" t="s">
        <v>949</v>
      </c>
      <c r="D190" s="5" t="s">
        <v>32</v>
      </c>
      <c r="E190" s="6" t="s">
        <v>33</v>
      </c>
      <c r="F190" s="7">
        <v>80</v>
      </c>
      <c r="G190" s="5" t="s">
        <v>950</v>
      </c>
      <c r="H190" s="5" t="s">
        <v>1367</v>
      </c>
      <c r="I190" s="5" t="s">
        <v>1368</v>
      </c>
      <c r="J190" s="5" t="s">
        <v>34</v>
      </c>
      <c r="K190" s="5" t="s">
        <v>60</v>
      </c>
      <c r="L190" s="5" t="s">
        <v>941</v>
      </c>
      <c r="M190" s="5" t="s">
        <v>91</v>
      </c>
      <c r="N190" s="5"/>
      <c r="O190" s="6"/>
      <c r="P190" s="5" t="s">
        <v>96</v>
      </c>
      <c r="Q190" s="5" t="s">
        <v>64</v>
      </c>
      <c r="R190" s="5" t="s">
        <v>268</v>
      </c>
      <c r="S190" s="5" t="s">
        <v>1369</v>
      </c>
      <c r="T190" s="5" t="s">
        <v>428</v>
      </c>
      <c r="U190" s="5" t="s">
        <v>1370</v>
      </c>
      <c r="V190" s="8">
        <v>2</v>
      </c>
      <c r="W190" s="9">
        <v>5323</v>
      </c>
      <c r="X190" s="5"/>
      <c r="Y190" s="10">
        <v>100</v>
      </c>
      <c r="Z190" s="10">
        <v>18.18</v>
      </c>
      <c r="AA190" s="10">
        <v>18.18</v>
      </c>
      <c r="AB190" s="10">
        <v>79945</v>
      </c>
      <c r="AC190" s="10">
        <v>4435</v>
      </c>
      <c r="AD190" s="10">
        <v>0</v>
      </c>
      <c r="AE190" s="11">
        <v>84380</v>
      </c>
      <c r="AF190" s="12" t="s">
        <v>62</v>
      </c>
      <c r="AG190" s="14" t="s">
        <v>250</v>
      </c>
      <c r="AH190" s="14" t="s">
        <v>65</v>
      </c>
      <c r="AI190" s="14" t="s">
        <v>49</v>
      </c>
      <c r="AJ190" s="14">
        <v>10000</v>
      </c>
      <c r="AK190" s="14">
        <v>10000</v>
      </c>
      <c r="AL190" s="13">
        <v>6</v>
      </c>
      <c r="AM190" s="13">
        <v>3</v>
      </c>
      <c r="AN190" s="14" t="s">
        <v>943</v>
      </c>
      <c r="AO190" s="14" t="s">
        <v>944</v>
      </c>
      <c r="AP190" s="14" t="s">
        <v>37</v>
      </c>
      <c r="AQ190" s="20">
        <v>202605</v>
      </c>
      <c r="AR190" s="20" t="s">
        <v>152</v>
      </c>
      <c r="AS190" s="14" t="s">
        <v>249</v>
      </c>
      <c r="AT190" s="14" t="s">
        <v>249</v>
      </c>
      <c r="AU190" s="30" t="s">
        <v>309</v>
      </c>
      <c r="AV190" s="30" t="s">
        <v>461</v>
      </c>
    </row>
    <row r="191" spans="1:48" x14ac:dyDescent="0.3">
      <c r="A191" s="5" t="s">
        <v>150</v>
      </c>
      <c r="B191" s="5" t="s">
        <v>54</v>
      </c>
      <c r="C191" s="5" t="s">
        <v>949</v>
      </c>
      <c r="D191" s="5" t="s">
        <v>32</v>
      </c>
      <c r="E191" s="6" t="s">
        <v>33</v>
      </c>
      <c r="F191" s="7">
        <v>81</v>
      </c>
      <c r="G191" s="5" t="s">
        <v>950</v>
      </c>
      <c r="H191" s="5" t="s">
        <v>1371</v>
      </c>
      <c r="I191" s="5" t="s">
        <v>1372</v>
      </c>
      <c r="J191" s="5" t="s">
        <v>34</v>
      </c>
      <c r="K191" s="5" t="s">
        <v>60</v>
      </c>
      <c r="L191" s="5" t="s">
        <v>103</v>
      </c>
      <c r="M191" s="5" t="s">
        <v>39</v>
      </c>
      <c r="N191" s="5"/>
      <c r="O191" s="6"/>
      <c r="P191" s="5" t="s">
        <v>96</v>
      </c>
      <c r="Q191" s="5" t="s">
        <v>64</v>
      </c>
      <c r="R191" s="5" t="s">
        <v>144</v>
      </c>
      <c r="S191" s="5" t="s">
        <v>1373</v>
      </c>
      <c r="T191" s="5" t="s">
        <v>1374</v>
      </c>
      <c r="U191" s="5" t="s">
        <v>1375</v>
      </c>
      <c r="V191" s="8">
        <v>83</v>
      </c>
      <c r="W191" s="9">
        <v>97358</v>
      </c>
      <c r="X191" s="5"/>
      <c r="Y191" s="10">
        <v>100</v>
      </c>
      <c r="Z191" s="10">
        <v>18.18</v>
      </c>
      <c r="AA191" s="10">
        <v>18.18</v>
      </c>
      <c r="AB191" s="10">
        <v>157716</v>
      </c>
      <c r="AC191" s="10">
        <v>11632</v>
      </c>
      <c r="AD191" s="10">
        <v>0</v>
      </c>
      <c r="AE191" s="11">
        <v>169348</v>
      </c>
      <c r="AF191" s="12" t="s">
        <v>62</v>
      </c>
      <c r="AG191" s="14" t="s">
        <v>1172</v>
      </c>
      <c r="AH191" s="14" t="s">
        <v>65</v>
      </c>
      <c r="AI191" s="14" t="s">
        <v>36</v>
      </c>
      <c r="AJ191" s="14">
        <v>100000</v>
      </c>
      <c r="AK191" s="14">
        <v>100000</v>
      </c>
      <c r="AL191" s="13" t="s">
        <v>123</v>
      </c>
      <c r="AM191" s="13" t="s">
        <v>123</v>
      </c>
      <c r="AN191" s="14" t="s">
        <v>104</v>
      </c>
      <c r="AO191" s="14" t="s">
        <v>105</v>
      </c>
      <c r="AP191" s="14" t="s">
        <v>37</v>
      </c>
      <c r="AQ191" s="20">
        <v>202605</v>
      </c>
      <c r="AR191" s="20" t="s">
        <v>152</v>
      </c>
      <c r="AS191" s="14" t="s">
        <v>249</v>
      </c>
      <c r="AT191" s="14" t="s">
        <v>249</v>
      </c>
      <c r="AU191" s="30" t="s">
        <v>309</v>
      </c>
      <c r="AV191" s="30" t="s">
        <v>461</v>
      </c>
    </row>
    <row r="192" spans="1:48" x14ac:dyDescent="0.3">
      <c r="A192" s="5" t="s">
        <v>150</v>
      </c>
      <c r="B192" s="5" t="s">
        <v>54</v>
      </c>
      <c r="C192" s="5" t="s">
        <v>1049</v>
      </c>
      <c r="D192" s="5" t="s">
        <v>32</v>
      </c>
      <c r="E192" s="6" t="s">
        <v>33</v>
      </c>
      <c r="F192" s="7">
        <v>68</v>
      </c>
      <c r="G192" s="5" t="s">
        <v>950</v>
      </c>
      <c r="H192" s="5" t="s">
        <v>1376</v>
      </c>
      <c r="I192" s="5" t="s">
        <v>1377</v>
      </c>
      <c r="J192" s="5" t="s">
        <v>34</v>
      </c>
      <c r="K192" s="5" t="s">
        <v>60</v>
      </c>
      <c r="L192" s="5" t="s">
        <v>201</v>
      </c>
      <c r="M192" s="5" t="s">
        <v>39</v>
      </c>
      <c r="N192" s="5"/>
      <c r="O192" s="6"/>
      <c r="P192" s="5" t="s">
        <v>96</v>
      </c>
      <c r="Q192" s="5" t="s">
        <v>64</v>
      </c>
      <c r="R192" s="5" t="s">
        <v>144</v>
      </c>
      <c r="S192" s="5" t="s">
        <v>1378</v>
      </c>
      <c r="T192" s="5" t="s">
        <v>1379</v>
      </c>
      <c r="U192" s="5" t="s">
        <v>426</v>
      </c>
      <c r="V192" s="8">
        <v>32</v>
      </c>
      <c r="W192" s="9">
        <v>42038</v>
      </c>
      <c r="X192" s="5"/>
      <c r="Y192" s="10">
        <v>100</v>
      </c>
      <c r="Z192" s="10">
        <v>18.18</v>
      </c>
      <c r="AA192" s="10">
        <v>18.18</v>
      </c>
      <c r="AB192" s="10">
        <v>64290</v>
      </c>
      <c r="AC192" s="10">
        <v>29823</v>
      </c>
      <c r="AD192" s="10">
        <v>0</v>
      </c>
      <c r="AE192" s="11">
        <v>94113</v>
      </c>
      <c r="AF192" s="12" t="s">
        <v>62</v>
      </c>
      <c r="AG192" s="14" t="s">
        <v>151</v>
      </c>
      <c r="AH192" s="14" t="s">
        <v>65</v>
      </c>
      <c r="AI192" s="14" t="s">
        <v>36</v>
      </c>
      <c r="AJ192" s="14">
        <v>50000</v>
      </c>
      <c r="AK192" s="14">
        <v>45000</v>
      </c>
      <c r="AL192" s="13">
        <v>36</v>
      </c>
      <c r="AM192" s="13">
        <v>33</v>
      </c>
      <c r="AN192" s="14" t="s">
        <v>66</v>
      </c>
      <c r="AO192" s="14" t="s">
        <v>67</v>
      </c>
      <c r="AP192" s="14" t="s">
        <v>37</v>
      </c>
      <c r="AQ192" s="20">
        <v>202605</v>
      </c>
      <c r="AR192" s="20" t="s">
        <v>152</v>
      </c>
      <c r="AS192" s="14" t="s">
        <v>249</v>
      </c>
      <c r="AT192" s="14" t="s">
        <v>249</v>
      </c>
      <c r="AU192" s="30" t="s">
        <v>309</v>
      </c>
      <c r="AV192" s="30" t="s">
        <v>461</v>
      </c>
    </row>
    <row r="193" spans="1:48" x14ac:dyDescent="0.3">
      <c r="A193" s="5" t="s">
        <v>150</v>
      </c>
      <c r="B193" s="5" t="s">
        <v>54</v>
      </c>
      <c r="C193" s="5" t="s">
        <v>1049</v>
      </c>
      <c r="D193" s="5" t="s">
        <v>32</v>
      </c>
      <c r="E193" s="6" t="s">
        <v>33</v>
      </c>
      <c r="F193" s="7">
        <v>69</v>
      </c>
      <c r="G193" s="5" t="s">
        <v>950</v>
      </c>
      <c r="H193" s="5" t="s">
        <v>1380</v>
      </c>
      <c r="I193" s="5" t="s">
        <v>1381</v>
      </c>
      <c r="J193" s="5" t="s">
        <v>34</v>
      </c>
      <c r="K193" s="5" t="s">
        <v>60</v>
      </c>
      <c r="L193" s="5" t="s">
        <v>201</v>
      </c>
      <c r="M193" s="5" t="s">
        <v>39</v>
      </c>
      <c r="N193" s="5"/>
      <c r="O193" s="6"/>
      <c r="P193" s="5" t="s">
        <v>204</v>
      </c>
      <c r="Q193" s="5" t="s">
        <v>64</v>
      </c>
      <c r="R193" s="5" t="s">
        <v>144</v>
      </c>
      <c r="S193" s="5" t="s">
        <v>1382</v>
      </c>
      <c r="T193" s="5" t="s">
        <v>1383</v>
      </c>
      <c r="U193" s="5" t="s">
        <v>1384</v>
      </c>
      <c r="V193" s="8">
        <v>25</v>
      </c>
      <c r="W193" s="9">
        <v>69286</v>
      </c>
      <c r="X193" s="5"/>
      <c r="Y193" s="10">
        <v>100</v>
      </c>
      <c r="Z193" s="10">
        <v>18.18</v>
      </c>
      <c r="AA193" s="10">
        <v>18.18</v>
      </c>
      <c r="AB193" s="10">
        <v>59219</v>
      </c>
      <c r="AC193" s="10">
        <v>16394</v>
      </c>
      <c r="AD193" s="10">
        <v>0</v>
      </c>
      <c r="AE193" s="11">
        <v>75613</v>
      </c>
      <c r="AF193" s="12" t="s">
        <v>62</v>
      </c>
      <c r="AG193" s="14" t="s">
        <v>245</v>
      </c>
      <c r="AH193" s="14" t="s">
        <v>65</v>
      </c>
      <c r="AI193" s="14" t="s">
        <v>36</v>
      </c>
      <c r="AJ193" s="14">
        <v>70000</v>
      </c>
      <c r="AK193" s="14">
        <v>70000</v>
      </c>
      <c r="AL193" s="13">
        <v>30</v>
      </c>
      <c r="AM193" s="13">
        <v>27</v>
      </c>
      <c r="AN193" s="14" t="s">
        <v>1385</v>
      </c>
      <c r="AO193" s="14" t="s">
        <v>1386</v>
      </c>
      <c r="AP193" s="14" t="s">
        <v>37</v>
      </c>
      <c r="AQ193" s="20">
        <v>202605</v>
      </c>
      <c r="AR193" s="20" t="s">
        <v>152</v>
      </c>
      <c r="AS193" s="14" t="s">
        <v>249</v>
      </c>
      <c r="AT193" s="14" t="s">
        <v>249</v>
      </c>
      <c r="AU193" s="30" t="s">
        <v>309</v>
      </c>
      <c r="AV193" s="30" t="s">
        <v>461</v>
      </c>
    </row>
    <row r="194" spans="1:48" x14ac:dyDescent="0.3">
      <c r="A194" s="5" t="s">
        <v>150</v>
      </c>
      <c r="B194" s="5" t="s">
        <v>54</v>
      </c>
      <c r="C194" s="5" t="s">
        <v>1049</v>
      </c>
      <c r="D194" s="5" t="s">
        <v>32</v>
      </c>
      <c r="E194" s="6" t="s">
        <v>33</v>
      </c>
      <c r="F194" s="7">
        <v>70</v>
      </c>
      <c r="G194" s="5" t="s">
        <v>950</v>
      </c>
      <c r="H194" s="5" t="s">
        <v>1387</v>
      </c>
      <c r="I194" s="5" t="s">
        <v>1388</v>
      </c>
      <c r="J194" s="5" t="s">
        <v>34</v>
      </c>
      <c r="K194" s="5" t="s">
        <v>60</v>
      </c>
      <c r="L194" s="5" t="s">
        <v>201</v>
      </c>
      <c r="M194" s="5" t="s">
        <v>39</v>
      </c>
      <c r="N194" s="5"/>
      <c r="O194" s="6"/>
      <c r="P194" s="5" t="s">
        <v>96</v>
      </c>
      <c r="Q194" s="5" t="s">
        <v>61</v>
      </c>
      <c r="R194" s="5" t="s">
        <v>144</v>
      </c>
      <c r="S194" s="5" t="s">
        <v>1389</v>
      </c>
      <c r="T194" s="5" t="s">
        <v>1390</v>
      </c>
      <c r="U194" s="5" t="s">
        <v>1391</v>
      </c>
      <c r="V194" s="8">
        <v>23</v>
      </c>
      <c r="W194" s="9">
        <v>25087</v>
      </c>
      <c r="X194" s="5"/>
      <c r="Y194" s="10">
        <v>100</v>
      </c>
      <c r="Z194" s="10">
        <v>18.18</v>
      </c>
      <c r="AA194" s="10">
        <v>18.18</v>
      </c>
      <c r="AB194" s="10">
        <v>63335</v>
      </c>
      <c r="AC194" s="10">
        <v>37409</v>
      </c>
      <c r="AD194" s="10">
        <v>0</v>
      </c>
      <c r="AE194" s="11">
        <v>100744</v>
      </c>
      <c r="AF194" s="12" t="s">
        <v>62</v>
      </c>
      <c r="AG194" s="14" t="s">
        <v>173</v>
      </c>
      <c r="AH194" s="14" t="s">
        <v>63</v>
      </c>
      <c r="AI194" s="14" t="s">
        <v>36</v>
      </c>
      <c r="AJ194" s="14">
        <v>30000</v>
      </c>
      <c r="AK194" s="14">
        <v>30000</v>
      </c>
      <c r="AL194" s="13">
        <v>24</v>
      </c>
      <c r="AM194" s="13">
        <v>24</v>
      </c>
      <c r="AN194" s="14" t="s">
        <v>215</v>
      </c>
      <c r="AO194" s="14" t="s">
        <v>216</v>
      </c>
      <c r="AP194" s="14" t="s">
        <v>37</v>
      </c>
      <c r="AQ194" s="20">
        <v>202605</v>
      </c>
      <c r="AR194" s="20" t="s">
        <v>152</v>
      </c>
      <c r="AS194" s="14" t="s">
        <v>249</v>
      </c>
      <c r="AT194" s="14" t="s">
        <v>249</v>
      </c>
      <c r="AU194" s="30" t="s">
        <v>309</v>
      </c>
      <c r="AV194" s="30" t="s">
        <v>461</v>
      </c>
    </row>
    <row r="195" spans="1:48" x14ac:dyDescent="0.3">
      <c r="A195" s="5" t="s">
        <v>150</v>
      </c>
      <c r="B195" s="5" t="s">
        <v>54</v>
      </c>
      <c r="C195" s="5" t="s">
        <v>1049</v>
      </c>
      <c r="D195" s="5" t="s">
        <v>32</v>
      </c>
      <c r="E195" s="6" t="s">
        <v>33</v>
      </c>
      <c r="F195" s="7">
        <v>71</v>
      </c>
      <c r="G195" s="5" t="s">
        <v>950</v>
      </c>
      <c r="H195" s="5" t="s">
        <v>1392</v>
      </c>
      <c r="I195" s="5" t="s">
        <v>1393</v>
      </c>
      <c r="J195" s="5" t="s">
        <v>34</v>
      </c>
      <c r="K195" s="5" t="s">
        <v>60</v>
      </c>
      <c r="L195" s="5" t="s">
        <v>201</v>
      </c>
      <c r="M195" s="5" t="s">
        <v>39</v>
      </c>
      <c r="N195" s="5"/>
      <c r="O195" s="6"/>
      <c r="P195" s="5" t="s">
        <v>96</v>
      </c>
      <c r="Q195" s="5" t="s">
        <v>64</v>
      </c>
      <c r="R195" s="5" t="s">
        <v>144</v>
      </c>
      <c r="S195" s="5" t="s">
        <v>1394</v>
      </c>
      <c r="T195" s="5" t="s">
        <v>1395</v>
      </c>
      <c r="U195" s="5" t="s">
        <v>1396</v>
      </c>
      <c r="V195" s="8">
        <v>18</v>
      </c>
      <c r="W195" s="9">
        <v>37944</v>
      </c>
      <c r="X195" s="5"/>
      <c r="Y195" s="10">
        <v>100</v>
      </c>
      <c r="Z195" s="10">
        <v>18.18</v>
      </c>
      <c r="AA195" s="10">
        <v>18.18</v>
      </c>
      <c r="AB195" s="10">
        <v>61491</v>
      </c>
      <c r="AC195" s="10">
        <v>12008</v>
      </c>
      <c r="AD195" s="10">
        <v>0</v>
      </c>
      <c r="AE195" s="11">
        <v>73499</v>
      </c>
      <c r="AF195" s="12" t="s">
        <v>62</v>
      </c>
      <c r="AG195" s="14" t="s">
        <v>252</v>
      </c>
      <c r="AH195" s="14" t="s">
        <v>65</v>
      </c>
      <c r="AI195" s="14" t="s">
        <v>36</v>
      </c>
      <c r="AJ195" s="14">
        <v>40000</v>
      </c>
      <c r="AK195" s="14">
        <v>40000</v>
      </c>
      <c r="AL195" s="13">
        <v>24</v>
      </c>
      <c r="AM195" s="13">
        <v>21</v>
      </c>
      <c r="AN195" s="14" t="s">
        <v>202</v>
      </c>
      <c r="AO195" s="14" t="s">
        <v>203</v>
      </c>
      <c r="AP195" s="14" t="s">
        <v>37</v>
      </c>
      <c r="AQ195" s="20">
        <v>202605</v>
      </c>
      <c r="AR195" s="20" t="s">
        <v>152</v>
      </c>
      <c r="AS195" s="14" t="s">
        <v>249</v>
      </c>
      <c r="AT195" s="14" t="s">
        <v>249</v>
      </c>
      <c r="AU195" s="30" t="s">
        <v>309</v>
      </c>
      <c r="AV195" s="30" t="s">
        <v>461</v>
      </c>
    </row>
    <row r="196" spans="1:48" x14ac:dyDescent="0.3">
      <c r="A196" s="5" t="s">
        <v>150</v>
      </c>
      <c r="B196" s="5" t="s">
        <v>54</v>
      </c>
      <c r="C196" s="5" t="s">
        <v>1049</v>
      </c>
      <c r="D196" s="5" t="s">
        <v>32</v>
      </c>
      <c r="E196" s="6" t="s">
        <v>33</v>
      </c>
      <c r="F196" s="7">
        <v>72</v>
      </c>
      <c r="G196" s="5" t="s">
        <v>950</v>
      </c>
      <c r="H196" s="5" t="s">
        <v>1397</v>
      </c>
      <c r="I196" s="5" t="s">
        <v>1398</v>
      </c>
      <c r="J196" s="5" t="s">
        <v>34</v>
      </c>
      <c r="K196" s="5" t="s">
        <v>60</v>
      </c>
      <c r="L196" s="5" t="s">
        <v>201</v>
      </c>
      <c r="M196" s="5" t="s">
        <v>39</v>
      </c>
      <c r="N196" s="5"/>
      <c r="O196" s="6"/>
      <c r="P196" s="5" t="s">
        <v>204</v>
      </c>
      <c r="Q196" s="5" t="s">
        <v>64</v>
      </c>
      <c r="R196" s="5" t="s">
        <v>145</v>
      </c>
      <c r="S196" s="5" t="s">
        <v>1399</v>
      </c>
      <c r="T196" s="5" t="s">
        <v>1400</v>
      </c>
      <c r="U196" s="5" t="s">
        <v>1401</v>
      </c>
      <c r="V196" s="8">
        <v>8</v>
      </c>
      <c r="W196" s="9">
        <v>4249</v>
      </c>
      <c r="X196" s="5"/>
      <c r="Y196" s="10">
        <v>100</v>
      </c>
      <c r="Z196" s="10">
        <v>18.18</v>
      </c>
      <c r="AA196" s="10">
        <v>18.18</v>
      </c>
      <c r="AB196" s="10">
        <v>58678</v>
      </c>
      <c r="AC196" s="10">
        <v>15283</v>
      </c>
      <c r="AD196" s="10">
        <v>0</v>
      </c>
      <c r="AE196" s="11">
        <v>73961</v>
      </c>
      <c r="AF196" s="12" t="s">
        <v>62</v>
      </c>
      <c r="AG196" s="14" t="s">
        <v>223</v>
      </c>
      <c r="AH196" s="14" t="s">
        <v>65</v>
      </c>
      <c r="AI196" s="14" t="s">
        <v>36</v>
      </c>
      <c r="AJ196" s="14">
        <v>10000</v>
      </c>
      <c r="AK196" s="14">
        <v>5000</v>
      </c>
      <c r="AL196" s="13">
        <v>12</v>
      </c>
      <c r="AM196" s="13">
        <v>9</v>
      </c>
      <c r="AN196" s="14" t="s">
        <v>1385</v>
      </c>
      <c r="AO196" s="14" t="s">
        <v>1386</v>
      </c>
      <c r="AP196" s="14" t="s">
        <v>37</v>
      </c>
      <c r="AQ196" s="20">
        <v>202605</v>
      </c>
      <c r="AR196" s="20" t="s">
        <v>152</v>
      </c>
      <c r="AS196" s="14" t="s">
        <v>249</v>
      </c>
      <c r="AT196" s="14" t="s">
        <v>249</v>
      </c>
      <c r="AU196" s="30" t="s">
        <v>309</v>
      </c>
      <c r="AV196" s="30" t="s">
        <v>461</v>
      </c>
    </row>
    <row r="197" spans="1:48" x14ac:dyDescent="0.3">
      <c r="A197" s="5" t="s">
        <v>150</v>
      </c>
      <c r="B197" s="5" t="s">
        <v>54</v>
      </c>
      <c r="C197" s="5" t="s">
        <v>1049</v>
      </c>
      <c r="D197" s="5" t="s">
        <v>32</v>
      </c>
      <c r="E197" s="6" t="s">
        <v>33</v>
      </c>
      <c r="F197" s="7">
        <v>73</v>
      </c>
      <c r="G197" s="5" t="s">
        <v>950</v>
      </c>
      <c r="H197" s="5" t="s">
        <v>1402</v>
      </c>
      <c r="I197" s="5" t="s">
        <v>1403</v>
      </c>
      <c r="J197" s="5" t="s">
        <v>34</v>
      </c>
      <c r="K197" s="5" t="s">
        <v>60</v>
      </c>
      <c r="L197" s="5" t="s">
        <v>207</v>
      </c>
      <c r="M197" s="5" t="s">
        <v>39</v>
      </c>
      <c r="N197" s="5"/>
      <c r="O197" s="6"/>
      <c r="P197" s="5" t="s">
        <v>96</v>
      </c>
      <c r="Q197" s="5" t="s">
        <v>61</v>
      </c>
      <c r="R197" s="5" t="s">
        <v>79</v>
      </c>
      <c r="S197" s="5" t="s">
        <v>1404</v>
      </c>
      <c r="T197" s="5" t="s">
        <v>1405</v>
      </c>
      <c r="U197" s="5" t="s">
        <v>1406</v>
      </c>
      <c r="V197" s="8">
        <v>43</v>
      </c>
      <c r="W197" s="9">
        <v>48860</v>
      </c>
      <c r="X197" s="5"/>
      <c r="Y197" s="10">
        <v>100</v>
      </c>
      <c r="Z197" s="10">
        <v>18.18</v>
      </c>
      <c r="AA197" s="10">
        <v>18.18</v>
      </c>
      <c r="AB197" s="10">
        <v>210866</v>
      </c>
      <c r="AC197" s="10">
        <v>94324</v>
      </c>
      <c r="AD197" s="10">
        <v>0</v>
      </c>
      <c r="AE197" s="11">
        <v>305190</v>
      </c>
      <c r="AF197" s="12" t="s">
        <v>62</v>
      </c>
      <c r="AG197" s="14" t="s">
        <v>130</v>
      </c>
      <c r="AH197" s="14" t="s">
        <v>63</v>
      </c>
      <c r="AI197" s="14" t="s">
        <v>45</v>
      </c>
      <c r="AJ197" s="14">
        <v>50000</v>
      </c>
      <c r="AK197" s="14">
        <v>50000</v>
      </c>
      <c r="AL197" s="13">
        <v>48</v>
      </c>
      <c r="AM197" s="13">
        <v>45</v>
      </c>
      <c r="AN197" s="14" t="s">
        <v>215</v>
      </c>
      <c r="AO197" s="14" t="s">
        <v>216</v>
      </c>
      <c r="AP197" s="14" t="s">
        <v>37</v>
      </c>
      <c r="AQ197" s="20">
        <v>202605</v>
      </c>
      <c r="AR197" s="20" t="s">
        <v>152</v>
      </c>
      <c r="AS197" s="14" t="s">
        <v>249</v>
      </c>
      <c r="AT197" s="14" t="s">
        <v>249</v>
      </c>
      <c r="AU197" s="30" t="s">
        <v>309</v>
      </c>
      <c r="AV197" s="30" t="s">
        <v>461</v>
      </c>
    </row>
    <row r="198" spans="1:48" x14ac:dyDescent="0.3">
      <c r="A198" s="5" t="s">
        <v>150</v>
      </c>
      <c r="B198" s="5" t="s">
        <v>54</v>
      </c>
      <c r="C198" s="5" t="s">
        <v>1049</v>
      </c>
      <c r="D198" s="5" t="s">
        <v>32</v>
      </c>
      <c r="E198" s="6" t="s">
        <v>33</v>
      </c>
      <c r="F198" s="7">
        <v>74</v>
      </c>
      <c r="G198" s="5" t="s">
        <v>950</v>
      </c>
      <c r="H198" s="5" t="s">
        <v>1407</v>
      </c>
      <c r="I198" s="5" t="s">
        <v>1408</v>
      </c>
      <c r="J198" s="5" t="s">
        <v>34</v>
      </c>
      <c r="K198" s="5" t="s">
        <v>98</v>
      </c>
      <c r="L198" s="5" t="s">
        <v>207</v>
      </c>
      <c r="M198" s="5" t="s">
        <v>39</v>
      </c>
      <c r="N198" s="5"/>
      <c r="O198" s="6"/>
      <c r="P198" s="5" t="s">
        <v>208</v>
      </c>
      <c r="Q198" s="5" t="s">
        <v>64</v>
      </c>
      <c r="R198" s="5" t="s">
        <v>70</v>
      </c>
      <c r="S198" s="5" t="s">
        <v>1409</v>
      </c>
      <c r="T198" s="5" t="s">
        <v>1410</v>
      </c>
      <c r="U198" s="5" t="s">
        <v>1411</v>
      </c>
      <c r="V198" s="8">
        <v>43</v>
      </c>
      <c r="W198" s="9">
        <v>65417</v>
      </c>
      <c r="X198" s="5"/>
      <c r="Y198" s="10">
        <v>100</v>
      </c>
      <c r="Z198" s="10">
        <v>18.18</v>
      </c>
      <c r="AA198" s="10">
        <v>18.18</v>
      </c>
      <c r="AB198" s="10">
        <v>234997</v>
      </c>
      <c r="AC198" s="10">
        <v>39167</v>
      </c>
      <c r="AD198" s="10">
        <v>0</v>
      </c>
      <c r="AE198" s="11">
        <v>274164</v>
      </c>
      <c r="AF198" s="12" t="s">
        <v>100</v>
      </c>
      <c r="AG198" s="14" t="s">
        <v>130</v>
      </c>
      <c r="AH198" s="14" t="s">
        <v>65</v>
      </c>
      <c r="AI198" s="14" t="s">
        <v>49</v>
      </c>
      <c r="AJ198" s="14">
        <v>70000</v>
      </c>
      <c r="AK198" s="14">
        <v>70000</v>
      </c>
      <c r="AL198" s="13">
        <v>48</v>
      </c>
      <c r="AM198" s="13">
        <v>45</v>
      </c>
      <c r="AN198" s="14" t="s">
        <v>104</v>
      </c>
      <c r="AO198" s="14" t="s">
        <v>105</v>
      </c>
      <c r="AP198" s="14" t="s">
        <v>37</v>
      </c>
      <c r="AQ198" s="20">
        <v>202605</v>
      </c>
      <c r="AR198" s="20" t="s">
        <v>152</v>
      </c>
      <c r="AS198" s="14" t="s">
        <v>249</v>
      </c>
      <c r="AT198" s="14" t="s">
        <v>249</v>
      </c>
      <c r="AU198" s="30" t="s">
        <v>309</v>
      </c>
      <c r="AV198" s="30" t="s">
        <v>461</v>
      </c>
    </row>
    <row r="199" spans="1:48" x14ac:dyDescent="0.3">
      <c r="A199" s="5" t="s">
        <v>150</v>
      </c>
      <c r="B199" s="5" t="s">
        <v>54</v>
      </c>
      <c r="C199" s="5" t="s">
        <v>1049</v>
      </c>
      <c r="D199" s="5" t="s">
        <v>32</v>
      </c>
      <c r="E199" s="6" t="s">
        <v>33</v>
      </c>
      <c r="F199" s="7">
        <v>75</v>
      </c>
      <c r="G199" s="5" t="s">
        <v>950</v>
      </c>
      <c r="H199" s="5" t="s">
        <v>1412</v>
      </c>
      <c r="I199" s="5" t="s">
        <v>1413</v>
      </c>
      <c r="J199" s="5" t="s">
        <v>34</v>
      </c>
      <c r="K199" s="5" t="s">
        <v>98</v>
      </c>
      <c r="L199" s="5" t="s">
        <v>207</v>
      </c>
      <c r="M199" s="5" t="s">
        <v>39</v>
      </c>
      <c r="N199" s="5"/>
      <c r="O199" s="6"/>
      <c r="P199" s="5" t="s">
        <v>208</v>
      </c>
      <c r="Q199" s="5" t="s">
        <v>61</v>
      </c>
      <c r="R199" s="5" t="s">
        <v>144</v>
      </c>
      <c r="S199" s="5" t="s">
        <v>1414</v>
      </c>
      <c r="T199" s="5" t="s">
        <v>1415</v>
      </c>
      <c r="U199" s="5" t="s">
        <v>1416</v>
      </c>
      <c r="V199" s="8">
        <v>29</v>
      </c>
      <c r="W199" s="9">
        <v>29117</v>
      </c>
      <c r="X199" s="5"/>
      <c r="Y199" s="10">
        <v>100</v>
      </c>
      <c r="Z199" s="10">
        <v>18.18</v>
      </c>
      <c r="AA199" s="10">
        <v>18.18</v>
      </c>
      <c r="AB199" s="10">
        <v>221554</v>
      </c>
      <c r="AC199" s="10">
        <v>47499</v>
      </c>
      <c r="AD199" s="10">
        <v>0</v>
      </c>
      <c r="AE199" s="11">
        <v>269053</v>
      </c>
      <c r="AF199" s="12" t="s">
        <v>100</v>
      </c>
      <c r="AG199" s="14" t="s">
        <v>151</v>
      </c>
      <c r="AH199" s="14" t="s">
        <v>63</v>
      </c>
      <c r="AI199" s="14" t="s">
        <v>36</v>
      </c>
      <c r="AJ199" s="14">
        <v>30000</v>
      </c>
      <c r="AK199" s="14">
        <v>30000</v>
      </c>
      <c r="AL199" s="13">
        <v>30</v>
      </c>
      <c r="AM199" s="13">
        <v>30</v>
      </c>
      <c r="AN199" s="14" t="s">
        <v>101</v>
      </c>
      <c r="AO199" s="14" t="s">
        <v>102</v>
      </c>
      <c r="AP199" s="14" t="s">
        <v>37</v>
      </c>
      <c r="AQ199" s="20">
        <v>202605</v>
      </c>
      <c r="AR199" s="20" t="s">
        <v>152</v>
      </c>
      <c r="AS199" s="14" t="s">
        <v>249</v>
      </c>
      <c r="AT199" s="14" t="s">
        <v>249</v>
      </c>
      <c r="AU199" s="30" t="s">
        <v>309</v>
      </c>
      <c r="AV199" s="30" t="s">
        <v>461</v>
      </c>
    </row>
    <row r="200" spans="1:48" x14ac:dyDescent="0.3">
      <c r="A200" s="5" t="s">
        <v>150</v>
      </c>
      <c r="B200" s="5" t="s">
        <v>54</v>
      </c>
      <c r="C200" s="5" t="s">
        <v>1049</v>
      </c>
      <c r="D200" s="5" t="s">
        <v>32</v>
      </c>
      <c r="E200" s="6" t="s">
        <v>33</v>
      </c>
      <c r="F200" s="7">
        <v>76</v>
      </c>
      <c r="G200" s="5" t="s">
        <v>950</v>
      </c>
      <c r="H200" s="5" t="s">
        <v>1417</v>
      </c>
      <c r="I200" s="5" t="s">
        <v>1418</v>
      </c>
      <c r="J200" s="5" t="s">
        <v>34</v>
      </c>
      <c r="K200" s="5" t="s">
        <v>98</v>
      </c>
      <c r="L200" s="5" t="s">
        <v>207</v>
      </c>
      <c r="M200" s="5" t="s">
        <v>39</v>
      </c>
      <c r="N200" s="5"/>
      <c r="O200" s="6"/>
      <c r="P200" s="5" t="s">
        <v>208</v>
      </c>
      <c r="Q200" s="5" t="s">
        <v>64</v>
      </c>
      <c r="R200" s="5" t="s">
        <v>145</v>
      </c>
      <c r="S200" s="5" t="s">
        <v>1419</v>
      </c>
      <c r="T200" s="5" t="s">
        <v>1420</v>
      </c>
      <c r="U200" s="5" t="s">
        <v>1421</v>
      </c>
      <c r="V200" s="8">
        <v>29</v>
      </c>
      <c r="W200" s="9">
        <v>60590</v>
      </c>
      <c r="X200" s="5"/>
      <c r="Y200" s="10">
        <v>100</v>
      </c>
      <c r="Z200" s="10">
        <v>18.18</v>
      </c>
      <c r="AA200" s="10">
        <v>18.18</v>
      </c>
      <c r="AB200" s="10">
        <v>219284</v>
      </c>
      <c r="AC200" s="10">
        <v>37744</v>
      </c>
      <c r="AD200" s="10">
        <v>0</v>
      </c>
      <c r="AE200" s="11">
        <v>257028</v>
      </c>
      <c r="AF200" s="12" t="s">
        <v>100</v>
      </c>
      <c r="AG200" s="14" t="s">
        <v>238</v>
      </c>
      <c r="AH200" s="14" t="s">
        <v>65</v>
      </c>
      <c r="AI200" s="14" t="s">
        <v>36</v>
      </c>
      <c r="AJ200" s="14">
        <v>70000</v>
      </c>
      <c r="AK200" s="14">
        <v>65000</v>
      </c>
      <c r="AL200" s="13">
        <v>30</v>
      </c>
      <c r="AM200" s="13">
        <v>30</v>
      </c>
      <c r="AN200" s="14" t="s">
        <v>202</v>
      </c>
      <c r="AO200" s="14" t="s">
        <v>203</v>
      </c>
      <c r="AP200" s="14" t="s">
        <v>37</v>
      </c>
      <c r="AQ200" s="20">
        <v>202605</v>
      </c>
      <c r="AR200" s="20" t="s">
        <v>152</v>
      </c>
      <c r="AS200" s="14" t="s">
        <v>249</v>
      </c>
      <c r="AT200" s="14" t="s">
        <v>249</v>
      </c>
      <c r="AU200" s="30" t="s">
        <v>309</v>
      </c>
      <c r="AV200" s="30" t="s">
        <v>461</v>
      </c>
    </row>
    <row r="201" spans="1:48" x14ac:dyDescent="0.3">
      <c r="A201" s="5" t="s">
        <v>150</v>
      </c>
      <c r="B201" s="5" t="s">
        <v>54</v>
      </c>
      <c r="C201" s="5" t="s">
        <v>1049</v>
      </c>
      <c r="D201" s="5" t="s">
        <v>32</v>
      </c>
      <c r="E201" s="6" t="s">
        <v>33</v>
      </c>
      <c r="F201" s="7">
        <v>77</v>
      </c>
      <c r="G201" s="5" t="s">
        <v>950</v>
      </c>
      <c r="H201" s="5" t="s">
        <v>1422</v>
      </c>
      <c r="I201" s="5" t="s">
        <v>1423</v>
      </c>
      <c r="J201" s="5" t="s">
        <v>34</v>
      </c>
      <c r="K201" s="5" t="s">
        <v>60</v>
      </c>
      <c r="L201" s="5" t="s">
        <v>209</v>
      </c>
      <c r="M201" s="5" t="s">
        <v>39</v>
      </c>
      <c r="N201" s="5"/>
      <c r="O201" s="6"/>
      <c r="P201" s="5" t="s">
        <v>96</v>
      </c>
      <c r="Q201" s="5" t="s">
        <v>64</v>
      </c>
      <c r="R201" s="5" t="s">
        <v>145</v>
      </c>
      <c r="S201" s="5" t="s">
        <v>1424</v>
      </c>
      <c r="T201" s="5" t="s">
        <v>1425</v>
      </c>
      <c r="U201" s="5" t="s">
        <v>1426</v>
      </c>
      <c r="V201" s="8">
        <v>58</v>
      </c>
      <c r="W201" s="9">
        <v>74587</v>
      </c>
      <c r="X201" s="5"/>
      <c r="Y201" s="10">
        <v>100</v>
      </c>
      <c r="Z201" s="10">
        <v>18.18</v>
      </c>
      <c r="AA201" s="10">
        <v>18.18</v>
      </c>
      <c r="AB201" s="10">
        <v>39660</v>
      </c>
      <c r="AC201" s="10">
        <v>2416</v>
      </c>
      <c r="AD201" s="10">
        <v>0</v>
      </c>
      <c r="AE201" s="11">
        <v>42076</v>
      </c>
      <c r="AF201" s="12" t="s">
        <v>62</v>
      </c>
      <c r="AG201" s="14" t="s">
        <v>280</v>
      </c>
      <c r="AH201" s="14" t="s">
        <v>65</v>
      </c>
      <c r="AI201" s="14" t="s">
        <v>36</v>
      </c>
      <c r="AJ201" s="14">
        <v>80000</v>
      </c>
      <c r="AK201" s="14">
        <v>75000</v>
      </c>
      <c r="AL201" s="13">
        <v>60</v>
      </c>
      <c r="AM201" s="13">
        <v>60</v>
      </c>
      <c r="AN201" s="14" t="s">
        <v>205</v>
      </c>
      <c r="AO201" s="14" t="s">
        <v>206</v>
      </c>
      <c r="AP201" s="14" t="s">
        <v>37</v>
      </c>
      <c r="AQ201" s="20">
        <v>202605</v>
      </c>
      <c r="AR201" s="20" t="s">
        <v>152</v>
      </c>
      <c r="AS201" s="14" t="s">
        <v>249</v>
      </c>
      <c r="AT201" s="14" t="s">
        <v>249</v>
      </c>
      <c r="AU201" s="30" t="s">
        <v>309</v>
      </c>
      <c r="AV201" s="30" t="s">
        <v>461</v>
      </c>
    </row>
    <row r="202" spans="1:48" x14ac:dyDescent="0.3">
      <c r="A202" s="5" t="s">
        <v>150</v>
      </c>
      <c r="B202" s="5" t="s">
        <v>54</v>
      </c>
      <c r="C202" s="5" t="s">
        <v>1049</v>
      </c>
      <c r="D202" s="5" t="s">
        <v>32</v>
      </c>
      <c r="E202" s="6" t="s">
        <v>33</v>
      </c>
      <c r="F202" s="7">
        <v>78</v>
      </c>
      <c r="G202" s="5" t="s">
        <v>950</v>
      </c>
      <c r="H202" s="5" t="s">
        <v>1427</v>
      </c>
      <c r="I202" s="5" t="s">
        <v>1428</v>
      </c>
      <c r="J202" s="5" t="s">
        <v>34</v>
      </c>
      <c r="K202" s="5" t="s">
        <v>60</v>
      </c>
      <c r="L202" s="5" t="s">
        <v>209</v>
      </c>
      <c r="M202" s="5" t="s">
        <v>39</v>
      </c>
      <c r="N202" s="5"/>
      <c r="O202" s="6"/>
      <c r="P202" s="5" t="s">
        <v>96</v>
      </c>
      <c r="Q202" s="5" t="s">
        <v>64</v>
      </c>
      <c r="R202" s="5" t="s">
        <v>145</v>
      </c>
      <c r="S202" s="5" t="s">
        <v>1429</v>
      </c>
      <c r="T202" s="5" t="s">
        <v>1430</v>
      </c>
      <c r="U202" s="5" t="s">
        <v>1431</v>
      </c>
      <c r="V202" s="8">
        <v>56</v>
      </c>
      <c r="W202" s="9">
        <v>69445</v>
      </c>
      <c r="X202" s="5"/>
      <c r="Y202" s="10">
        <v>100</v>
      </c>
      <c r="Z202" s="10">
        <v>18.18</v>
      </c>
      <c r="AA202" s="10">
        <v>18.18</v>
      </c>
      <c r="AB202" s="10">
        <v>39660</v>
      </c>
      <c r="AC202" s="10">
        <v>2416</v>
      </c>
      <c r="AD202" s="10">
        <v>0</v>
      </c>
      <c r="AE202" s="11">
        <v>42076</v>
      </c>
      <c r="AF202" s="12" t="s">
        <v>62</v>
      </c>
      <c r="AG202" s="14" t="s">
        <v>1432</v>
      </c>
      <c r="AH202" s="14" t="s">
        <v>65</v>
      </c>
      <c r="AI202" s="14" t="s">
        <v>36</v>
      </c>
      <c r="AJ202" s="14">
        <v>70000</v>
      </c>
      <c r="AK202" s="14">
        <v>70000</v>
      </c>
      <c r="AL202" s="13">
        <v>60</v>
      </c>
      <c r="AM202" s="13">
        <v>57</v>
      </c>
      <c r="AN202" s="14" t="s">
        <v>205</v>
      </c>
      <c r="AO202" s="14" t="s">
        <v>206</v>
      </c>
      <c r="AP202" s="14" t="s">
        <v>37</v>
      </c>
      <c r="AQ202" s="20">
        <v>202605</v>
      </c>
      <c r="AR202" s="20" t="s">
        <v>152</v>
      </c>
      <c r="AS202" s="14" t="s">
        <v>249</v>
      </c>
      <c r="AT202" s="14" t="s">
        <v>249</v>
      </c>
      <c r="AU202" s="30" t="s">
        <v>309</v>
      </c>
      <c r="AV202" s="30" t="s">
        <v>461</v>
      </c>
    </row>
    <row r="203" spans="1:48" x14ac:dyDescent="0.3">
      <c r="A203" s="5" t="s">
        <v>150</v>
      </c>
      <c r="B203" s="5" t="s">
        <v>54</v>
      </c>
      <c r="C203" s="5" t="s">
        <v>1049</v>
      </c>
      <c r="D203" s="5" t="s">
        <v>32</v>
      </c>
      <c r="E203" s="6" t="s">
        <v>33</v>
      </c>
      <c r="F203" s="7">
        <v>79</v>
      </c>
      <c r="G203" s="5" t="s">
        <v>950</v>
      </c>
      <c r="H203" s="5" t="s">
        <v>1433</v>
      </c>
      <c r="I203" s="5" t="s">
        <v>1434</v>
      </c>
      <c r="J203" s="5" t="s">
        <v>34</v>
      </c>
      <c r="K203" s="5" t="s">
        <v>60</v>
      </c>
      <c r="L203" s="5" t="s">
        <v>209</v>
      </c>
      <c r="M203" s="5" t="s">
        <v>39</v>
      </c>
      <c r="N203" s="5"/>
      <c r="O203" s="6"/>
      <c r="P203" s="5" t="s">
        <v>204</v>
      </c>
      <c r="Q203" s="5" t="s">
        <v>64</v>
      </c>
      <c r="R203" s="5" t="s">
        <v>145</v>
      </c>
      <c r="S203" s="5" t="s">
        <v>1435</v>
      </c>
      <c r="T203" s="5" t="s">
        <v>1436</v>
      </c>
      <c r="U203" s="5" t="s">
        <v>1437</v>
      </c>
      <c r="V203" s="8">
        <v>57</v>
      </c>
      <c r="W203" s="9">
        <v>89173</v>
      </c>
      <c r="X203" s="5"/>
      <c r="Y203" s="10">
        <v>100</v>
      </c>
      <c r="Z203" s="10">
        <v>18.18</v>
      </c>
      <c r="AA203" s="10">
        <v>18.18</v>
      </c>
      <c r="AB203" s="10">
        <v>39660</v>
      </c>
      <c r="AC203" s="10">
        <v>1074</v>
      </c>
      <c r="AD203" s="10">
        <v>0</v>
      </c>
      <c r="AE203" s="11">
        <v>40734</v>
      </c>
      <c r="AF203" s="12" t="s">
        <v>62</v>
      </c>
      <c r="AG203" s="14" t="s">
        <v>210</v>
      </c>
      <c r="AH203" s="14" t="s">
        <v>65</v>
      </c>
      <c r="AI203" s="14" t="s">
        <v>36</v>
      </c>
      <c r="AJ203" s="14">
        <v>90000</v>
      </c>
      <c r="AK203" s="14">
        <v>90000</v>
      </c>
      <c r="AL203" s="13">
        <v>60</v>
      </c>
      <c r="AM203" s="13">
        <v>60</v>
      </c>
      <c r="AN203" s="14" t="s">
        <v>205</v>
      </c>
      <c r="AO203" s="14" t="s">
        <v>206</v>
      </c>
      <c r="AP203" s="14" t="s">
        <v>37</v>
      </c>
      <c r="AQ203" s="20">
        <v>202605</v>
      </c>
      <c r="AR203" s="20" t="s">
        <v>152</v>
      </c>
      <c r="AS203" s="14" t="s">
        <v>249</v>
      </c>
      <c r="AT203" s="14" t="s">
        <v>249</v>
      </c>
      <c r="AU203" s="30" t="s">
        <v>309</v>
      </c>
      <c r="AV203" s="30" t="s">
        <v>461</v>
      </c>
    </row>
    <row r="204" spans="1:48" x14ac:dyDescent="0.3">
      <c r="A204" s="5" t="s">
        <v>150</v>
      </c>
      <c r="B204" s="5" t="s">
        <v>54</v>
      </c>
      <c r="C204" s="5" t="s">
        <v>1049</v>
      </c>
      <c r="D204" s="5" t="s">
        <v>32</v>
      </c>
      <c r="E204" s="6" t="s">
        <v>33</v>
      </c>
      <c r="F204" s="7">
        <v>80</v>
      </c>
      <c r="G204" s="5" t="s">
        <v>950</v>
      </c>
      <c r="H204" s="5" t="s">
        <v>1438</v>
      </c>
      <c r="I204" s="5" t="s">
        <v>1439</v>
      </c>
      <c r="J204" s="5" t="s">
        <v>34</v>
      </c>
      <c r="K204" s="5" t="s">
        <v>60</v>
      </c>
      <c r="L204" s="5" t="s">
        <v>209</v>
      </c>
      <c r="M204" s="5" t="s">
        <v>39</v>
      </c>
      <c r="N204" s="5"/>
      <c r="O204" s="6"/>
      <c r="P204" s="5" t="s">
        <v>96</v>
      </c>
      <c r="Q204" s="5" t="s">
        <v>64</v>
      </c>
      <c r="R204" s="5" t="s">
        <v>144</v>
      </c>
      <c r="S204" s="5" t="s">
        <v>1440</v>
      </c>
      <c r="T204" s="5" t="s">
        <v>1441</v>
      </c>
      <c r="U204" s="5" t="s">
        <v>1442</v>
      </c>
      <c r="V204" s="8">
        <v>59</v>
      </c>
      <c r="W204" s="9">
        <v>81757</v>
      </c>
      <c r="X204" s="5"/>
      <c r="Y204" s="10">
        <v>100</v>
      </c>
      <c r="Z204" s="10">
        <v>18.18</v>
      </c>
      <c r="AA204" s="10">
        <v>18.18</v>
      </c>
      <c r="AB204" s="10">
        <v>39660</v>
      </c>
      <c r="AC204" s="10">
        <v>2416</v>
      </c>
      <c r="AD204" s="10">
        <v>0</v>
      </c>
      <c r="AE204" s="11">
        <v>42076</v>
      </c>
      <c r="AF204" s="12" t="s">
        <v>62</v>
      </c>
      <c r="AG204" s="14" t="s">
        <v>210</v>
      </c>
      <c r="AH204" s="14" t="s">
        <v>65</v>
      </c>
      <c r="AI204" s="14" t="s">
        <v>36</v>
      </c>
      <c r="AJ204" s="14">
        <v>90000</v>
      </c>
      <c r="AK204" s="14">
        <v>85000</v>
      </c>
      <c r="AL204" s="13">
        <v>60</v>
      </c>
      <c r="AM204" s="13">
        <v>60</v>
      </c>
      <c r="AN204" s="14" t="s">
        <v>205</v>
      </c>
      <c r="AO204" s="14" t="s">
        <v>206</v>
      </c>
      <c r="AP204" s="14" t="s">
        <v>37</v>
      </c>
      <c r="AQ204" s="20">
        <v>202605</v>
      </c>
      <c r="AR204" s="20" t="s">
        <v>152</v>
      </c>
      <c r="AS204" s="14" t="s">
        <v>249</v>
      </c>
      <c r="AT204" s="14" t="s">
        <v>249</v>
      </c>
      <c r="AU204" s="30" t="s">
        <v>309</v>
      </c>
      <c r="AV204" s="30" t="s">
        <v>461</v>
      </c>
    </row>
    <row r="205" spans="1:48" x14ac:dyDescent="0.3">
      <c r="A205" s="5" t="s">
        <v>150</v>
      </c>
      <c r="B205" s="5" t="s">
        <v>54</v>
      </c>
      <c r="C205" s="5" t="s">
        <v>1049</v>
      </c>
      <c r="D205" s="5" t="s">
        <v>32</v>
      </c>
      <c r="E205" s="6" t="s">
        <v>33</v>
      </c>
      <c r="F205" s="7">
        <v>81</v>
      </c>
      <c r="G205" s="5" t="s">
        <v>950</v>
      </c>
      <c r="H205" s="5" t="s">
        <v>1443</v>
      </c>
      <c r="I205" s="5" t="s">
        <v>1444</v>
      </c>
      <c r="J205" s="5" t="s">
        <v>34</v>
      </c>
      <c r="K205" s="5" t="s">
        <v>60</v>
      </c>
      <c r="L205" s="5" t="s">
        <v>209</v>
      </c>
      <c r="M205" s="5" t="s">
        <v>39</v>
      </c>
      <c r="N205" s="5"/>
      <c r="O205" s="6"/>
      <c r="P205" s="5" t="s">
        <v>96</v>
      </c>
      <c r="Q205" s="5" t="s">
        <v>64</v>
      </c>
      <c r="R205" s="5" t="s">
        <v>145</v>
      </c>
      <c r="S205" s="5" t="s">
        <v>1445</v>
      </c>
      <c r="T205" s="5" t="s">
        <v>1446</v>
      </c>
      <c r="U205" s="5" t="s">
        <v>427</v>
      </c>
      <c r="V205" s="8">
        <v>57</v>
      </c>
      <c r="W205" s="9">
        <v>56723</v>
      </c>
      <c r="X205" s="5"/>
      <c r="Y205" s="10">
        <v>100</v>
      </c>
      <c r="Z205" s="10">
        <v>18.18</v>
      </c>
      <c r="AA205" s="10">
        <v>18.18</v>
      </c>
      <c r="AB205" s="10">
        <v>39660</v>
      </c>
      <c r="AC205" s="10">
        <v>2416</v>
      </c>
      <c r="AD205" s="10">
        <v>0</v>
      </c>
      <c r="AE205" s="11">
        <v>42076</v>
      </c>
      <c r="AF205" s="12" t="s">
        <v>62</v>
      </c>
      <c r="AG205" s="14" t="s">
        <v>195</v>
      </c>
      <c r="AH205" s="14" t="s">
        <v>65</v>
      </c>
      <c r="AI205" s="14" t="s">
        <v>36</v>
      </c>
      <c r="AJ205" s="14">
        <v>60000</v>
      </c>
      <c r="AK205" s="14">
        <v>60000</v>
      </c>
      <c r="AL205" s="13">
        <v>60</v>
      </c>
      <c r="AM205" s="13">
        <v>60</v>
      </c>
      <c r="AN205" s="14" t="s">
        <v>205</v>
      </c>
      <c r="AO205" s="14" t="s">
        <v>206</v>
      </c>
      <c r="AP205" s="14" t="s">
        <v>37</v>
      </c>
      <c r="AQ205" s="20">
        <v>202605</v>
      </c>
      <c r="AR205" s="20" t="s">
        <v>152</v>
      </c>
      <c r="AS205" s="14" t="s">
        <v>249</v>
      </c>
      <c r="AT205" s="14" t="s">
        <v>249</v>
      </c>
      <c r="AU205" s="30" t="s">
        <v>309</v>
      </c>
      <c r="AV205" s="30" t="s">
        <v>461</v>
      </c>
    </row>
    <row r="206" spans="1:48" x14ac:dyDescent="0.3">
      <c r="A206" s="5" t="s">
        <v>150</v>
      </c>
      <c r="B206" s="5" t="s">
        <v>54</v>
      </c>
      <c r="C206" s="5" t="s">
        <v>1049</v>
      </c>
      <c r="D206" s="5" t="s">
        <v>32</v>
      </c>
      <c r="E206" s="6" t="s">
        <v>33</v>
      </c>
      <c r="F206" s="7">
        <v>82</v>
      </c>
      <c r="G206" s="5" t="s">
        <v>950</v>
      </c>
      <c r="H206" s="5" t="s">
        <v>1447</v>
      </c>
      <c r="I206" s="5" t="s">
        <v>1448</v>
      </c>
      <c r="J206" s="5" t="s">
        <v>34</v>
      </c>
      <c r="K206" s="5" t="s">
        <v>60</v>
      </c>
      <c r="L206" s="5" t="s">
        <v>209</v>
      </c>
      <c r="M206" s="5" t="s">
        <v>39</v>
      </c>
      <c r="N206" s="5"/>
      <c r="O206" s="6"/>
      <c r="P206" s="5" t="s">
        <v>96</v>
      </c>
      <c r="Q206" s="5" t="s">
        <v>64</v>
      </c>
      <c r="R206" s="5" t="s">
        <v>144</v>
      </c>
      <c r="S206" s="5" t="s">
        <v>1449</v>
      </c>
      <c r="T206" s="5" t="s">
        <v>1450</v>
      </c>
      <c r="U206" s="5" t="s">
        <v>1451</v>
      </c>
      <c r="V206" s="8">
        <v>52</v>
      </c>
      <c r="W206" s="9">
        <v>96003</v>
      </c>
      <c r="X206" s="5"/>
      <c r="Y206" s="10">
        <v>100</v>
      </c>
      <c r="Z206" s="10">
        <v>18.18</v>
      </c>
      <c r="AA206" s="10">
        <v>18.18</v>
      </c>
      <c r="AB206" s="10">
        <v>39660</v>
      </c>
      <c r="AC206" s="10">
        <v>2416</v>
      </c>
      <c r="AD206" s="10">
        <v>0</v>
      </c>
      <c r="AE206" s="11">
        <v>42076</v>
      </c>
      <c r="AF206" s="12" t="s">
        <v>62</v>
      </c>
      <c r="AG206" s="14" t="s">
        <v>354</v>
      </c>
      <c r="AH206" s="14" t="s">
        <v>65</v>
      </c>
      <c r="AI206" s="14" t="s">
        <v>36</v>
      </c>
      <c r="AJ206" s="14">
        <v>100000</v>
      </c>
      <c r="AK206" s="14">
        <v>100000</v>
      </c>
      <c r="AL206" s="13">
        <v>54</v>
      </c>
      <c r="AM206" s="13">
        <v>54</v>
      </c>
      <c r="AN206" s="14" t="s">
        <v>205</v>
      </c>
      <c r="AO206" s="14" t="s">
        <v>206</v>
      </c>
      <c r="AP206" s="14" t="s">
        <v>37</v>
      </c>
      <c r="AQ206" s="20">
        <v>202605</v>
      </c>
      <c r="AR206" s="20" t="s">
        <v>152</v>
      </c>
      <c r="AS206" s="14" t="s">
        <v>249</v>
      </c>
      <c r="AT206" s="14" t="s">
        <v>249</v>
      </c>
      <c r="AU206" s="30" t="s">
        <v>309</v>
      </c>
      <c r="AV206" s="30" t="s">
        <v>461</v>
      </c>
    </row>
    <row r="207" spans="1:48" x14ac:dyDescent="0.3">
      <c r="A207" s="5" t="s">
        <v>150</v>
      </c>
      <c r="B207" s="5" t="s">
        <v>54</v>
      </c>
      <c r="C207" s="5" t="s">
        <v>1049</v>
      </c>
      <c r="D207" s="5" t="s">
        <v>32</v>
      </c>
      <c r="E207" s="6" t="s">
        <v>33</v>
      </c>
      <c r="F207" s="7">
        <v>83</v>
      </c>
      <c r="G207" s="5" t="s">
        <v>950</v>
      </c>
      <c r="H207" s="5" t="s">
        <v>1452</v>
      </c>
      <c r="I207" s="5" t="s">
        <v>1453</v>
      </c>
      <c r="J207" s="5" t="s">
        <v>34</v>
      </c>
      <c r="K207" s="5" t="s">
        <v>60</v>
      </c>
      <c r="L207" s="5" t="s">
        <v>209</v>
      </c>
      <c r="M207" s="5" t="s">
        <v>39</v>
      </c>
      <c r="N207" s="5"/>
      <c r="O207" s="6"/>
      <c r="P207" s="5" t="s">
        <v>96</v>
      </c>
      <c r="Q207" s="5" t="s">
        <v>64</v>
      </c>
      <c r="R207" s="5" t="s">
        <v>144</v>
      </c>
      <c r="S207" s="5" t="s">
        <v>1454</v>
      </c>
      <c r="T207" s="5" t="s">
        <v>1455</v>
      </c>
      <c r="U207" s="5" t="s">
        <v>1456</v>
      </c>
      <c r="V207" s="8">
        <v>54</v>
      </c>
      <c r="W207" s="9">
        <v>56584</v>
      </c>
      <c r="X207" s="5"/>
      <c r="Y207" s="10">
        <v>100</v>
      </c>
      <c r="Z207" s="10">
        <v>18.18</v>
      </c>
      <c r="AA207" s="10">
        <v>18.18</v>
      </c>
      <c r="AB207" s="10">
        <v>39660</v>
      </c>
      <c r="AC207" s="10">
        <v>2416</v>
      </c>
      <c r="AD207" s="10">
        <v>0</v>
      </c>
      <c r="AE207" s="11">
        <v>42076</v>
      </c>
      <c r="AF207" s="12" t="s">
        <v>62</v>
      </c>
      <c r="AG207" s="14" t="s">
        <v>265</v>
      </c>
      <c r="AH207" s="14" t="s">
        <v>65</v>
      </c>
      <c r="AI207" s="14" t="s">
        <v>36</v>
      </c>
      <c r="AJ207" s="14">
        <v>60000</v>
      </c>
      <c r="AK207" s="14">
        <v>60000</v>
      </c>
      <c r="AL207" s="13">
        <v>60</v>
      </c>
      <c r="AM207" s="13">
        <v>57</v>
      </c>
      <c r="AN207" s="14" t="s">
        <v>205</v>
      </c>
      <c r="AO207" s="14" t="s">
        <v>206</v>
      </c>
      <c r="AP207" s="14" t="s">
        <v>37</v>
      </c>
      <c r="AQ207" s="20">
        <v>202605</v>
      </c>
      <c r="AR207" s="20" t="s">
        <v>152</v>
      </c>
      <c r="AS207" s="14" t="s">
        <v>249</v>
      </c>
      <c r="AT207" s="14" t="s">
        <v>249</v>
      </c>
      <c r="AU207" s="30" t="s">
        <v>309</v>
      </c>
      <c r="AV207" s="30" t="s">
        <v>461</v>
      </c>
    </row>
    <row r="208" spans="1:48" x14ac:dyDescent="0.3">
      <c r="A208" s="5" t="s">
        <v>150</v>
      </c>
      <c r="B208" s="5" t="s">
        <v>54</v>
      </c>
      <c r="C208" s="5" t="s">
        <v>1049</v>
      </c>
      <c r="D208" s="5" t="s">
        <v>32</v>
      </c>
      <c r="E208" s="6" t="s">
        <v>33</v>
      </c>
      <c r="F208" s="7">
        <v>84</v>
      </c>
      <c r="G208" s="5" t="s">
        <v>950</v>
      </c>
      <c r="H208" s="5" t="s">
        <v>1457</v>
      </c>
      <c r="I208" s="5" t="s">
        <v>1458</v>
      </c>
      <c r="J208" s="5" t="s">
        <v>34</v>
      </c>
      <c r="K208" s="5" t="s">
        <v>60</v>
      </c>
      <c r="L208" s="5" t="s">
        <v>209</v>
      </c>
      <c r="M208" s="5" t="s">
        <v>39</v>
      </c>
      <c r="N208" s="5"/>
      <c r="O208" s="6"/>
      <c r="P208" s="5" t="s">
        <v>96</v>
      </c>
      <c r="Q208" s="5" t="s">
        <v>64</v>
      </c>
      <c r="R208" s="5" t="s">
        <v>145</v>
      </c>
      <c r="S208" s="5" t="s">
        <v>1459</v>
      </c>
      <c r="T208" s="5" t="s">
        <v>1460</v>
      </c>
      <c r="U208" s="5" t="s">
        <v>1461</v>
      </c>
      <c r="V208" s="8">
        <v>46</v>
      </c>
      <c r="W208" s="9">
        <v>54504</v>
      </c>
      <c r="X208" s="5"/>
      <c r="Y208" s="10">
        <v>100</v>
      </c>
      <c r="Z208" s="10">
        <v>18.18</v>
      </c>
      <c r="AA208" s="10">
        <v>18.18</v>
      </c>
      <c r="AB208" s="10">
        <v>39660</v>
      </c>
      <c r="AC208" s="10">
        <v>2416</v>
      </c>
      <c r="AD208" s="10">
        <v>0</v>
      </c>
      <c r="AE208" s="11">
        <v>42076</v>
      </c>
      <c r="AF208" s="12" t="s">
        <v>62</v>
      </c>
      <c r="AG208" s="14" t="s">
        <v>505</v>
      </c>
      <c r="AH208" s="14" t="s">
        <v>65</v>
      </c>
      <c r="AI208" s="14" t="s">
        <v>36</v>
      </c>
      <c r="AJ208" s="14">
        <v>60000</v>
      </c>
      <c r="AK208" s="14">
        <v>55000</v>
      </c>
      <c r="AL208" s="13">
        <v>48</v>
      </c>
      <c r="AM208" s="13">
        <v>48</v>
      </c>
      <c r="AN208" s="14" t="s">
        <v>205</v>
      </c>
      <c r="AO208" s="14" t="s">
        <v>206</v>
      </c>
      <c r="AP208" s="14" t="s">
        <v>37</v>
      </c>
      <c r="AQ208" s="20">
        <v>202605</v>
      </c>
      <c r="AR208" s="20" t="s">
        <v>152</v>
      </c>
      <c r="AS208" s="14" t="s">
        <v>249</v>
      </c>
      <c r="AT208" s="14" t="s">
        <v>249</v>
      </c>
      <c r="AU208" s="30" t="s">
        <v>309</v>
      </c>
      <c r="AV208" s="30" t="s">
        <v>461</v>
      </c>
    </row>
    <row r="209" spans="1:48" x14ac:dyDescent="0.3">
      <c r="A209" s="5" t="s">
        <v>150</v>
      </c>
      <c r="B209" s="5" t="s">
        <v>54</v>
      </c>
      <c r="C209" s="5" t="s">
        <v>1049</v>
      </c>
      <c r="D209" s="5" t="s">
        <v>32</v>
      </c>
      <c r="E209" s="6" t="s">
        <v>33</v>
      </c>
      <c r="F209" s="7">
        <v>85</v>
      </c>
      <c r="G209" s="5" t="s">
        <v>950</v>
      </c>
      <c r="H209" s="5" t="s">
        <v>1462</v>
      </c>
      <c r="I209" s="5" t="s">
        <v>1463</v>
      </c>
      <c r="J209" s="5" t="s">
        <v>34</v>
      </c>
      <c r="K209" s="5" t="s">
        <v>60</v>
      </c>
      <c r="L209" s="5" t="s">
        <v>209</v>
      </c>
      <c r="M209" s="5" t="s">
        <v>39</v>
      </c>
      <c r="N209" s="5"/>
      <c r="O209" s="6"/>
      <c r="P209" s="5" t="s">
        <v>96</v>
      </c>
      <c r="Q209" s="5" t="s">
        <v>64</v>
      </c>
      <c r="R209" s="5" t="s">
        <v>145</v>
      </c>
      <c r="S209" s="5" t="s">
        <v>1459</v>
      </c>
      <c r="T209" s="5" t="s">
        <v>1464</v>
      </c>
      <c r="U209" s="5" t="s">
        <v>1465</v>
      </c>
      <c r="V209" s="8">
        <v>47</v>
      </c>
      <c r="W209" s="9">
        <v>98701</v>
      </c>
      <c r="X209" s="5"/>
      <c r="Y209" s="10">
        <v>100</v>
      </c>
      <c r="Z209" s="10">
        <v>18.18</v>
      </c>
      <c r="AA209" s="10">
        <v>18.18</v>
      </c>
      <c r="AB209" s="10">
        <v>39660</v>
      </c>
      <c r="AC209" s="10">
        <v>2416</v>
      </c>
      <c r="AD209" s="10">
        <v>0</v>
      </c>
      <c r="AE209" s="11">
        <v>42076</v>
      </c>
      <c r="AF209" s="12" t="s">
        <v>62</v>
      </c>
      <c r="AG209" s="14" t="s">
        <v>505</v>
      </c>
      <c r="AH209" s="14" t="s">
        <v>65</v>
      </c>
      <c r="AI209" s="14" t="s">
        <v>36</v>
      </c>
      <c r="AJ209" s="14">
        <v>100000</v>
      </c>
      <c r="AK209" s="14">
        <v>100000</v>
      </c>
      <c r="AL209" s="13">
        <v>48</v>
      </c>
      <c r="AM209" s="13">
        <v>48</v>
      </c>
      <c r="AN209" s="14" t="s">
        <v>205</v>
      </c>
      <c r="AO209" s="14" t="s">
        <v>206</v>
      </c>
      <c r="AP209" s="14" t="s">
        <v>37</v>
      </c>
      <c r="AQ209" s="20">
        <v>202605</v>
      </c>
      <c r="AR209" s="20" t="s">
        <v>152</v>
      </c>
      <c r="AS209" s="14" t="s">
        <v>249</v>
      </c>
      <c r="AT209" s="14" t="s">
        <v>249</v>
      </c>
      <c r="AU209" s="30" t="s">
        <v>309</v>
      </c>
      <c r="AV209" s="30" t="s">
        <v>461</v>
      </c>
    </row>
    <row r="210" spans="1:48" x14ac:dyDescent="0.3">
      <c r="A210" s="5" t="s">
        <v>150</v>
      </c>
      <c r="B210" s="5" t="s">
        <v>54</v>
      </c>
      <c r="C210" s="5" t="s">
        <v>1049</v>
      </c>
      <c r="D210" s="5" t="s">
        <v>32</v>
      </c>
      <c r="E210" s="6" t="s">
        <v>33</v>
      </c>
      <c r="F210" s="7">
        <v>86</v>
      </c>
      <c r="G210" s="5" t="s">
        <v>950</v>
      </c>
      <c r="H210" s="5" t="s">
        <v>1466</v>
      </c>
      <c r="I210" s="5" t="s">
        <v>1467</v>
      </c>
      <c r="J210" s="5" t="s">
        <v>34</v>
      </c>
      <c r="K210" s="5" t="s">
        <v>60</v>
      </c>
      <c r="L210" s="5" t="s">
        <v>209</v>
      </c>
      <c r="M210" s="5" t="s">
        <v>39</v>
      </c>
      <c r="N210" s="5"/>
      <c r="O210" s="6"/>
      <c r="P210" s="5" t="s">
        <v>96</v>
      </c>
      <c r="Q210" s="5" t="s">
        <v>64</v>
      </c>
      <c r="R210" s="5" t="s">
        <v>145</v>
      </c>
      <c r="S210" s="5" t="s">
        <v>1468</v>
      </c>
      <c r="T210" s="5" t="s">
        <v>1469</v>
      </c>
      <c r="U210" s="5" t="s">
        <v>1470</v>
      </c>
      <c r="V210" s="8">
        <v>41</v>
      </c>
      <c r="W210" s="9">
        <v>86149</v>
      </c>
      <c r="X210" s="5"/>
      <c r="Y210" s="10">
        <v>100</v>
      </c>
      <c r="Z210" s="10">
        <v>18.18</v>
      </c>
      <c r="AA210" s="10">
        <v>18.18</v>
      </c>
      <c r="AB210" s="10">
        <v>39660</v>
      </c>
      <c r="AC210" s="10">
        <v>2416</v>
      </c>
      <c r="AD210" s="10">
        <v>0</v>
      </c>
      <c r="AE210" s="11">
        <v>42076</v>
      </c>
      <c r="AF210" s="12" t="s">
        <v>62</v>
      </c>
      <c r="AG210" s="14" t="s">
        <v>138</v>
      </c>
      <c r="AH210" s="14" t="s">
        <v>65</v>
      </c>
      <c r="AI210" s="14" t="s">
        <v>36</v>
      </c>
      <c r="AJ210" s="14">
        <v>90000</v>
      </c>
      <c r="AK210" s="14">
        <v>90000</v>
      </c>
      <c r="AL210" s="13">
        <v>42</v>
      </c>
      <c r="AM210" s="13">
        <v>42</v>
      </c>
      <c r="AN210" s="14" t="s">
        <v>205</v>
      </c>
      <c r="AO210" s="14" t="s">
        <v>206</v>
      </c>
      <c r="AP210" s="14" t="s">
        <v>37</v>
      </c>
      <c r="AQ210" s="20">
        <v>202605</v>
      </c>
      <c r="AR210" s="20" t="s">
        <v>152</v>
      </c>
      <c r="AS210" s="14" t="s">
        <v>249</v>
      </c>
      <c r="AT210" s="14" t="s">
        <v>249</v>
      </c>
      <c r="AU210" s="30" t="s">
        <v>309</v>
      </c>
      <c r="AV210" s="30" t="s">
        <v>461</v>
      </c>
    </row>
    <row r="211" spans="1:48" x14ac:dyDescent="0.3">
      <c r="A211" s="5" t="s">
        <v>150</v>
      </c>
      <c r="B211" s="5" t="s">
        <v>54</v>
      </c>
      <c r="C211" s="5" t="s">
        <v>1049</v>
      </c>
      <c r="D211" s="5" t="s">
        <v>32</v>
      </c>
      <c r="E211" s="6" t="s">
        <v>33</v>
      </c>
      <c r="F211" s="7">
        <v>87</v>
      </c>
      <c r="G211" s="5" t="s">
        <v>950</v>
      </c>
      <c r="H211" s="5" t="s">
        <v>1471</v>
      </c>
      <c r="I211" s="5" t="s">
        <v>1472</v>
      </c>
      <c r="J211" s="5" t="s">
        <v>34</v>
      </c>
      <c r="K211" s="5" t="s">
        <v>60</v>
      </c>
      <c r="L211" s="5" t="s">
        <v>209</v>
      </c>
      <c r="M211" s="5" t="s">
        <v>39</v>
      </c>
      <c r="N211" s="5"/>
      <c r="O211" s="6"/>
      <c r="P211" s="5" t="s">
        <v>96</v>
      </c>
      <c r="Q211" s="5" t="s">
        <v>64</v>
      </c>
      <c r="R211" s="5" t="s">
        <v>145</v>
      </c>
      <c r="S211" s="5" t="s">
        <v>1473</v>
      </c>
      <c r="T211" s="5" t="s">
        <v>1395</v>
      </c>
      <c r="U211" s="5" t="s">
        <v>1474</v>
      </c>
      <c r="V211" s="8">
        <v>33</v>
      </c>
      <c r="W211" s="9">
        <v>99907</v>
      </c>
      <c r="X211" s="5"/>
      <c r="Y211" s="10">
        <v>100</v>
      </c>
      <c r="Z211" s="10">
        <v>18.18</v>
      </c>
      <c r="AA211" s="10">
        <v>18.18</v>
      </c>
      <c r="AB211" s="10">
        <v>39660</v>
      </c>
      <c r="AC211" s="10">
        <v>2416</v>
      </c>
      <c r="AD211" s="10">
        <v>0</v>
      </c>
      <c r="AE211" s="11">
        <v>42076</v>
      </c>
      <c r="AF211" s="12" t="s">
        <v>62</v>
      </c>
      <c r="AG211" s="14" t="s">
        <v>151</v>
      </c>
      <c r="AH211" s="14" t="s">
        <v>65</v>
      </c>
      <c r="AI211" s="14" t="s">
        <v>36</v>
      </c>
      <c r="AJ211" s="14">
        <v>100000</v>
      </c>
      <c r="AK211" s="14">
        <v>100000</v>
      </c>
      <c r="AL211" s="13">
        <v>36</v>
      </c>
      <c r="AM211" s="13">
        <v>36</v>
      </c>
      <c r="AN211" s="14" t="s">
        <v>205</v>
      </c>
      <c r="AO211" s="14" t="s">
        <v>206</v>
      </c>
      <c r="AP211" s="14" t="s">
        <v>37</v>
      </c>
      <c r="AQ211" s="20">
        <v>202605</v>
      </c>
      <c r="AR211" s="20" t="s">
        <v>152</v>
      </c>
      <c r="AS211" s="14" t="s">
        <v>249</v>
      </c>
      <c r="AT211" s="14" t="s">
        <v>249</v>
      </c>
      <c r="AU211" s="30" t="s">
        <v>309</v>
      </c>
      <c r="AV211" s="30" t="s">
        <v>461</v>
      </c>
    </row>
    <row r="212" spans="1:48" x14ac:dyDescent="0.3">
      <c r="A212" s="5" t="s">
        <v>150</v>
      </c>
      <c r="B212" s="5" t="s">
        <v>54</v>
      </c>
      <c r="C212" s="5" t="s">
        <v>1049</v>
      </c>
      <c r="D212" s="5" t="s">
        <v>32</v>
      </c>
      <c r="E212" s="6" t="s">
        <v>33</v>
      </c>
      <c r="F212" s="7">
        <v>88</v>
      </c>
      <c r="G212" s="5" t="s">
        <v>950</v>
      </c>
      <c r="H212" s="5" t="s">
        <v>1475</v>
      </c>
      <c r="I212" s="5" t="s">
        <v>1476</v>
      </c>
      <c r="J212" s="5" t="s">
        <v>34</v>
      </c>
      <c r="K212" s="5" t="s">
        <v>60</v>
      </c>
      <c r="L212" s="5" t="s">
        <v>209</v>
      </c>
      <c r="M212" s="5" t="s">
        <v>39</v>
      </c>
      <c r="N212" s="5"/>
      <c r="O212" s="6"/>
      <c r="P212" s="5" t="s">
        <v>96</v>
      </c>
      <c r="Q212" s="5" t="s">
        <v>64</v>
      </c>
      <c r="R212" s="5" t="s">
        <v>145</v>
      </c>
      <c r="S212" s="5" t="s">
        <v>1477</v>
      </c>
      <c r="T212" s="5" t="s">
        <v>1478</v>
      </c>
      <c r="U212" s="5" t="s">
        <v>1479</v>
      </c>
      <c r="V212" s="8">
        <v>26</v>
      </c>
      <c r="W212" s="9">
        <v>51494</v>
      </c>
      <c r="X212" s="5"/>
      <c r="Y212" s="10">
        <v>100</v>
      </c>
      <c r="Z212" s="10">
        <v>18.18</v>
      </c>
      <c r="AA212" s="10">
        <v>18.18</v>
      </c>
      <c r="AB212" s="10">
        <v>39660</v>
      </c>
      <c r="AC212" s="10">
        <v>2416</v>
      </c>
      <c r="AD212" s="10">
        <v>0</v>
      </c>
      <c r="AE212" s="11">
        <v>42076</v>
      </c>
      <c r="AF212" s="12" t="s">
        <v>62</v>
      </c>
      <c r="AG212" s="14" t="s">
        <v>245</v>
      </c>
      <c r="AH212" s="14" t="s">
        <v>65</v>
      </c>
      <c r="AI212" s="14" t="s">
        <v>36</v>
      </c>
      <c r="AJ212" s="14">
        <v>60000</v>
      </c>
      <c r="AK212" s="14">
        <v>55000</v>
      </c>
      <c r="AL212" s="13">
        <v>30</v>
      </c>
      <c r="AM212" s="13">
        <v>27</v>
      </c>
      <c r="AN212" s="14" t="s">
        <v>205</v>
      </c>
      <c r="AO212" s="14" t="s">
        <v>206</v>
      </c>
      <c r="AP212" s="14" t="s">
        <v>37</v>
      </c>
      <c r="AQ212" s="20">
        <v>202605</v>
      </c>
      <c r="AR212" s="20" t="s">
        <v>152</v>
      </c>
      <c r="AS212" s="14" t="s">
        <v>249</v>
      </c>
      <c r="AT212" s="14" t="s">
        <v>249</v>
      </c>
      <c r="AU212" s="30" t="s">
        <v>309</v>
      </c>
      <c r="AV212" s="30" t="s">
        <v>461</v>
      </c>
    </row>
    <row r="213" spans="1:48" x14ac:dyDescent="0.3">
      <c r="A213" s="5" t="s">
        <v>150</v>
      </c>
      <c r="B213" s="5" t="s">
        <v>54</v>
      </c>
      <c r="C213" s="5" t="s">
        <v>1049</v>
      </c>
      <c r="D213" s="5" t="s">
        <v>32</v>
      </c>
      <c r="E213" s="6" t="s">
        <v>33</v>
      </c>
      <c r="F213" s="7">
        <v>89</v>
      </c>
      <c r="G213" s="5" t="s">
        <v>950</v>
      </c>
      <c r="H213" s="5" t="s">
        <v>1480</v>
      </c>
      <c r="I213" s="5" t="s">
        <v>1481</v>
      </c>
      <c r="J213" s="5" t="s">
        <v>34</v>
      </c>
      <c r="K213" s="5" t="s">
        <v>60</v>
      </c>
      <c r="L213" s="5" t="s">
        <v>209</v>
      </c>
      <c r="M213" s="5" t="s">
        <v>39</v>
      </c>
      <c r="N213" s="5"/>
      <c r="O213" s="6"/>
      <c r="P213" s="5" t="s">
        <v>96</v>
      </c>
      <c r="Q213" s="5" t="s">
        <v>64</v>
      </c>
      <c r="R213" s="5" t="s">
        <v>145</v>
      </c>
      <c r="S213" s="5" t="s">
        <v>1482</v>
      </c>
      <c r="T213" s="5" t="s">
        <v>1464</v>
      </c>
      <c r="U213" s="5" t="s">
        <v>1483</v>
      </c>
      <c r="V213" s="8">
        <v>21</v>
      </c>
      <c r="W213" s="9">
        <v>69583</v>
      </c>
      <c r="X213" s="5"/>
      <c r="Y213" s="10">
        <v>100</v>
      </c>
      <c r="Z213" s="10">
        <v>18.18</v>
      </c>
      <c r="AA213" s="10">
        <v>18.18</v>
      </c>
      <c r="AB213" s="10">
        <v>39660</v>
      </c>
      <c r="AC213" s="10">
        <v>2416</v>
      </c>
      <c r="AD213" s="10">
        <v>0</v>
      </c>
      <c r="AE213" s="11">
        <v>42076</v>
      </c>
      <c r="AF213" s="12" t="s">
        <v>62</v>
      </c>
      <c r="AG213" s="14" t="s">
        <v>193</v>
      </c>
      <c r="AH213" s="14" t="s">
        <v>65</v>
      </c>
      <c r="AI213" s="14" t="s">
        <v>36</v>
      </c>
      <c r="AJ213" s="14">
        <v>70000</v>
      </c>
      <c r="AK213" s="14">
        <v>70000</v>
      </c>
      <c r="AL213" s="13">
        <v>24</v>
      </c>
      <c r="AM213" s="13">
        <v>24</v>
      </c>
      <c r="AN213" s="14" t="s">
        <v>205</v>
      </c>
      <c r="AO213" s="14" t="s">
        <v>206</v>
      </c>
      <c r="AP213" s="14" t="s">
        <v>37</v>
      </c>
      <c r="AQ213" s="20">
        <v>202605</v>
      </c>
      <c r="AR213" s="20" t="s">
        <v>152</v>
      </c>
      <c r="AS213" s="14" t="s">
        <v>249</v>
      </c>
      <c r="AT213" s="14" t="s">
        <v>249</v>
      </c>
      <c r="AU213" s="30" t="s">
        <v>309</v>
      </c>
      <c r="AV213" s="30" t="s">
        <v>461</v>
      </c>
    </row>
    <row r="214" spans="1:48" x14ac:dyDescent="0.3">
      <c r="A214" s="5" t="s">
        <v>150</v>
      </c>
      <c r="B214" s="5" t="s">
        <v>54</v>
      </c>
      <c r="C214" s="5" t="s">
        <v>1049</v>
      </c>
      <c r="D214" s="5" t="s">
        <v>32</v>
      </c>
      <c r="E214" s="6" t="s">
        <v>33</v>
      </c>
      <c r="F214" s="7">
        <v>90</v>
      </c>
      <c r="G214" s="5" t="s">
        <v>950</v>
      </c>
      <c r="H214" s="5" t="s">
        <v>1484</v>
      </c>
      <c r="I214" s="5" t="s">
        <v>1485</v>
      </c>
      <c r="J214" s="5" t="s">
        <v>34</v>
      </c>
      <c r="K214" s="5" t="s">
        <v>60</v>
      </c>
      <c r="L214" s="5" t="s">
        <v>209</v>
      </c>
      <c r="M214" s="5" t="s">
        <v>39</v>
      </c>
      <c r="N214" s="5"/>
      <c r="O214" s="6"/>
      <c r="P214" s="5" t="s">
        <v>96</v>
      </c>
      <c r="Q214" s="5" t="s">
        <v>320</v>
      </c>
      <c r="R214" s="5" t="s">
        <v>145</v>
      </c>
      <c r="S214" s="5" t="s">
        <v>1486</v>
      </c>
      <c r="T214" s="5" t="s">
        <v>1464</v>
      </c>
      <c r="U214" s="5" t="s">
        <v>1487</v>
      </c>
      <c r="V214" s="8">
        <v>21</v>
      </c>
      <c r="W214" s="9">
        <v>43492</v>
      </c>
      <c r="X214" s="5"/>
      <c r="Y214" s="10">
        <v>100</v>
      </c>
      <c r="Z214" s="10">
        <v>18.18</v>
      </c>
      <c r="AA214" s="10">
        <v>18.18</v>
      </c>
      <c r="AB214" s="10">
        <v>39660</v>
      </c>
      <c r="AC214" s="10">
        <v>2416</v>
      </c>
      <c r="AD214" s="10">
        <v>0</v>
      </c>
      <c r="AE214" s="11">
        <v>42076</v>
      </c>
      <c r="AF214" s="12" t="s">
        <v>62</v>
      </c>
      <c r="AG214" s="14" t="s">
        <v>193</v>
      </c>
      <c r="AH214" s="14" t="s">
        <v>322</v>
      </c>
      <c r="AI214" s="14" t="s">
        <v>36</v>
      </c>
      <c r="AJ214" s="14">
        <v>50000</v>
      </c>
      <c r="AK214" s="14">
        <v>45000</v>
      </c>
      <c r="AL214" s="13">
        <v>24</v>
      </c>
      <c r="AM214" s="13">
        <v>24</v>
      </c>
      <c r="AN214" s="14" t="s">
        <v>205</v>
      </c>
      <c r="AO214" s="14" t="s">
        <v>206</v>
      </c>
      <c r="AP214" s="14" t="s">
        <v>37</v>
      </c>
      <c r="AQ214" s="20">
        <v>202605</v>
      </c>
      <c r="AR214" s="20" t="s">
        <v>152</v>
      </c>
      <c r="AS214" s="14" t="s">
        <v>249</v>
      </c>
      <c r="AT214" s="14" t="s">
        <v>249</v>
      </c>
      <c r="AU214" s="30" t="s">
        <v>309</v>
      </c>
      <c r="AV214" s="30" t="s">
        <v>461</v>
      </c>
    </row>
    <row r="215" spans="1:48" x14ac:dyDescent="0.3">
      <c r="A215" s="5" t="s">
        <v>150</v>
      </c>
      <c r="B215" s="5" t="s">
        <v>54</v>
      </c>
      <c r="C215" s="5" t="s">
        <v>1049</v>
      </c>
      <c r="D215" s="5" t="s">
        <v>32</v>
      </c>
      <c r="E215" s="6" t="s">
        <v>33</v>
      </c>
      <c r="F215" s="7">
        <v>91</v>
      </c>
      <c r="G215" s="5" t="s">
        <v>950</v>
      </c>
      <c r="H215" s="5" t="s">
        <v>1488</v>
      </c>
      <c r="I215" s="5" t="s">
        <v>1489</v>
      </c>
      <c r="J215" s="5" t="s">
        <v>34</v>
      </c>
      <c r="K215" s="5" t="s">
        <v>60</v>
      </c>
      <c r="L215" s="5" t="s">
        <v>209</v>
      </c>
      <c r="M215" s="5" t="s">
        <v>39</v>
      </c>
      <c r="N215" s="5"/>
      <c r="O215" s="6"/>
      <c r="P215" s="5" t="s">
        <v>96</v>
      </c>
      <c r="Q215" s="5" t="s">
        <v>64</v>
      </c>
      <c r="R215" s="5" t="s">
        <v>145</v>
      </c>
      <c r="S215" s="5" t="s">
        <v>1490</v>
      </c>
      <c r="T215" s="5" t="s">
        <v>1491</v>
      </c>
      <c r="U215" s="5" t="s">
        <v>1492</v>
      </c>
      <c r="V215" s="8">
        <v>17</v>
      </c>
      <c r="W215" s="9">
        <v>70085</v>
      </c>
      <c r="X215" s="5"/>
      <c r="Y215" s="10">
        <v>100</v>
      </c>
      <c r="Z215" s="10">
        <v>18.18</v>
      </c>
      <c r="AA215" s="10">
        <v>18.18</v>
      </c>
      <c r="AB215" s="10">
        <v>39660</v>
      </c>
      <c r="AC215" s="10">
        <v>2416</v>
      </c>
      <c r="AD215" s="10">
        <v>0</v>
      </c>
      <c r="AE215" s="11">
        <v>42076</v>
      </c>
      <c r="AF215" s="12" t="s">
        <v>62</v>
      </c>
      <c r="AG215" s="14" t="s">
        <v>1250</v>
      </c>
      <c r="AH215" s="14" t="s">
        <v>65</v>
      </c>
      <c r="AI215" s="14" t="s">
        <v>36</v>
      </c>
      <c r="AJ215" s="14">
        <v>80000</v>
      </c>
      <c r="AK215" s="14">
        <v>75000</v>
      </c>
      <c r="AL215" s="13">
        <v>18</v>
      </c>
      <c r="AM215" s="13">
        <v>18</v>
      </c>
      <c r="AN215" s="14" t="s">
        <v>205</v>
      </c>
      <c r="AO215" s="14" t="s">
        <v>206</v>
      </c>
      <c r="AP215" s="14" t="s">
        <v>37</v>
      </c>
      <c r="AQ215" s="20">
        <v>202605</v>
      </c>
      <c r="AR215" s="20" t="s">
        <v>152</v>
      </c>
      <c r="AS215" s="14" t="s">
        <v>249</v>
      </c>
      <c r="AT215" s="14" t="s">
        <v>249</v>
      </c>
      <c r="AU215" s="30" t="s">
        <v>309</v>
      </c>
      <c r="AV215" s="30" t="s">
        <v>461</v>
      </c>
    </row>
    <row r="216" spans="1:48" x14ac:dyDescent="0.3">
      <c r="A216" s="5" t="s">
        <v>150</v>
      </c>
      <c r="B216" s="5" t="s">
        <v>54</v>
      </c>
      <c r="C216" s="5" t="s">
        <v>1049</v>
      </c>
      <c r="D216" s="5" t="s">
        <v>32</v>
      </c>
      <c r="E216" s="6" t="s">
        <v>33</v>
      </c>
      <c r="F216" s="7">
        <v>92</v>
      </c>
      <c r="G216" s="5" t="s">
        <v>950</v>
      </c>
      <c r="H216" s="5" t="s">
        <v>1493</v>
      </c>
      <c r="I216" s="5" t="s">
        <v>1494</v>
      </c>
      <c r="J216" s="5" t="s">
        <v>34</v>
      </c>
      <c r="K216" s="5" t="s">
        <v>98</v>
      </c>
      <c r="L216" s="5" t="s">
        <v>209</v>
      </c>
      <c r="M216" s="5" t="s">
        <v>39</v>
      </c>
      <c r="N216" s="5"/>
      <c r="O216" s="6"/>
      <c r="P216" s="5" t="s">
        <v>96</v>
      </c>
      <c r="Q216" s="5" t="s">
        <v>64</v>
      </c>
      <c r="R216" s="5" t="s">
        <v>145</v>
      </c>
      <c r="S216" s="5" t="s">
        <v>1495</v>
      </c>
      <c r="T216" s="5" t="s">
        <v>1496</v>
      </c>
      <c r="U216" s="5" t="s">
        <v>1497</v>
      </c>
      <c r="V216" s="8">
        <v>56</v>
      </c>
      <c r="W216" s="9">
        <v>80335</v>
      </c>
      <c r="X216" s="5"/>
      <c r="Y216" s="10">
        <v>100</v>
      </c>
      <c r="Z216" s="10">
        <v>18.18</v>
      </c>
      <c r="AA216" s="10">
        <v>18.18</v>
      </c>
      <c r="AB216" s="10">
        <v>39660</v>
      </c>
      <c r="AC216" s="10">
        <v>3488</v>
      </c>
      <c r="AD216" s="10">
        <v>0</v>
      </c>
      <c r="AE216" s="11">
        <v>43148</v>
      </c>
      <c r="AF216" s="12" t="s">
        <v>100</v>
      </c>
      <c r="AG216" s="14" t="s">
        <v>285</v>
      </c>
      <c r="AH216" s="14" t="s">
        <v>65</v>
      </c>
      <c r="AI216" s="14" t="s">
        <v>36</v>
      </c>
      <c r="AJ216" s="14">
        <v>90000</v>
      </c>
      <c r="AK216" s="14">
        <v>85000</v>
      </c>
      <c r="AL216" s="13">
        <v>60</v>
      </c>
      <c r="AM216" s="13">
        <v>57</v>
      </c>
      <c r="AN216" s="14" t="s">
        <v>205</v>
      </c>
      <c r="AO216" s="14" t="s">
        <v>206</v>
      </c>
      <c r="AP216" s="14" t="s">
        <v>37</v>
      </c>
      <c r="AQ216" s="20">
        <v>202605</v>
      </c>
      <c r="AR216" s="20" t="s">
        <v>152</v>
      </c>
      <c r="AS216" s="14" t="s">
        <v>249</v>
      </c>
      <c r="AT216" s="14" t="s">
        <v>249</v>
      </c>
      <c r="AU216" s="30" t="s">
        <v>309</v>
      </c>
      <c r="AV216" s="30" t="s">
        <v>461</v>
      </c>
    </row>
    <row r="217" spans="1:48" x14ac:dyDescent="0.3">
      <c r="A217" s="5" t="s">
        <v>150</v>
      </c>
      <c r="B217" s="5" t="s">
        <v>54</v>
      </c>
      <c r="C217" s="5" t="s">
        <v>1049</v>
      </c>
      <c r="D217" s="5" t="s">
        <v>32</v>
      </c>
      <c r="E217" s="6" t="s">
        <v>33</v>
      </c>
      <c r="F217" s="7">
        <v>93</v>
      </c>
      <c r="G217" s="5" t="s">
        <v>950</v>
      </c>
      <c r="H217" s="5" t="s">
        <v>1498</v>
      </c>
      <c r="I217" s="5" t="s">
        <v>1499</v>
      </c>
      <c r="J217" s="5" t="s">
        <v>34</v>
      </c>
      <c r="K217" s="5" t="s">
        <v>98</v>
      </c>
      <c r="L217" s="5" t="s">
        <v>209</v>
      </c>
      <c r="M217" s="5" t="s">
        <v>39</v>
      </c>
      <c r="N217" s="5"/>
      <c r="O217" s="6"/>
      <c r="P217" s="5" t="s">
        <v>96</v>
      </c>
      <c r="Q217" s="5" t="s">
        <v>64</v>
      </c>
      <c r="R217" s="5" t="s">
        <v>145</v>
      </c>
      <c r="S217" s="5" t="s">
        <v>1500</v>
      </c>
      <c r="T217" s="5" t="s">
        <v>1501</v>
      </c>
      <c r="U217" s="5" t="s">
        <v>1502</v>
      </c>
      <c r="V217" s="8">
        <v>52</v>
      </c>
      <c r="W217" s="9">
        <v>79514</v>
      </c>
      <c r="X217" s="5"/>
      <c r="Y217" s="10">
        <v>100</v>
      </c>
      <c r="Z217" s="10">
        <v>18.18</v>
      </c>
      <c r="AA217" s="10">
        <v>18.18</v>
      </c>
      <c r="AB217" s="10">
        <v>39660</v>
      </c>
      <c r="AC217" s="10">
        <v>3488</v>
      </c>
      <c r="AD217" s="10">
        <v>0</v>
      </c>
      <c r="AE217" s="11">
        <v>43148</v>
      </c>
      <c r="AF217" s="12" t="s">
        <v>100</v>
      </c>
      <c r="AG217" s="14" t="s">
        <v>212</v>
      </c>
      <c r="AH217" s="14" t="s">
        <v>65</v>
      </c>
      <c r="AI217" s="14" t="s">
        <v>36</v>
      </c>
      <c r="AJ217" s="14">
        <v>80000</v>
      </c>
      <c r="AK217" s="14">
        <v>80000</v>
      </c>
      <c r="AL217" s="13">
        <v>54</v>
      </c>
      <c r="AM217" s="13">
        <v>54</v>
      </c>
      <c r="AN217" s="14" t="s">
        <v>205</v>
      </c>
      <c r="AO217" s="14" t="s">
        <v>206</v>
      </c>
      <c r="AP217" s="14" t="s">
        <v>37</v>
      </c>
      <c r="AQ217" s="20">
        <v>202605</v>
      </c>
      <c r="AR217" s="20" t="s">
        <v>152</v>
      </c>
      <c r="AS217" s="14" t="s">
        <v>249</v>
      </c>
      <c r="AT217" s="14" t="s">
        <v>249</v>
      </c>
      <c r="AU217" s="30" t="s">
        <v>309</v>
      </c>
      <c r="AV217" s="30" t="s">
        <v>461</v>
      </c>
    </row>
    <row r="218" spans="1:48" x14ac:dyDescent="0.3">
      <c r="A218" s="5" t="s">
        <v>150</v>
      </c>
      <c r="B218" s="5" t="s">
        <v>54</v>
      </c>
      <c r="C218" s="5" t="s">
        <v>1049</v>
      </c>
      <c r="D218" s="5" t="s">
        <v>32</v>
      </c>
      <c r="E218" s="6" t="s">
        <v>33</v>
      </c>
      <c r="F218" s="7">
        <v>94</v>
      </c>
      <c r="G218" s="5" t="s">
        <v>950</v>
      </c>
      <c r="H218" s="5" t="s">
        <v>1503</v>
      </c>
      <c r="I218" s="5" t="s">
        <v>1504</v>
      </c>
      <c r="J218" s="5" t="s">
        <v>34</v>
      </c>
      <c r="K218" s="5" t="s">
        <v>98</v>
      </c>
      <c r="L218" s="5" t="s">
        <v>209</v>
      </c>
      <c r="M218" s="5" t="s">
        <v>39</v>
      </c>
      <c r="N218" s="5"/>
      <c r="O218" s="6"/>
      <c r="P218" s="5" t="s">
        <v>96</v>
      </c>
      <c r="Q218" s="5" t="s">
        <v>64</v>
      </c>
      <c r="R218" s="5" t="s">
        <v>145</v>
      </c>
      <c r="S218" s="5" t="s">
        <v>1505</v>
      </c>
      <c r="T218" s="5" t="s">
        <v>1455</v>
      </c>
      <c r="U218" s="5" t="s">
        <v>1506</v>
      </c>
      <c r="V218" s="8">
        <v>60</v>
      </c>
      <c r="W218" s="9">
        <v>55516</v>
      </c>
      <c r="X218" s="5"/>
      <c r="Y218" s="10">
        <v>100</v>
      </c>
      <c r="Z218" s="10">
        <v>18.18</v>
      </c>
      <c r="AA218" s="10">
        <v>18.18</v>
      </c>
      <c r="AB218" s="10">
        <v>39660</v>
      </c>
      <c r="AC218" s="10">
        <v>3488</v>
      </c>
      <c r="AD218" s="10">
        <v>0</v>
      </c>
      <c r="AE218" s="11">
        <v>43148</v>
      </c>
      <c r="AF218" s="12" t="s">
        <v>100</v>
      </c>
      <c r="AG218" s="14" t="s">
        <v>212</v>
      </c>
      <c r="AH218" s="14" t="s">
        <v>65</v>
      </c>
      <c r="AI218" s="14" t="s">
        <v>36</v>
      </c>
      <c r="AJ218" s="14">
        <v>60000</v>
      </c>
      <c r="AK218" s="14">
        <v>60000</v>
      </c>
      <c r="AL218" s="13" t="s">
        <v>123</v>
      </c>
      <c r="AM218" s="13" t="s">
        <v>123</v>
      </c>
      <c r="AN218" s="14" t="s">
        <v>205</v>
      </c>
      <c r="AO218" s="14" t="s">
        <v>206</v>
      </c>
      <c r="AP218" s="14" t="s">
        <v>37</v>
      </c>
      <c r="AQ218" s="20">
        <v>202605</v>
      </c>
      <c r="AR218" s="20" t="s">
        <v>152</v>
      </c>
      <c r="AS218" s="14" t="s">
        <v>249</v>
      </c>
      <c r="AT218" s="14" t="s">
        <v>249</v>
      </c>
      <c r="AU218" s="30" t="s">
        <v>309</v>
      </c>
      <c r="AV218" s="30" t="s">
        <v>461</v>
      </c>
    </row>
    <row r="219" spans="1:48" x14ac:dyDescent="0.3">
      <c r="A219" s="5" t="s">
        <v>150</v>
      </c>
      <c r="B219" s="5" t="s">
        <v>54</v>
      </c>
      <c r="C219" s="5" t="s">
        <v>1049</v>
      </c>
      <c r="D219" s="5" t="s">
        <v>32</v>
      </c>
      <c r="E219" s="6" t="s">
        <v>33</v>
      </c>
      <c r="F219" s="7">
        <v>95</v>
      </c>
      <c r="G219" s="5" t="s">
        <v>950</v>
      </c>
      <c r="H219" s="5" t="s">
        <v>1507</v>
      </c>
      <c r="I219" s="5" t="s">
        <v>1508</v>
      </c>
      <c r="J219" s="5" t="s">
        <v>34</v>
      </c>
      <c r="K219" s="5" t="s">
        <v>98</v>
      </c>
      <c r="L219" s="5" t="s">
        <v>209</v>
      </c>
      <c r="M219" s="5" t="s">
        <v>39</v>
      </c>
      <c r="N219" s="5"/>
      <c r="O219" s="6"/>
      <c r="P219" s="5" t="s">
        <v>96</v>
      </c>
      <c r="Q219" s="5" t="s">
        <v>64</v>
      </c>
      <c r="R219" s="5" t="s">
        <v>145</v>
      </c>
      <c r="S219" s="5" t="s">
        <v>1509</v>
      </c>
      <c r="T219" s="5" t="s">
        <v>1415</v>
      </c>
      <c r="U219" s="5" t="s">
        <v>1510</v>
      </c>
      <c r="V219" s="8">
        <v>56</v>
      </c>
      <c r="W219" s="9">
        <v>75279</v>
      </c>
      <c r="X219" s="5"/>
      <c r="Y219" s="10">
        <v>100</v>
      </c>
      <c r="Z219" s="10">
        <v>18.18</v>
      </c>
      <c r="AA219" s="10">
        <v>18.18</v>
      </c>
      <c r="AB219" s="10">
        <v>39660</v>
      </c>
      <c r="AC219" s="10">
        <v>3488</v>
      </c>
      <c r="AD219" s="10">
        <v>0</v>
      </c>
      <c r="AE219" s="11">
        <v>43148</v>
      </c>
      <c r="AF219" s="12" t="s">
        <v>100</v>
      </c>
      <c r="AG219" s="14" t="s">
        <v>212</v>
      </c>
      <c r="AH219" s="14" t="s">
        <v>65</v>
      </c>
      <c r="AI219" s="14" t="s">
        <v>36</v>
      </c>
      <c r="AJ219" s="14">
        <v>80000</v>
      </c>
      <c r="AK219" s="14">
        <v>80000</v>
      </c>
      <c r="AL219" s="13">
        <v>60</v>
      </c>
      <c r="AM219" s="13">
        <v>57</v>
      </c>
      <c r="AN219" s="14" t="s">
        <v>205</v>
      </c>
      <c r="AO219" s="14" t="s">
        <v>206</v>
      </c>
      <c r="AP219" s="14" t="s">
        <v>37</v>
      </c>
      <c r="AQ219" s="20">
        <v>202605</v>
      </c>
      <c r="AR219" s="20" t="s">
        <v>152</v>
      </c>
      <c r="AS219" s="14" t="s">
        <v>249</v>
      </c>
      <c r="AT219" s="14" t="s">
        <v>249</v>
      </c>
      <c r="AU219" s="30" t="s">
        <v>309</v>
      </c>
      <c r="AV219" s="30" t="s">
        <v>461</v>
      </c>
    </row>
    <row r="220" spans="1:48" x14ac:dyDescent="0.3">
      <c r="A220" s="5" t="s">
        <v>150</v>
      </c>
      <c r="B220" s="5" t="s">
        <v>54</v>
      </c>
      <c r="C220" s="5" t="s">
        <v>1049</v>
      </c>
      <c r="D220" s="5" t="s">
        <v>32</v>
      </c>
      <c r="E220" s="6" t="s">
        <v>33</v>
      </c>
      <c r="F220" s="7">
        <v>96</v>
      </c>
      <c r="G220" s="5" t="s">
        <v>950</v>
      </c>
      <c r="H220" s="5" t="s">
        <v>1511</v>
      </c>
      <c r="I220" s="5" t="s">
        <v>1512</v>
      </c>
      <c r="J220" s="5" t="s">
        <v>34</v>
      </c>
      <c r="K220" s="5" t="s">
        <v>98</v>
      </c>
      <c r="L220" s="5" t="s">
        <v>209</v>
      </c>
      <c r="M220" s="5" t="s">
        <v>39</v>
      </c>
      <c r="N220" s="5"/>
      <c r="O220" s="6"/>
      <c r="P220" s="5" t="s">
        <v>96</v>
      </c>
      <c r="Q220" s="5" t="s">
        <v>64</v>
      </c>
      <c r="R220" s="5" t="s">
        <v>144</v>
      </c>
      <c r="S220" s="5" t="s">
        <v>1513</v>
      </c>
      <c r="T220" s="5" t="s">
        <v>301</v>
      </c>
      <c r="U220" s="5" t="s">
        <v>1514</v>
      </c>
      <c r="V220" s="8">
        <v>55</v>
      </c>
      <c r="W220" s="9">
        <v>84091</v>
      </c>
      <c r="X220" s="5"/>
      <c r="Y220" s="10">
        <v>100</v>
      </c>
      <c r="Z220" s="10">
        <v>18.18</v>
      </c>
      <c r="AA220" s="10">
        <v>18.18</v>
      </c>
      <c r="AB220" s="10">
        <v>39660</v>
      </c>
      <c r="AC220" s="10">
        <v>3488</v>
      </c>
      <c r="AD220" s="10">
        <v>0</v>
      </c>
      <c r="AE220" s="11">
        <v>43148</v>
      </c>
      <c r="AF220" s="12" t="s">
        <v>100</v>
      </c>
      <c r="AG220" s="14" t="s">
        <v>149</v>
      </c>
      <c r="AH220" s="14" t="s">
        <v>65</v>
      </c>
      <c r="AI220" s="14" t="s">
        <v>36</v>
      </c>
      <c r="AJ220" s="14">
        <v>90000</v>
      </c>
      <c r="AK220" s="14">
        <v>85000</v>
      </c>
      <c r="AL220" s="13">
        <v>60</v>
      </c>
      <c r="AM220" s="13">
        <v>57</v>
      </c>
      <c r="AN220" s="14" t="s">
        <v>205</v>
      </c>
      <c r="AO220" s="14" t="s">
        <v>206</v>
      </c>
      <c r="AP220" s="14" t="s">
        <v>37</v>
      </c>
      <c r="AQ220" s="20">
        <v>202605</v>
      </c>
      <c r="AR220" s="20" t="s">
        <v>152</v>
      </c>
      <c r="AS220" s="14" t="s">
        <v>249</v>
      </c>
      <c r="AT220" s="14" t="s">
        <v>249</v>
      </c>
      <c r="AU220" s="30" t="s">
        <v>309</v>
      </c>
      <c r="AV220" s="30" t="s">
        <v>461</v>
      </c>
    </row>
    <row r="221" spans="1:48" x14ac:dyDescent="0.3">
      <c r="A221" s="5" t="s">
        <v>150</v>
      </c>
      <c r="B221" s="5" t="s">
        <v>54</v>
      </c>
      <c r="C221" s="5" t="s">
        <v>1049</v>
      </c>
      <c r="D221" s="5" t="s">
        <v>32</v>
      </c>
      <c r="E221" s="6" t="s">
        <v>33</v>
      </c>
      <c r="F221" s="7">
        <v>97</v>
      </c>
      <c r="G221" s="5" t="s">
        <v>950</v>
      </c>
      <c r="H221" s="5" t="s">
        <v>1515</v>
      </c>
      <c r="I221" s="5" t="s">
        <v>1516</v>
      </c>
      <c r="J221" s="5" t="s">
        <v>34</v>
      </c>
      <c r="K221" s="5" t="s">
        <v>98</v>
      </c>
      <c r="L221" s="5" t="s">
        <v>209</v>
      </c>
      <c r="M221" s="5" t="s">
        <v>39</v>
      </c>
      <c r="N221" s="5"/>
      <c r="O221" s="6"/>
      <c r="P221" s="5" t="s">
        <v>96</v>
      </c>
      <c r="Q221" s="5" t="s">
        <v>64</v>
      </c>
      <c r="R221" s="5" t="s">
        <v>145</v>
      </c>
      <c r="S221" s="5" t="s">
        <v>1517</v>
      </c>
      <c r="T221" s="5" t="s">
        <v>1518</v>
      </c>
      <c r="U221" s="5" t="s">
        <v>300</v>
      </c>
      <c r="V221" s="8">
        <v>44</v>
      </c>
      <c r="W221" s="9">
        <v>90770</v>
      </c>
      <c r="X221" s="5"/>
      <c r="Y221" s="10">
        <v>100</v>
      </c>
      <c r="Z221" s="10">
        <v>18.18</v>
      </c>
      <c r="AA221" s="10">
        <v>18.18</v>
      </c>
      <c r="AB221" s="10">
        <v>39660</v>
      </c>
      <c r="AC221" s="10">
        <v>3488</v>
      </c>
      <c r="AD221" s="10">
        <v>0</v>
      </c>
      <c r="AE221" s="11">
        <v>43148</v>
      </c>
      <c r="AF221" s="12" t="s">
        <v>100</v>
      </c>
      <c r="AG221" s="14" t="s">
        <v>211</v>
      </c>
      <c r="AH221" s="14" t="s">
        <v>65</v>
      </c>
      <c r="AI221" s="14" t="s">
        <v>36</v>
      </c>
      <c r="AJ221" s="14">
        <v>100000</v>
      </c>
      <c r="AK221" s="14">
        <v>95000</v>
      </c>
      <c r="AL221" s="13">
        <v>48</v>
      </c>
      <c r="AM221" s="13">
        <v>45</v>
      </c>
      <c r="AN221" s="14" t="s">
        <v>205</v>
      </c>
      <c r="AO221" s="14" t="s">
        <v>206</v>
      </c>
      <c r="AP221" s="14" t="s">
        <v>37</v>
      </c>
      <c r="AQ221" s="20">
        <v>202605</v>
      </c>
      <c r="AR221" s="20" t="s">
        <v>152</v>
      </c>
      <c r="AS221" s="14" t="s">
        <v>249</v>
      </c>
      <c r="AT221" s="14" t="s">
        <v>249</v>
      </c>
      <c r="AU221" s="30" t="s">
        <v>309</v>
      </c>
      <c r="AV221" s="30" t="s">
        <v>461</v>
      </c>
    </row>
    <row r="222" spans="1:48" x14ac:dyDescent="0.3">
      <c r="A222" s="5" t="s">
        <v>150</v>
      </c>
      <c r="B222" s="5" t="s">
        <v>54</v>
      </c>
      <c r="C222" s="5" t="s">
        <v>1049</v>
      </c>
      <c r="D222" s="5" t="s">
        <v>32</v>
      </c>
      <c r="E222" s="6" t="s">
        <v>33</v>
      </c>
      <c r="F222" s="7">
        <v>98</v>
      </c>
      <c r="G222" s="5" t="s">
        <v>950</v>
      </c>
      <c r="H222" s="5" t="s">
        <v>1519</v>
      </c>
      <c r="I222" s="5" t="s">
        <v>1520</v>
      </c>
      <c r="J222" s="5" t="s">
        <v>34</v>
      </c>
      <c r="K222" s="5" t="s">
        <v>98</v>
      </c>
      <c r="L222" s="5" t="s">
        <v>209</v>
      </c>
      <c r="M222" s="5" t="s">
        <v>39</v>
      </c>
      <c r="N222" s="5"/>
      <c r="O222" s="6"/>
      <c r="P222" s="5" t="s">
        <v>96</v>
      </c>
      <c r="Q222" s="5" t="s">
        <v>64</v>
      </c>
      <c r="R222" s="5" t="s">
        <v>145</v>
      </c>
      <c r="S222" s="5" t="s">
        <v>429</v>
      </c>
      <c r="T222" s="5" t="s">
        <v>1521</v>
      </c>
      <c r="U222" s="5" t="s">
        <v>1522</v>
      </c>
      <c r="V222" s="8">
        <v>52</v>
      </c>
      <c r="W222" s="9">
        <v>98185</v>
      </c>
      <c r="X222" s="5"/>
      <c r="Y222" s="10">
        <v>100</v>
      </c>
      <c r="Z222" s="10">
        <v>18.18</v>
      </c>
      <c r="AA222" s="10">
        <v>18.18</v>
      </c>
      <c r="AB222" s="10">
        <v>39660</v>
      </c>
      <c r="AC222" s="10">
        <v>3488</v>
      </c>
      <c r="AD222" s="10">
        <v>0</v>
      </c>
      <c r="AE222" s="11">
        <v>43148</v>
      </c>
      <c r="AF222" s="12" t="s">
        <v>100</v>
      </c>
      <c r="AG222" s="14" t="s">
        <v>258</v>
      </c>
      <c r="AH222" s="14" t="s">
        <v>65</v>
      </c>
      <c r="AI222" s="14" t="s">
        <v>36</v>
      </c>
      <c r="AJ222" s="14">
        <v>100000</v>
      </c>
      <c r="AK222" s="14">
        <v>100000</v>
      </c>
      <c r="AL222" s="13">
        <v>54</v>
      </c>
      <c r="AM222" s="13">
        <v>54</v>
      </c>
      <c r="AN222" s="14" t="s">
        <v>205</v>
      </c>
      <c r="AO222" s="14" t="s">
        <v>206</v>
      </c>
      <c r="AP222" s="14" t="s">
        <v>37</v>
      </c>
      <c r="AQ222" s="20">
        <v>202605</v>
      </c>
      <c r="AR222" s="20" t="s">
        <v>152</v>
      </c>
      <c r="AS222" s="14" t="s">
        <v>249</v>
      </c>
      <c r="AT222" s="14" t="s">
        <v>249</v>
      </c>
      <c r="AU222" s="30" t="s">
        <v>309</v>
      </c>
      <c r="AV222" s="30" t="s">
        <v>461</v>
      </c>
    </row>
    <row r="223" spans="1:48" x14ac:dyDescent="0.3">
      <c r="A223" s="5" t="s">
        <v>150</v>
      </c>
      <c r="B223" s="5" t="s">
        <v>54</v>
      </c>
      <c r="C223" s="5" t="s">
        <v>1049</v>
      </c>
      <c r="D223" s="5" t="s">
        <v>32</v>
      </c>
      <c r="E223" s="6" t="s">
        <v>33</v>
      </c>
      <c r="F223" s="7">
        <v>99</v>
      </c>
      <c r="G223" s="5" t="s">
        <v>950</v>
      </c>
      <c r="H223" s="5" t="s">
        <v>1523</v>
      </c>
      <c r="I223" s="5" t="s">
        <v>1524</v>
      </c>
      <c r="J223" s="5" t="s">
        <v>34</v>
      </c>
      <c r="K223" s="5" t="s">
        <v>98</v>
      </c>
      <c r="L223" s="5" t="s">
        <v>209</v>
      </c>
      <c r="M223" s="5" t="s">
        <v>39</v>
      </c>
      <c r="N223" s="5"/>
      <c r="O223" s="6"/>
      <c r="P223" s="5" t="s">
        <v>96</v>
      </c>
      <c r="Q223" s="5" t="s">
        <v>64</v>
      </c>
      <c r="R223" s="5" t="s">
        <v>145</v>
      </c>
      <c r="S223" s="5" t="s">
        <v>1525</v>
      </c>
      <c r="T223" s="5" t="s">
        <v>1420</v>
      </c>
      <c r="U223" s="5" t="s">
        <v>1526</v>
      </c>
      <c r="V223" s="8">
        <v>48</v>
      </c>
      <c r="W223" s="9">
        <v>74613</v>
      </c>
      <c r="X223" s="5"/>
      <c r="Y223" s="10">
        <v>100</v>
      </c>
      <c r="Z223" s="10">
        <v>18.18</v>
      </c>
      <c r="AA223" s="10">
        <v>18.18</v>
      </c>
      <c r="AB223" s="10">
        <v>39660</v>
      </c>
      <c r="AC223" s="10">
        <v>3488</v>
      </c>
      <c r="AD223" s="10">
        <v>0</v>
      </c>
      <c r="AE223" s="11">
        <v>43148</v>
      </c>
      <c r="AF223" s="12" t="s">
        <v>100</v>
      </c>
      <c r="AG223" s="14" t="s">
        <v>175</v>
      </c>
      <c r="AH223" s="14" t="s">
        <v>65</v>
      </c>
      <c r="AI223" s="14" t="s">
        <v>36</v>
      </c>
      <c r="AJ223" s="14">
        <v>80000</v>
      </c>
      <c r="AK223" s="14">
        <v>75000</v>
      </c>
      <c r="AL223" s="13">
        <v>54</v>
      </c>
      <c r="AM223" s="13">
        <v>51</v>
      </c>
      <c r="AN223" s="14" t="s">
        <v>205</v>
      </c>
      <c r="AO223" s="14" t="s">
        <v>206</v>
      </c>
      <c r="AP223" s="14" t="s">
        <v>37</v>
      </c>
      <c r="AQ223" s="20">
        <v>202605</v>
      </c>
      <c r="AR223" s="20" t="s">
        <v>152</v>
      </c>
      <c r="AS223" s="14" t="s">
        <v>249</v>
      </c>
      <c r="AT223" s="14" t="s">
        <v>249</v>
      </c>
      <c r="AU223" s="30" t="s">
        <v>309</v>
      </c>
      <c r="AV223" s="30" t="s">
        <v>461</v>
      </c>
    </row>
    <row r="224" spans="1:48" x14ac:dyDescent="0.3">
      <c r="A224" s="5" t="s">
        <v>150</v>
      </c>
      <c r="B224" s="5" t="s">
        <v>54</v>
      </c>
      <c r="C224" s="5" t="s">
        <v>1049</v>
      </c>
      <c r="D224" s="5" t="s">
        <v>32</v>
      </c>
      <c r="E224" s="6" t="s">
        <v>33</v>
      </c>
      <c r="F224" s="7">
        <v>100</v>
      </c>
      <c r="G224" s="5" t="s">
        <v>950</v>
      </c>
      <c r="H224" s="5" t="s">
        <v>1527</v>
      </c>
      <c r="I224" s="5" t="s">
        <v>1528</v>
      </c>
      <c r="J224" s="5" t="s">
        <v>34</v>
      </c>
      <c r="K224" s="5" t="s">
        <v>98</v>
      </c>
      <c r="L224" s="5" t="s">
        <v>209</v>
      </c>
      <c r="M224" s="5" t="s">
        <v>39</v>
      </c>
      <c r="N224" s="5"/>
      <c r="O224" s="6"/>
      <c r="P224" s="5" t="s">
        <v>96</v>
      </c>
      <c r="Q224" s="5" t="s">
        <v>64</v>
      </c>
      <c r="R224" s="5" t="s">
        <v>145</v>
      </c>
      <c r="S224" s="5" t="s">
        <v>1529</v>
      </c>
      <c r="T224" s="5" t="s">
        <v>1530</v>
      </c>
      <c r="U224" s="5" t="s">
        <v>1531</v>
      </c>
      <c r="V224" s="8">
        <v>42</v>
      </c>
      <c r="W224" s="9">
        <v>86022</v>
      </c>
      <c r="X224" s="5"/>
      <c r="Y224" s="10">
        <v>100</v>
      </c>
      <c r="Z224" s="10">
        <v>18.18</v>
      </c>
      <c r="AA224" s="10">
        <v>18.18</v>
      </c>
      <c r="AB224" s="10">
        <v>39660</v>
      </c>
      <c r="AC224" s="10">
        <v>3488</v>
      </c>
      <c r="AD224" s="10">
        <v>0</v>
      </c>
      <c r="AE224" s="11">
        <v>43148</v>
      </c>
      <c r="AF224" s="12" t="s">
        <v>100</v>
      </c>
      <c r="AG224" s="14" t="s">
        <v>505</v>
      </c>
      <c r="AH224" s="14" t="s">
        <v>65</v>
      </c>
      <c r="AI224" s="14" t="s">
        <v>36</v>
      </c>
      <c r="AJ224" s="14">
        <v>90000</v>
      </c>
      <c r="AK224" s="14">
        <v>90000</v>
      </c>
      <c r="AL224" s="13">
        <v>48</v>
      </c>
      <c r="AM224" s="13">
        <v>45</v>
      </c>
      <c r="AN224" s="14" t="s">
        <v>205</v>
      </c>
      <c r="AO224" s="14" t="s">
        <v>206</v>
      </c>
      <c r="AP224" s="14" t="s">
        <v>37</v>
      </c>
      <c r="AQ224" s="20">
        <v>202605</v>
      </c>
      <c r="AR224" s="20" t="s">
        <v>152</v>
      </c>
      <c r="AS224" s="14" t="s">
        <v>249</v>
      </c>
      <c r="AT224" s="14" t="s">
        <v>249</v>
      </c>
      <c r="AU224" s="30" t="s">
        <v>309</v>
      </c>
      <c r="AV224" s="30" t="s">
        <v>461</v>
      </c>
    </row>
    <row r="225" spans="1:48" x14ac:dyDescent="0.3">
      <c r="A225" s="5" t="s">
        <v>150</v>
      </c>
      <c r="B225" s="5" t="s">
        <v>54</v>
      </c>
      <c r="C225" s="5" t="s">
        <v>1049</v>
      </c>
      <c r="D225" s="5" t="s">
        <v>32</v>
      </c>
      <c r="E225" s="6" t="s">
        <v>33</v>
      </c>
      <c r="F225" s="7">
        <v>101</v>
      </c>
      <c r="G225" s="5" t="s">
        <v>950</v>
      </c>
      <c r="H225" s="5" t="s">
        <v>1532</v>
      </c>
      <c r="I225" s="5" t="s">
        <v>1533</v>
      </c>
      <c r="J225" s="5" t="s">
        <v>34</v>
      </c>
      <c r="K225" s="5" t="s">
        <v>98</v>
      </c>
      <c r="L225" s="5" t="s">
        <v>209</v>
      </c>
      <c r="M225" s="5" t="s">
        <v>39</v>
      </c>
      <c r="N225" s="5"/>
      <c r="O225" s="6"/>
      <c r="P225" s="5" t="s">
        <v>96</v>
      </c>
      <c r="Q225" s="5" t="s">
        <v>64</v>
      </c>
      <c r="R225" s="5" t="s">
        <v>145</v>
      </c>
      <c r="S225" s="5" t="s">
        <v>430</v>
      </c>
      <c r="T225" s="5" t="s">
        <v>1534</v>
      </c>
      <c r="U225" s="5" t="s">
        <v>1535</v>
      </c>
      <c r="V225" s="8">
        <v>34</v>
      </c>
      <c r="W225" s="9">
        <v>90450</v>
      </c>
      <c r="X225" s="5"/>
      <c r="Y225" s="10">
        <v>100</v>
      </c>
      <c r="Z225" s="10">
        <v>18.18</v>
      </c>
      <c r="AA225" s="10">
        <v>18.18</v>
      </c>
      <c r="AB225" s="10">
        <v>39660</v>
      </c>
      <c r="AC225" s="10">
        <v>3488</v>
      </c>
      <c r="AD225" s="10">
        <v>0</v>
      </c>
      <c r="AE225" s="11">
        <v>43148</v>
      </c>
      <c r="AF225" s="12" t="s">
        <v>100</v>
      </c>
      <c r="AG225" s="14" t="s">
        <v>244</v>
      </c>
      <c r="AH225" s="14" t="s">
        <v>65</v>
      </c>
      <c r="AI225" s="14" t="s">
        <v>36</v>
      </c>
      <c r="AJ225" s="14">
        <v>100000</v>
      </c>
      <c r="AK225" s="14">
        <v>95000</v>
      </c>
      <c r="AL225" s="13">
        <v>36</v>
      </c>
      <c r="AM225" s="13">
        <v>36</v>
      </c>
      <c r="AN225" s="14" t="s">
        <v>205</v>
      </c>
      <c r="AO225" s="14" t="s">
        <v>206</v>
      </c>
      <c r="AP225" s="14" t="s">
        <v>37</v>
      </c>
      <c r="AQ225" s="20">
        <v>202605</v>
      </c>
      <c r="AR225" s="20" t="s">
        <v>152</v>
      </c>
      <c r="AS225" s="14" t="s">
        <v>249</v>
      </c>
      <c r="AT225" s="14" t="s">
        <v>249</v>
      </c>
      <c r="AU225" s="30" t="s">
        <v>309</v>
      </c>
      <c r="AV225" s="30" t="s">
        <v>461</v>
      </c>
    </row>
    <row r="226" spans="1:48" x14ac:dyDescent="0.3">
      <c r="A226" s="5" t="s">
        <v>150</v>
      </c>
      <c r="B226" s="5" t="s">
        <v>54</v>
      </c>
      <c r="C226" s="5" t="s">
        <v>1049</v>
      </c>
      <c r="D226" s="5" t="s">
        <v>32</v>
      </c>
      <c r="E226" s="6" t="s">
        <v>33</v>
      </c>
      <c r="F226" s="7">
        <v>102</v>
      </c>
      <c r="G226" s="5" t="s">
        <v>950</v>
      </c>
      <c r="H226" s="5" t="s">
        <v>1536</v>
      </c>
      <c r="I226" s="5" t="s">
        <v>1537</v>
      </c>
      <c r="J226" s="5" t="s">
        <v>34</v>
      </c>
      <c r="K226" s="5" t="s">
        <v>98</v>
      </c>
      <c r="L226" s="5" t="s">
        <v>209</v>
      </c>
      <c r="M226" s="5" t="s">
        <v>39</v>
      </c>
      <c r="N226" s="5"/>
      <c r="O226" s="6"/>
      <c r="P226" s="5" t="s">
        <v>96</v>
      </c>
      <c r="Q226" s="5" t="s">
        <v>64</v>
      </c>
      <c r="R226" s="5" t="s">
        <v>145</v>
      </c>
      <c r="S226" s="5" t="s">
        <v>1538</v>
      </c>
      <c r="T226" s="5" t="s">
        <v>1478</v>
      </c>
      <c r="U226" s="5" t="s">
        <v>1539</v>
      </c>
      <c r="V226" s="8">
        <v>42</v>
      </c>
      <c r="W226" s="9">
        <v>86526</v>
      </c>
      <c r="X226" s="5"/>
      <c r="Y226" s="10">
        <v>100</v>
      </c>
      <c r="Z226" s="10">
        <v>18.18</v>
      </c>
      <c r="AA226" s="10">
        <v>18.18</v>
      </c>
      <c r="AB226" s="10">
        <v>39660</v>
      </c>
      <c r="AC226" s="10">
        <v>3488</v>
      </c>
      <c r="AD226" s="10">
        <v>0</v>
      </c>
      <c r="AE226" s="11">
        <v>43148</v>
      </c>
      <c r="AF226" s="12" t="s">
        <v>100</v>
      </c>
      <c r="AG226" s="14" t="s">
        <v>244</v>
      </c>
      <c r="AH226" s="14" t="s">
        <v>65</v>
      </c>
      <c r="AI226" s="14" t="s">
        <v>36</v>
      </c>
      <c r="AJ226" s="14">
        <v>90000</v>
      </c>
      <c r="AK226" s="14">
        <v>90000</v>
      </c>
      <c r="AL226" s="13">
        <v>48</v>
      </c>
      <c r="AM226" s="13">
        <v>45</v>
      </c>
      <c r="AN226" s="14" t="s">
        <v>205</v>
      </c>
      <c r="AO226" s="14" t="s">
        <v>206</v>
      </c>
      <c r="AP226" s="14" t="s">
        <v>37</v>
      </c>
      <c r="AQ226" s="20">
        <v>202605</v>
      </c>
      <c r="AR226" s="20" t="s">
        <v>152</v>
      </c>
      <c r="AS226" s="14" t="s">
        <v>249</v>
      </c>
      <c r="AT226" s="14" t="s">
        <v>249</v>
      </c>
      <c r="AU226" s="30" t="s">
        <v>309</v>
      </c>
      <c r="AV226" s="30" t="s">
        <v>461</v>
      </c>
    </row>
    <row r="227" spans="1:48" x14ac:dyDescent="0.3">
      <c r="A227" s="5" t="s">
        <v>150</v>
      </c>
      <c r="B227" s="5" t="s">
        <v>54</v>
      </c>
      <c r="C227" s="5" t="s">
        <v>1049</v>
      </c>
      <c r="D227" s="5" t="s">
        <v>32</v>
      </c>
      <c r="E227" s="6" t="s">
        <v>33</v>
      </c>
      <c r="F227" s="7">
        <v>103</v>
      </c>
      <c r="G227" s="5" t="s">
        <v>950</v>
      </c>
      <c r="H227" s="5" t="s">
        <v>1540</v>
      </c>
      <c r="I227" s="5" t="s">
        <v>1541</v>
      </c>
      <c r="J227" s="5" t="s">
        <v>34</v>
      </c>
      <c r="K227" s="5" t="s">
        <v>98</v>
      </c>
      <c r="L227" s="5" t="s">
        <v>209</v>
      </c>
      <c r="M227" s="5" t="s">
        <v>39</v>
      </c>
      <c r="N227" s="5"/>
      <c r="O227" s="6"/>
      <c r="P227" s="5" t="s">
        <v>96</v>
      </c>
      <c r="Q227" s="5" t="s">
        <v>64</v>
      </c>
      <c r="R227" s="5" t="s">
        <v>145</v>
      </c>
      <c r="S227" s="5" t="s">
        <v>302</v>
      </c>
      <c r="T227" s="5" t="s">
        <v>1469</v>
      </c>
      <c r="U227" s="5" t="s">
        <v>431</v>
      </c>
      <c r="V227" s="8">
        <v>42</v>
      </c>
      <c r="W227" s="9">
        <v>75770</v>
      </c>
      <c r="X227" s="5"/>
      <c r="Y227" s="10">
        <v>100</v>
      </c>
      <c r="Z227" s="10">
        <v>18.18</v>
      </c>
      <c r="AA227" s="10">
        <v>18.18</v>
      </c>
      <c r="AB227" s="10">
        <v>39660</v>
      </c>
      <c r="AC227" s="10">
        <v>3488</v>
      </c>
      <c r="AD227" s="10">
        <v>0</v>
      </c>
      <c r="AE227" s="11">
        <v>43148</v>
      </c>
      <c r="AF227" s="12" t="s">
        <v>100</v>
      </c>
      <c r="AG227" s="14" t="s">
        <v>198</v>
      </c>
      <c r="AH227" s="14" t="s">
        <v>65</v>
      </c>
      <c r="AI227" s="14" t="s">
        <v>36</v>
      </c>
      <c r="AJ227" s="14">
        <v>80000</v>
      </c>
      <c r="AK227" s="14">
        <v>80000</v>
      </c>
      <c r="AL227" s="13">
        <v>48</v>
      </c>
      <c r="AM227" s="13">
        <v>45</v>
      </c>
      <c r="AN227" s="14" t="s">
        <v>205</v>
      </c>
      <c r="AO227" s="14" t="s">
        <v>206</v>
      </c>
      <c r="AP227" s="14" t="s">
        <v>37</v>
      </c>
      <c r="AQ227" s="20">
        <v>202605</v>
      </c>
      <c r="AR227" s="20" t="s">
        <v>152</v>
      </c>
      <c r="AS227" s="14" t="s">
        <v>249</v>
      </c>
      <c r="AT227" s="14" t="s">
        <v>249</v>
      </c>
      <c r="AU227" s="30" t="s">
        <v>309</v>
      </c>
      <c r="AV227" s="30" t="s">
        <v>461</v>
      </c>
    </row>
    <row r="228" spans="1:48" x14ac:dyDescent="0.3">
      <c r="A228" s="5" t="s">
        <v>150</v>
      </c>
      <c r="B228" s="5" t="s">
        <v>54</v>
      </c>
      <c r="C228" s="5" t="s">
        <v>1049</v>
      </c>
      <c r="D228" s="5" t="s">
        <v>32</v>
      </c>
      <c r="E228" s="6" t="s">
        <v>33</v>
      </c>
      <c r="F228" s="7">
        <v>104</v>
      </c>
      <c r="G228" s="5" t="s">
        <v>950</v>
      </c>
      <c r="H228" s="5" t="s">
        <v>1542</v>
      </c>
      <c r="I228" s="5" t="s">
        <v>1543</v>
      </c>
      <c r="J228" s="5" t="s">
        <v>34</v>
      </c>
      <c r="K228" s="5" t="s">
        <v>98</v>
      </c>
      <c r="L228" s="5" t="s">
        <v>209</v>
      </c>
      <c r="M228" s="5" t="s">
        <v>39</v>
      </c>
      <c r="N228" s="5"/>
      <c r="O228" s="6"/>
      <c r="P228" s="5" t="s">
        <v>96</v>
      </c>
      <c r="Q228" s="5" t="s">
        <v>64</v>
      </c>
      <c r="R228" s="5" t="s">
        <v>144</v>
      </c>
      <c r="S228" s="5" t="s">
        <v>1544</v>
      </c>
      <c r="T228" s="5" t="s">
        <v>1545</v>
      </c>
      <c r="U228" s="5" t="s">
        <v>1546</v>
      </c>
      <c r="V228" s="8">
        <v>36</v>
      </c>
      <c r="W228" s="9">
        <v>98427</v>
      </c>
      <c r="X228" s="5"/>
      <c r="Y228" s="10">
        <v>100</v>
      </c>
      <c r="Z228" s="10">
        <v>18.18</v>
      </c>
      <c r="AA228" s="10">
        <v>18.18</v>
      </c>
      <c r="AB228" s="10">
        <v>39660</v>
      </c>
      <c r="AC228" s="10">
        <v>3488</v>
      </c>
      <c r="AD228" s="10">
        <v>0</v>
      </c>
      <c r="AE228" s="11">
        <v>43148</v>
      </c>
      <c r="AF228" s="12" t="s">
        <v>100</v>
      </c>
      <c r="AG228" s="14" t="s">
        <v>138</v>
      </c>
      <c r="AH228" s="14" t="s">
        <v>65</v>
      </c>
      <c r="AI228" s="14" t="s">
        <v>36</v>
      </c>
      <c r="AJ228" s="14">
        <v>100000</v>
      </c>
      <c r="AK228" s="14">
        <v>100000</v>
      </c>
      <c r="AL228" s="13">
        <v>42</v>
      </c>
      <c r="AM228" s="13">
        <v>39</v>
      </c>
      <c r="AN228" s="14" t="s">
        <v>205</v>
      </c>
      <c r="AO228" s="14" t="s">
        <v>206</v>
      </c>
      <c r="AP228" s="14" t="s">
        <v>37</v>
      </c>
      <c r="AQ228" s="20">
        <v>202605</v>
      </c>
      <c r="AR228" s="20" t="s">
        <v>152</v>
      </c>
      <c r="AS228" s="14" t="s">
        <v>249</v>
      </c>
      <c r="AT228" s="14" t="s">
        <v>249</v>
      </c>
      <c r="AU228" s="30" t="s">
        <v>309</v>
      </c>
      <c r="AV228" s="30" t="s">
        <v>461</v>
      </c>
    </row>
    <row r="229" spans="1:48" x14ac:dyDescent="0.3">
      <c r="A229" s="5" t="s">
        <v>150</v>
      </c>
      <c r="B229" s="5" t="s">
        <v>54</v>
      </c>
      <c r="C229" s="5" t="s">
        <v>1049</v>
      </c>
      <c r="D229" s="5" t="s">
        <v>32</v>
      </c>
      <c r="E229" s="6" t="s">
        <v>33</v>
      </c>
      <c r="F229" s="7">
        <v>105</v>
      </c>
      <c r="G229" s="5" t="s">
        <v>950</v>
      </c>
      <c r="H229" s="5" t="s">
        <v>1547</v>
      </c>
      <c r="I229" s="5" t="s">
        <v>1548</v>
      </c>
      <c r="J229" s="5" t="s">
        <v>34</v>
      </c>
      <c r="K229" s="5" t="s">
        <v>98</v>
      </c>
      <c r="L229" s="5" t="s">
        <v>209</v>
      </c>
      <c r="M229" s="5" t="s">
        <v>39</v>
      </c>
      <c r="N229" s="5"/>
      <c r="O229" s="6"/>
      <c r="P229" s="5" t="s">
        <v>96</v>
      </c>
      <c r="Q229" s="5" t="s">
        <v>64</v>
      </c>
      <c r="R229" s="5" t="s">
        <v>145</v>
      </c>
      <c r="S229" s="5" t="s">
        <v>279</v>
      </c>
      <c r="T229" s="5" t="s">
        <v>1464</v>
      </c>
      <c r="U229" s="5" t="s">
        <v>1549</v>
      </c>
      <c r="V229" s="8">
        <v>42</v>
      </c>
      <c r="W229" s="9">
        <v>84889</v>
      </c>
      <c r="X229" s="5"/>
      <c r="Y229" s="10">
        <v>100</v>
      </c>
      <c r="Z229" s="10">
        <v>18.18</v>
      </c>
      <c r="AA229" s="10">
        <v>18.18</v>
      </c>
      <c r="AB229" s="10">
        <v>39660</v>
      </c>
      <c r="AC229" s="10">
        <v>3488</v>
      </c>
      <c r="AD229" s="10">
        <v>0</v>
      </c>
      <c r="AE229" s="11">
        <v>43148</v>
      </c>
      <c r="AF229" s="12" t="s">
        <v>100</v>
      </c>
      <c r="AG229" s="14" t="s">
        <v>138</v>
      </c>
      <c r="AH229" s="14" t="s">
        <v>65</v>
      </c>
      <c r="AI229" s="14" t="s">
        <v>36</v>
      </c>
      <c r="AJ229" s="14">
        <v>90000</v>
      </c>
      <c r="AK229" s="14">
        <v>85000</v>
      </c>
      <c r="AL229" s="13">
        <v>48</v>
      </c>
      <c r="AM229" s="13">
        <v>45</v>
      </c>
      <c r="AN229" s="14" t="s">
        <v>205</v>
      </c>
      <c r="AO229" s="14" t="s">
        <v>206</v>
      </c>
      <c r="AP229" s="14" t="s">
        <v>37</v>
      </c>
      <c r="AQ229" s="20">
        <v>202605</v>
      </c>
      <c r="AR229" s="20" t="s">
        <v>152</v>
      </c>
      <c r="AS229" s="14" t="s">
        <v>249</v>
      </c>
      <c r="AT229" s="14" t="s">
        <v>249</v>
      </c>
      <c r="AU229" s="30" t="s">
        <v>309</v>
      </c>
      <c r="AV229" s="30" t="s">
        <v>461</v>
      </c>
    </row>
    <row r="230" spans="1:48" x14ac:dyDescent="0.3">
      <c r="A230" s="5" t="s">
        <v>150</v>
      </c>
      <c r="B230" s="5" t="s">
        <v>54</v>
      </c>
      <c r="C230" s="5" t="s">
        <v>1049</v>
      </c>
      <c r="D230" s="5" t="s">
        <v>32</v>
      </c>
      <c r="E230" s="6" t="s">
        <v>33</v>
      </c>
      <c r="F230" s="7">
        <v>106</v>
      </c>
      <c r="G230" s="5" t="s">
        <v>950</v>
      </c>
      <c r="H230" s="5" t="s">
        <v>1550</v>
      </c>
      <c r="I230" s="5" t="s">
        <v>1551</v>
      </c>
      <c r="J230" s="5" t="s">
        <v>34</v>
      </c>
      <c r="K230" s="5" t="s">
        <v>98</v>
      </c>
      <c r="L230" s="5" t="s">
        <v>209</v>
      </c>
      <c r="M230" s="5" t="s">
        <v>39</v>
      </c>
      <c r="N230" s="5"/>
      <c r="O230" s="6"/>
      <c r="P230" s="5" t="s">
        <v>96</v>
      </c>
      <c r="Q230" s="5" t="s">
        <v>64</v>
      </c>
      <c r="R230" s="5" t="s">
        <v>145</v>
      </c>
      <c r="S230" s="5" t="s">
        <v>1552</v>
      </c>
      <c r="T230" s="5" t="s">
        <v>1478</v>
      </c>
      <c r="U230" s="5" t="s">
        <v>1553</v>
      </c>
      <c r="V230" s="8">
        <v>40</v>
      </c>
      <c r="W230" s="9">
        <v>95173</v>
      </c>
      <c r="X230" s="5"/>
      <c r="Y230" s="10">
        <v>100</v>
      </c>
      <c r="Z230" s="10">
        <v>18.18</v>
      </c>
      <c r="AA230" s="10">
        <v>18.18</v>
      </c>
      <c r="AB230" s="10">
        <v>39660</v>
      </c>
      <c r="AC230" s="10">
        <v>3488</v>
      </c>
      <c r="AD230" s="10">
        <v>0</v>
      </c>
      <c r="AE230" s="11">
        <v>43148</v>
      </c>
      <c r="AF230" s="12" t="s">
        <v>100</v>
      </c>
      <c r="AG230" s="14" t="s">
        <v>139</v>
      </c>
      <c r="AH230" s="14" t="s">
        <v>65</v>
      </c>
      <c r="AI230" s="14" t="s">
        <v>36</v>
      </c>
      <c r="AJ230" s="14">
        <v>100000</v>
      </c>
      <c r="AK230" s="14">
        <v>100000</v>
      </c>
      <c r="AL230" s="13">
        <v>42</v>
      </c>
      <c r="AM230" s="13">
        <v>42</v>
      </c>
      <c r="AN230" s="14" t="s">
        <v>205</v>
      </c>
      <c r="AO230" s="14" t="s">
        <v>206</v>
      </c>
      <c r="AP230" s="14" t="s">
        <v>37</v>
      </c>
      <c r="AQ230" s="20">
        <v>202605</v>
      </c>
      <c r="AR230" s="20" t="s">
        <v>152</v>
      </c>
      <c r="AS230" s="14" t="s">
        <v>249</v>
      </c>
      <c r="AT230" s="14" t="s">
        <v>249</v>
      </c>
      <c r="AU230" s="30" t="s">
        <v>309</v>
      </c>
      <c r="AV230" s="30" t="s">
        <v>461</v>
      </c>
    </row>
    <row r="231" spans="1:48" x14ac:dyDescent="0.3">
      <c r="A231" s="5" t="s">
        <v>150</v>
      </c>
      <c r="B231" s="5" t="s">
        <v>54</v>
      </c>
      <c r="C231" s="5" t="s">
        <v>1049</v>
      </c>
      <c r="D231" s="5" t="s">
        <v>32</v>
      </c>
      <c r="E231" s="6" t="s">
        <v>33</v>
      </c>
      <c r="F231" s="7">
        <v>107</v>
      </c>
      <c r="G231" s="5" t="s">
        <v>950</v>
      </c>
      <c r="H231" s="5" t="s">
        <v>1554</v>
      </c>
      <c r="I231" s="5" t="s">
        <v>1555</v>
      </c>
      <c r="J231" s="5" t="s">
        <v>34</v>
      </c>
      <c r="K231" s="5" t="s">
        <v>98</v>
      </c>
      <c r="L231" s="5" t="s">
        <v>209</v>
      </c>
      <c r="M231" s="5" t="s">
        <v>39</v>
      </c>
      <c r="N231" s="5"/>
      <c r="O231" s="6"/>
      <c r="P231" s="5" t="s">
        <v>96</v>
      </c>
      <c r="Q231" s="5" t="s">
        <v>64</v>
      </c>
      <c r="R231" s="5" t="s">
        <v>145</v>
      </c>
      <c r="S231" s="5" t="s">
        <v>1552</v>
      </c>
      <c r="T231" s="5" t="s">
        <v>1478</v>
      </c>
      <c r="U231" s="5" t="s">
        <v>1556</v>
      </c>
      <c r="V231" s="8">
        <v>40</v>
      </c>
      <c r="W231" s="9">
        <v>42718</v>
      </c>
      <c r="X231" s="5"/>
      <c r="Y231" s="10">
        <v>100</v>
      </c>
      <c r="Z231" s="10">
        <v>18.18</v>
      </c>
      <c r="AA231" s="10">
        <v>18.18</v>
      </c>
      <c r="AB231" s="10">
        <v>39660</v>
      </c>
      <c r="AC231" s="10">
        <v>3488</v>
      </c>
      <c r="AD231" s="10">
        <v>0</v>
      </c>
      <c r="AE231" s="11">
        <v>43148</v>
      </c>
      <c r="AF231" s="12" t="s">
        <v>100</v>
      </c>
      <c r="AG231" s="14" t="s">
        <v>139</v>
      </c>
      <c r="AH231" s="14" t="s">
        <v>65</v>
      </c>
      <c r="AI231" s="14" t="s">
        <v>36</v>
      </c>
      <c r="AJ231" s="14">
        <v>50000</v>
      </c>
      <c r="AK231" s="14">
        <v>45000</v>
      </c>
      <c r="AL231" s="13">
        <v>42</v>
      </c>
      <c r="AM231" s="13">
        <v>42</v>
      </c>
      <c r="AN231" s="14" t="s">
        <v>205</v>
      </c>
      <c r="AO231" s="14" t="s">
        <v>206</v>
      </c>
      <c r="AP231" s="14" t="s">
        <v>37</v>
      </c>
      <c r="AQ231" s="20">
        <v>202605</v>
      </c>
      <c r="AR231" s="20" t="s">
        <v>152</v>
      </c>
      <c r="AS231" s="14" t="s">
        <v>249</v>
      </c>
      <c r="AT231" s="14" t="s">
        <v>249</v>
      </c>
      <c r="AU231" s="30" t="s">
        <v>309</v>
      </c>
      <c r="AV231" s="30" t="s">
        <v>461</v>
      </c>
    </row>
    <row r="232" spans="1:48" x14ac:dyDescent="0.3">
      <c r="A232" s="5" t="s">
        <v>150</v>
      </c>
      <c r="B232" s="5" t="s">
        <v>54</v>
      </c>
      <c r="C232" s="5" t="s">
        <v>1049</v>
      </c>
      <c r="D232" s="5" t="s">
        <v>32</v>
      </c>
      <c r="E232" s="6" t="s">
        <v>33</v>
      </c>
      <c r="F232" s="7">
        <v>108</v>
      </c>
      <c r="G232" s="5" t="s">
        <v>950</v>
      </c>
      <c r="H232" s="5" t="s">
        <v>1557</v>
      </c>
      <c r="I232" s="5" t="s">
        <v>1558</v>
      </c>
      <c r="J232" s="5" t="s">
        <v>34</v>
      </c>
      <c r="K232" s="5" t="s">
        <v>98</v>
      </c>
      <c r="L232" s="5" t="s">
        <v>209</v>
      </c>
      <c r="M232" s="5" t="s">
        <v>39</v>
      </c>
      <c r="N232" s="5"/>
      <c r="O232" s="6"/>
      <c r="P232" s="5" t="s">
        <v>204</v>
      </c>
      <c r="Q232" s="5" t="s">
        <v>64</v>
      </c>
      <c r="R232" s="5" t="s">
        <v>145</v>
      </c>
      <c r="S232" s="5" t="s">
        <v>1559</v>
      </c>
      <c r="T232" s="5" t="s">
        <v>1469</v>
      </c>
      <c r="U232" s="5" t="s">
        <v>1560</v>
      </c>
      <c r="V232" s="8">
        <v>40</v>
      </c>
      <c r="W232" s="9">
        <v>44331</v>
      </c>
      <c r="X232" s="5"/>
      <c r="Y232" s="10">
        <v>100</v>
      </c>
      <c r="Z232" s="10">
        <v>18.18</v>
      </c>
      <c r="AA232" s="10">
        <v>18.18</v>
      </c>
      <c r="AB232" s="10">
        <v>39660</v>
      </c>
      <c r="AC232" s="10">
        <v>1074</v>
      </c>
      <c r="AD232" s="10">
        <v>0</v>
      </c>
      <c r="AE232" s="11">
        <v>40734</v>
      </c>
      <c r="AF232" s="12" t="s">
        <v>100</v>
      </c>
      <c r="AG232" s="14" t="s">
        <v>139</v>
      </c>
      <c r="AH232" s="14" t="s">
        <v>65</v>
      </c>
      <c r="AI232" s="14" t="s">
        <v>36</v>
      </c>
      <c r="AJ232" s="14">
        <v>50000</v>
      </c>
      <c r="AK232" s="14">
        <v>45000</v>
      </c>
      <c r="AL232" s="13">
        <v>42</v>
      </c>
      <c r="AM232" s="13">
        <v>42</v>
      </c>
      <c r="AN232" s="14" t="s">
        <v>205</v>
      </c>
      <c r="AO232" s="14" t="s">
        <v>206</v>
      </c>
      <c r="AP232" s="14" t="s">
        <v>37</v>
      </c>
      <c r="AQ232" s="20">
        <v>202605</v>
      </c>
      <c r="AR232" s="20" t="s">
        <v>152</v>
      </c>
      <c r="AS232" s="14" t="s">
        <v>249</v>
      </c>
      <c r="AT232" s="14" t="s">
        <v>249</v>
      </c>
      <c r="AU232" s="30" t="s">
        <v>309</v>
      </c>
      <c r="AV232" s="30" t="s">
        <v>461</v>
      </c>
    </row>
    <row r="233" spans="1:48" x14ac:dyDescent="0.3">
      <c r="A233" s="5" t="s">
        <v>150</v>
      </c>
      <c r="B233" s="5" t="s">
        <v>54</v>
      </c>
      <c r="C233" s="5" t="s">
        <v>1049</v>
      </c>
      <c r="D233" s="5" t="s">
        <v>32</v>
      </c>
      <c r="E233" s="6" t="s">
        <v>33</v>
      </c>
      <c r="F233" s="7">
        <v>109</v>
      </c>
      <c r="G233" s="5" t="s">
        <v>950</v>
      </c>
      <c r="H233" s="5" t="s">
        <v>1561</v>
      </c>
      <c r="I233" s="5" t="s">
        <v>1562</v>
      </c>
      <c r="J233" s="5" t="s">
        <v>34</v>
      </c>
      <c r="K233" s="5" t="s">
        <v>98</v>
      </c>
      <c r="L233" s="5" t="s">
        <v>209</v>
      </c>
      <c r="M233" s="5" t="s">
        <v>39</v>
      </c>
      <c r="N233" s="5"/>
      <c r="O233" s="6"/>
      <c r="P233" s="5" t="s">
        <v>204</v>
      </c>
      <c r="Q233" s="5" t="s">
        <v>64</v>
      </c>
      <c r="R233" s="5" t="s">
        <v>145</v>
      </c>
      <c r="S233" s="5" t="s">
        <v>1563</v>
      </c>
      <c r="T233" s="5" t="s">
        <v>1564</v>
      </c>
      <c r="U233" s="5" t="s">
        <v>1565</v>
      </c>
      <c r="V233" s="8">
        <v>39</v>
      </c>
      <c r="W233" s="9">
        <v>60324</v>
      </c>
      <c r="X233" s="5"/>
      <c r="Y233" s="10">
        <v>100</v>
      </c>
      <c r="Z233" s="10">
        <v>18.18</v>
      </c>
      <c r="AA233" s="10">
        <v>18.18</v>
      </c>
      <c r="AB233" s="10">
        <v>39660</v>
      </c>
      <c r="AC233" s="10">
        <v>1074</v>
      </c>
      <c r="AD233" s="10">
        <v>0</v>
      </c>
      <c r="AE233" s="11">
        <v>40734</v>
      </c>
      <c r="AF233" s="12" t="s">
        <v>100</v>
      </c>
      <c r="AG233" s="14" t="s">
        <v>140</v>
      </c>
      <c r="AH233" s="14" t="s">
        <v>65</v>
      </c>
      <c r="AI233" s="14" t="s">
        <v>36</v>
      </c>
      <c r="AJ233" s="14">
        <v>70000</v>
      </c>
      <c r="AK233" s="14">
        <v>65000</v>
      </c>
      <c r="AL233" s="13">
        <v>42</v>
      </c>
      <c r="AM233" s="13">
        <v>42</v>
      </c>
      <c r="AN233" s="14" t="s">
        <v>205</v>
      </c>
      <c r="AO233" s="14" t="s">
        <v>206</v>
      </c>
      <c r="AP233" s="14" t="s">
        <v>37</v>
      </c>
      <c r="AQ233" s="20">
        <v>202605</v>
      </c>
      <c r="AR233" s="20" t="s">
        <v>152</v>
      </c>
      <c r="AS233" s="14" t="s">
        <v>249</v>
      </c>
      <c r="AT233" s="14" t="s">
        <v>249</v>
      </c>
      <c r="AU233" s="30" t="s">
        <v>309</v>
      </c>
      <c r="AV233" s="30" t="s">
        <v>461</v>
      </c>
    </row>
    <row r="234" spans="1:48" x14ac:dyDescent="0.3">
      <c r="A234" s="5" t="s">
        <v>150</v>
      </c>
      <c r="B234" s="5" t="s">
        <v>54</v>
      </c>
      <c r="C234" s="5" t="s">
        <v>1049</v>
      </c>
      <c r="D234" s="5" t="s">
        <v>32</v>
      </c>
      <c r="E234" s="6" t="s">
        <v>33</v>
      </c>
      <c r="F234" s="7">
        <v>110</v>
      </c>
      <c r="G234" s="5" t="s">
        <v>950</v>
      </c>
      <c r="H234" s="5" t="s">
        <v>1566</v>
      </c>
      <c r="I234" s="5" t="s">
        <v>1567</v>
      </c>
      <c r="J234" s="5" t="s">
        <v>34</v>
      </c>
      <c r="K234" s="5" t="s">
        <v>98</v>
      </c>
      <c r="L234" s="5" t="s">
        <v>209</v>
      </c>
      <c r="M234" s="5" t="s">
        <v>39</v>
      </c>
      <c r="N234" s="5"/>
      <c r="O234" s="6"/>
      <c r="P234" s="5" t="s">
        <v>96</v>
      </c>
      <c r="Q234" s="5" t="s">
        <v>64</v>
      </c>
      <c r="R234" s="5" t="s">
        <v>145</v>
      </c>
      <c r="S234" s="5" t="s">
        <v>1470</v>
      </c>
      <c r="T234" s="5" t="s">
        <v>1521</v>
      </c>
      <c r="U234" s="5" t="s">
        <v>1568</v>
      </c>
      <c r="V234" s="8">
        <v>36</v>
      </c>
      <c r="W234" s="9">
        <v>96323</v>
      </c>
      <c r="X234" s="5"/>
      <c r="Y234" s="10">
        <v>100</v>
      </c>
      <c r="Z234" s="10">
        <v>18.18</v>
      </c>
      <c r="AA234" s="10">
        <v>18.18</v>
      </c>
      <c r="AB234" s="10">
        <v>39660</v>
      </c>
      <c r="AC234" s="10">
        <v>3488</v>
      </c>
      <c r="AD234" s="10">
        <v>0</v>
      </c>
      <c r="AE234" s="11">
        <v>43148</v>
      </c>
      <c r="AF234" s="12" t="s">
        <v>100</v>
      </c>
      <c r="AG234" s="14" t="s">
        <v>185</v>
      </c>
      <c r="AH234" s="14" t="s">
        <v>65</v>
      </c>
      <c r="AI234" s="14" t="s">
        <v>36</v>
      </c>
      <c r="AJ234" s="14">
        <v>100000</v>
      </c>
      <c r="AK234" s="14">
        <v>100000</v>
      </c>
      <c r="AL234" s="13">
        <v>42</v>
      </c>
      <c r="AM234" s="13">
        <v>39</v>
      </c>
      <c r="AN234" s="14" t="s">
        <v>205</v>
      </c>
      <c r="AO234" s="14" t="s">
        <v>206</v>
      </c>
      <c r="AP234" s="14" t="s">
        <v>37</v>
      </c>
      <c r="AQ234" s="20">
        <v>202605</v>
      </c>
      <c r="AR234" s="20" t="s">
        <v>152</v>
      </c>
      <c r="AS234" s="14" t="s">
        <v>249</v>
      </c>
      <c r="AT234" s="14" t="s">
        <v>249</v>
      </c>
      <c r="AU234" s="30" t="s">
        <v>309</v>
      </c>
      <c r="AV234" s="30" t="s">
        <v>461</v>
      </c>
    </row>
    <row r="235" spans="1:48" x14ac:dyDescent="0.3">
      <c r="A235" s="5" t="s">
        <v>150</v>
      </c>
      <c r="B235" s="5" t="s">
        <v>54</v>
      </c>
      <c r="C235" s="5" t="s">
        <v>1049</v>
      </c>
      <c r="D235" s="5" t="s">
        <v>32</v>
      </c>
      <c r="E235" s="6" t="s">
        <v>33</v>
      </c>
      <c r="F235" s="7">
        <v>111</v>
      </c>
      <c r="G235" s="5" t="s">
        <v>950</v>
      </c>
      <c r="H235" s="5" t="s">
        <v>1569</v>
      </c>
      <c r="I235" s="5" t="s">
        <v>1570</v>
      </c>
      <c r="J235" s="5" t="s">
        <v>34</v>
      </c>
      <c r="K235" s="5" t="s">
        <v>98</v>
      </c>
      <c r="L235" s="5" t="s">
        <v>209</v>
      </c>
      <c r="M235" s="5" t="s">
        <v>39</v>
      </c>
      <c r="N235" s="5"/>
      <c r="O235" s="6"/>
      <c r="P235" s="5" t="s">
        <v>96</v>
      </c>
      <c r="Q235" s="5" t="s">
        <v>64</v>
      </c>
      <c r="R235" s="5" t="s">
        <v>145</v>
      </c>
      <c r="S235" s="5" t="s">
        <v>1571</v>
      </c>
      <c r="T235" s="5" t="s">
        <v>1572</v>
      </c>
      <c r="U235" s="5" t="s">
        <v>1573</v>
      </c>
      <c r="V235" s="8">
        <v>37</v>
      </c>
      <c r="W235" s="9">
        <v>68126</v>
      </c>
      <c r="X235" s="5"/>
      <c r="Y235" s="10">
        <v>100</v>
      </c>
      <c r="Z235" s="10">
        <v>18.18</v>
      </c>
      <c r="AA235" s="10">
        <v>18.18</v>
      </c>
      <c r="AB235" s="10">
        <v>39660</v>
      </c>
      <c r="AC235" s="10">
        <v>3488</v>
      </c>
      <c r="AD235" s="10">
        <v>0</v>
      </c>
      <c r="AE235" s="11">
        <v>43148</v>
      </c>
      <c r="AF235" s="12" t="s">
        <v>100</v>
      </c>
      <c r="AG235" s="14" t="s">
        <v>368</v>
      </c>
      <c r="AH235" s="14" t="s">
        <v>65</v>
      </c>
      <c r="AI235" s="14" t="s">
        <v>36</v>
      </c>
      <c r="AJ235" s="14">
        <v>70000</v>
      </c>
      <c r="AK235" s="14">
        <v>70000</v>
      </c>
      <c r="AL235" s="13">
        <v>42</v>
      </c>
      <c r="AM235" s="13">
        <v>39</v>
      </c>
      <c r="AN235" s="14" t="s">
        <v>205</v>
      </c>
      <c r="AO235" s="14" t="s">
        <v>206</v>
      </c>
      <c r="AP235" s="14" t="s">
        <v>37</v>
      </c>
      <c r="AQ235" s="20">
        <v>202605</v>
      </c>
      <c r="AR235" s="20" t="s">
        <v>152</v>
      </c>
      <c r="AS235" s="14" t="s">
        <v>249</v>
      </c>
      <c r="AT235" s="14" t="s">
        <v>249</v>
      </c>
      <c r="AU235" s="30" t="s">
        <v>309</v>
      </c>
      <c r="AV235" s="30" t="s">
        <v>461</v>
      </c>
    </row>
  </sheetData>
  <autoFilter ref="A1:AW111" xr:uid="{00000000-0009-0000-0000-000002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Sheet2</vt:lpstr>
      <vt:lpstr>Sheet1</vt:lpstr>
      <vt:lpstr>현대기아HMB(REV1)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2022-04-04T06:52:25Z</dcterms:created>
  <dcterms:modified xsi:type="dcterms:W3CDTF">2026-08-11T04:57:31Z</dcterms:modified>
</cp:coreProperties>
</file>