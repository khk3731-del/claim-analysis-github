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Desktop\월별 클레임 아이템 증감비교\2026년\"/>
    </mc:Choice>
  </mc:AlternateContent>
  <xr:revisionPtr revIDLastSave="0" documentId="13_ncr:1_{AAC691CB-CE4B-4621-8BB2-274E3F8966A0}" xr6:coauthVersionLast="47" xr6:coauthVersionMax="47" xr10:uidLastSave="{00000000-0000-0000-0000-000000000000}"/>
  <bookViews>
    <workbookView xWindow="76680" yWindow="-120" windowWidth="29040" windowHeight="15720" firstSheet="1" activeTab="1" xr2:uid="{00000000-000D-0000-FFFF-FFFF00000000}"/>
  </bookViews>
  <sheets>
    <sheet name="Sheet2" sheetId="43" r:id="rId1"/>
    <sheet name="Sheet1" sheetId="45" r:id="rId2"/>
    <sheet name="현대기아HMB(REV1)" sheetId="39" r:id="rId3"/>
  </sheets>
  <definedNames>
    <definedName name="_xlnm._FilterDatabase" localSheetId="0" hidden="1">Sheet2!$B$2:$F$27</definedName>
    <definedName name="_xlnm._FilterDatabase" localSheetId="2" hidden="1">'현대기아HMB(REV1)'!$A$1:$AW$125</definedName>
  </definedNames>
  <calcPr calcId="191029"/>
  <pivotCaches>
    <pivotCache cacheId="1"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3" i="43" l="1"/>
  <c r="F25" i="43"/>
  <c r="F20" i="43"/>
  <c r="F12" i="43"/>
  <c r="F14" i="43"/>
  <c r="F16" i="43"/>
  <c r="F24" i="43"/>
  <c r="F11" i="43"/>
  <c r="F27" i="43"/>
  <c r="F15" i="43"/>
  <c r="F7" i="43"/>
  <c r="F21" i="43"/>
  <c r="F17" i="43"/>
  <c r="F6" i="43"/>
  <c r="F22" i="43"/>
  <c r="F23" i="43"/>
  <c r="F9" i="43"/>
  <c r="F10" i="43"/>
  <c r="F18" i="43"/>
  <c r="F3" i="43"/>
  <c r="F26" i="43"/>
  <c r="F8" i="43"/>
  <c r="F5" i="43"/>
  <c r="F4" i="43"/>
  <c r="F19" i="43"/>
</calcChain>
</file>

<file path=xl/sharedStrings.xml><?xml version="1.0" encoding="utf-8"?>
<sst xmlns="http://schemas.openxmlformats.org/spreadsheetml/2006/main" count="6115" uniqueCount="1407">
  <si>
    <t>법인</t>
  </si>
  <si>
    <t>발생구분</t>
  </si>
  <si>
    <t>통보서</t>
  </si>
  <si>
    <t>H/K</t>
  </si>
  <si>
    <t>업체</t>
  </si>
  <si>
    <t>SEQ</t>
  </si>
  <si>
    <t>RO년월</t>
  </si>
  <si>
    <t>R/O번호</t>
  </si>
  <si>
    <t>VIN</t>
  </si>
  <si>
    <t>C/TYPE</t>
  </si>
  <si>
    <t>차종</t>
  </si>
  <si>
    <t>원인부품</t>
  </si>
  <si>
    <t>원인품명</t>
  </si>
  <si>
    <t>캠페인Issue</t>
  </si>
  <si>
    <t>캠페인 명</t>
  </si>
  <si>
    <t>주작업코드</t>
  </si>
  <si>
    <t>원인</t>
  </si>
  <si>
    <t>현상</t>
  </si>
  <si>
    <t>생산일자</t>
  </si>
  <si>
    <t>수리일자</t>
  </si>
  <si>
    <t>판매일자</t>
  </si>
  <si>
    <t>사용개월</t>
  </si>
  <si>
    <t>주행거리</t>
  </si>
  <si>
    <t>PWA</t>
  </si>
  <si>
    <t>납입률</t>
  </si>
  <si>
    <t>분담률</t>
  </si>
  <si>
    <t>적용률</t>
  </si>
  <si>
    <t>부품비</t>
  </si>
  <si>
    <t>공임비</t>
  </si>
  <si>
    <t>외주비</t>
  </si>
  <si>
    <t>기아</t>
  </si>
  <si>
    <t>D</t>
  </si>
  <si>
    <t>K</t>
  </si>
  <si>
    <t>R151</t>
  </si>
  <si>
    <t>W</t>
  </si>
  <si>
    <t xml:space="preserve">            </t>
  </si>
  <si>
    <t>경고등 점등</t>
  </si>
  <si>
    <t>WCC</t>
  </si>
  <si>
    <t>J5</t>
  </si>
  <si>
    <t>CONVERTER ASSY-W/UP CATALYTIC</t>
  </si>
  <si>
    <t>I3T</t>
  </si>
  <si>
    <t>CK 17</t>
  </si>
  <si>
    <t>HD</t>
  </si>
  <si>
    <t>MUFFLER COMPLETE-CTR</t>
  </si>
  <si>
    <t>봉고3 1톤/1.4톤</t>
  </si>
  <si>
    <t>작동불량</t>
  </si>
  <si>
    <t>MUFFLER ASSY-CTR</t>
  </si>
  <si>
    <t>28650R00</t>
  </si>
  <si>
    <t>MUFFLER ASSY-FR</t>
  </si>
  <si>
    <t>소음</t>
  </si>
  <si>
    <t>HS</t>
  </si>
  <si>
    <t>28610R00</t>
  </si>
  <si>
    <t>KA4 (YP 카니발 후속) 20</t>
  </si>
  <si>
    <t>MUFFLER ASSY-RR</t>
  </si>
  <si>
    <t>E</t>
  </si>
  <si>
    <t>D9</t>
  </si>
  <si>
    <t xml:space="preserve">          </t>
  </si>
  <si>
    <t>스포티지(후속) 16</t>
  </si>
  <si>
    <t>B28</t>
  </si>
  <si>
    <t>U.S.A</t>
  </si>
  <si>
    <t>G6</t>
  </si>
  <si>
    <t>ZZ2</t>
  </si>
  <si>
    <t>JA 17</t>
  </si>
  <si>
    <t>파손</t>
  </si>
  <si>
    <t>ZZ3</t>
  </si>
  <si>
    <t>단품불량</t>
  </si>
  <si>
    <t>C21</t>
  </si>
  <si>
    <t>UK</t>
  </si>
  <si>
    <t>28530R1A</t>
  </si>
  <si>
    <t>285302C910</t>
  </si>
  <si>
    <t>Q55</t>
  </si>
  <si>
    <t>ZZ4</t>
  </si>
  <si>
    <t>재질불량</t>
  </si>
  <si>
    <t>28700R00</t>
  </si>
  <si>
    <t>Q51</t>
  </si>
  <si>
    <t>B06</t>
  </si>
  <si>
    <t>CANADA</t>
  </si>
  <si>
    <t>A02</t>
  </si>
  <si>
    <t>AUSTRALIA</t>
  </si>
  <si>
    <t>I11</t>
  </si>
  <si>
    <t>현대</t>
  </si>
  <si>
    <t>H</t>
  </si>
  <si>
    <t>G9</t>
  </si>
  <si>
    <t>28530RQ0</t>
  </si>
  <si>
    <t>CONVERTER ASSY-W/UP CAT,RH</t>
  </si>
  <si>
    <t>엔진 출력부족</t>
  </si>
  <si>
    <t>한국</t>
  </si>
  <si>
    <t>MUFFLER COMPLETE-CHMBR &amp; CONV</t>
  </si>
  <si>
    <t>SDPF</t>
  </si>
  <si>
    <t>MANIFOLD CATALYTIC ASSY-EXH</t>
  </si>
  <si>
    <t>28511R1K</t>
  </si>
  <si>
    <t>A3</t>
  </si>
  <si>
    <t>ALL</t>
  </si>
  <si>
    <t>레이 11</t>
  </si>
  <si>
    <t>28530R1K</t>
  </si>
  <si>
    <t>2853004GJ1</t>
  </si>
  <si>
    <t>H8</t>
  </si>
  <si>
    <t>2851003GA1</t>
  </si>
  <si>
    <t>YB 17</t>
  </si>
  <si>
    <t>C17</t>
  </si>
  <si>
    <t>SPAIN</t>
  </si>
  <si>
    <t>2853004GG2</t>
  </si>
  <si>
    <t>C11</t>
  </si>
  <si>
    <t>ITALY</t>
  </si>
  <si>
    <t>변제합계</t>
    <phoneticPr fontId="5" type="noConversion"/>
  </si>
  <si>
    <t>차종명</t>
    <phoneticPr fontId="5" type="noConversion"/>
  </si>
  <si>
    <t>조립월</t>
    <phoneticPr fontId="5" type="noConversion"/>
  </si>
  <si>
    <t>원인코드</t>
    <phoneticPr fontId="5" type="noConversion"/>
  </si>
  <si>
    <t>현상코드</t>
    <phoneticPr fontId="5" type="noConversion"/>
  </si>
  <si>
    <t>주행거리(만단위)</t>
    <phoneticPr fontId="5" type="noConversion"/>
  </si>
  <si>
    <t>주행거리(오천단위)</t>
    <phoneticPr fontId="5" type="noConversion"/>
  </si>
  <si>
    <t>사용기간(6단위)</t>
    <phoneticPr fontId="5" type="noConversion"/>
  </si>
  <si>
    <t>사용기간(3단위)</t>
    <phoneticPr fontId="5" type="noConversion"/>
  </si>
  <si>
    <t>국가명 코드</t>
    <phoneticPr fontId="5" type="noConversion"/>
  </si>
  <si>
    <t>국가명</t>
    <phoneticPr fontId="5" type="noConversion"/>
  </si>
  <si>
    <t>품명구분</t>
    <phoneticPr fontId="5" type="noConversion"/>
  </si>
  <si>
    <t>통보서월</t>
    <phoneticPr fontId="5" type="noConversion"/>
  </si>
  <si>
    <t>품명대구분</t>
    <phoneticPr fontId="5" type="noConversion"/>
  </si>
  <si>
    <t>컨버터 사양</t>
    <phoneticPr fontId="5" type="noConversion"/>
  </si>
  <si>
    <t>차종명2</t>
    <phoneticPr fontId="5" type="noConversion"/>
  </si>
  <si>
    <t>누기</t>
  </si>
  <si>
    <t>≥60</t>
  </si>
  <si>
    <t>ZZ5</t>
  </si>
  <si>
    <t>상품성 불만</t>
  </si>
  <si>
    <t>286004E560</t>
  </si>
  <si>
    <t>2021-12</t>
  </si>
  <si>
    <t>2022-04</t>
  </si>
  <si>
    <t>28530R00</t>
  </si>
  <si>
    <t>2022-05</t>
  </si>
  <si>
    <t>GZ</t>
  </si>
  <si>
    <t>MQ4 20</t>
  </si>
  <si>
    <t>0T</t>
  </si>
  <si>
    <t>SG2 (니로 후속) 21</t>
  </si>
  <si>
    <t>2022-09</t>
  </si>
  <si>
    <t>2022-10</t>
  </si>
  <si>
    <t>2022-11</t>
  </si>
  <si>
    <t>≥100000</t>
  </si>
  <si>
    <t>28530R4A</t>
  </si>
  <si>
    <t>냉각수 문제</t>
  </si>
  <si>
    <t>W17</t>
  </si>
  <si>
    <t>W11</t>
  </si>
  <si>
    <t>IB</t>
  </si>
  <si>
    <t>CN7 고성능차 21</t>
  </si>
  <si>
    <t>L31</t>
  </si>
  <si>
    <t>2021-03</t>
  </si>
  <si>
    <t>WIA</t>
    <phoneticPr fontId="6" type="noConversion"/>
  </si>
  <si>
    <t>2023-05</t>
  </si>
  <si>
    <t>컨버터</t>
    <phoneticPr fontId="6" type="noConversion"/>
  </si>
  <si>
    <t>28601AT100</t>
  </si>
  <si>
    <t>MUFFLER COMPLETE-CTR &amp; SENSOR</t>
  </si>
  <si>
    <t>28620R00</t>
  </si>
  <si>
    <t>28607R0500</t>
  </si>
  <si>
    <t>28601AT600</t>
  </si>
  <si>
    <t>28607R00</t>
  </si>
  <si>
    <t>SLOANAZZ</t>
  </si>
  <si>
    <t>28607P2580</t>
  </si>
  <si>
    <t>2023-10</t>
  </si>
  <si>
    <t>쎄타</t>
    <phoneticPr fontId="6" type="noConversion"/>
  </si>
  <si>
    <t>머플러</t>
    <phoneticPr fontId="6" type="noConversion"/>
  </si>
  <si>
    <t>람다</t>
    <phoneticPr fontId="2" type="noConversion"/>
  </si>
  <si>
    <t>KA4 DPF</t>
    <phoneticPr fontId="6" type="noConversion"/>
  </si>
  <si>
    <t>287504E960</t>
  </si>
  <si>
    <t>MUFFLER ASSY-TAIL</t>
  </si>
  <si>
    <t>40700R00</t>
  </si>
  <si>
    <t>28607R0550</t>
  </si>
  <si>
    <t>D26</t>
  </si>
  <si>
    <t>TURKEY</t>
  </si>
  <si>
    <t>2024-01</t>
  </si>
  <si>
    <t>285302GLB0</t>
  </si>
  <si>
    <t>2022-02</t>
  </si>
  <si>
    <t>2024-03</t>
  </si>
  <si>
    <t>28950R00</t>
  </si>
  <si>
    <t>2023-02</t>
  </si>
  <si>
    <t>2023-08</t>
  </si>
  <si>
    <t>카파(KIA)</t>
    <phoneticPr fontId="2" type="noConversion"/>
  </si>
  <si>
    <t>외관 불량</t>
  </si>
  <si>
    <t>2021-10</t>
  </si>
  <si>
    <t>28950A00</t>
  </si>
  <si>
    <t>2023-03</t>
  </si>
  <si>
    <t>2022-12</t>
  </si>
  <si>
    <t>MQ4 DPF</t>
    <phoneticPr fontId="6" type="noConversion"/>
  </si>
  <si>
    <t>28530RZZ</t>
  </si>
  <si>
    <t>L33</t>
  </si>
  <si>
    <t>HC</t>
  </si>
  <si>
    <t>MQ4 20 HEV</t>
  </si>
  <si>
    <t>2024-06</t>
  </si>
  <si>
    <t>2021-04</t>
  </si>
  <si>
    <t>2024-02</t>
  </si>
  <si>
    <t>MUFFLER ASSY-MAIN</t>
  </si>
  <si>
    <t>2022-08</t>
  </si>
  <si>
    <t>I3</t>
  </si>
  <si>
    <t>코나(상품성개선) 고성능차 21</t>
  </si>
  <si>
    <t>2853007031</t>
  </si>
  <si>
    <t>C16</t>
  </si>
  <si>
    <t>PORTUGAL</t>
  </si>
  <si>
    <t>28950R1K</t>
  </si>
  <si>
    <t>D19</t>
  </si>
  <si>
    <t>TUNISIA</t>
  </si>
  <si>
    <t>2853008220</t>
  </si>
  <si>
    <t>28950R4K</t>
  </si>
  <si>
    <t>2853008250</t>
  </si>
  <si>
    <t>2020-11</t>
  </si>
  <si>
    <t>2021-09</t>
  </si>
  <si>
    <t>2021-01</t>
  </si>
  <si>
    <t>2024-08</t>
  </si>
  <si>
    <t>C07</t>
  </si>
  <si>
    <t>GERMANY</t>
  </si>
  <si>
    <t>떨림</t>
  </si>
  <si>
    <t>BU</t>
  </si>
  <si>
    <t>285302GXC0</t>
  </si>
  <si>
    <t>28530R3L</t>
  </si>
  <si>
    <t>2024-05</t>
  </si>
  <si>
    <t>2853008450</t>
  </si>
  <si>
    <t>2025-03</t>
  </si>
  <si>
    <t>28600R00</t>
  </si>
  <si>
    <t>조립 불량</t>
  </si>
  <si>
    <t>287004E740</t>
  </si>
  <si>
    <t>E37</t>
  </si>
  <si>
    <t>SOUTH AFRICA</t>
  </si>
  <si>
    <t>2019-09</t>
  </si>
  <si>
    <t>MK0</t>
  </si>
  <si>
    <t>2853008460</t>
  </si>
  <si>
    <t>285302GSH0</t>
  </si>
  <si>
    <t>Q71</t>
  </si>
  <si>
    <t>285302GLA0</t>
  </si>
  <si>
    <t>2023-09</t>
  </si>
  <si>
    <t>2025/09/29</t>
  </si>
  <si>
    <t>Q72</t>
  </si>
  <si>
    <t>99NSTZ0T</t>
  </si>
  <si>
    <t>2022-07</t>
  </si>
  <si>
    <t>2023-12</t>
  </si>
  <si>
    <t>2021-06</t>
  </si>
  <si>
    <t>카파(WIA)</t>
    <phoneticPr fontId="6" type="noConversion"/>
  </si>
  <si>
    <t>2024-12</t>
  </si>
  <si>
    <t>냄새과다</t>
  </si>
  <si>
    <t>2024-04</t>
  </si>
  <si>
    <t>2019-10</t>
  </si>
  <si>
    <t>GX1</t>
  </si>
  <si>
    <t>H23</t>
  </si>
  <si>
    <t>99NGOZ0T</t>
  </si>
  <si>
    <t>B21</t>
  </si>
  <si>
    <t>2021-11</t>
  </si>
  <si>
    <t>2018-09</t>
  </si>
  <si>
    <t>2019-07</t>
  </si>
  <si>
    <t>1Y</t>
  </si>
  <si>
    <t>SX2(코나 후속) 하이브리드 23</t>
  </si>
  <si>
    <t>2021-07</t>
  </si>
  <si>
    <t>28650R0500</t>
  </si>
  <si>
    <t>Q75</t>
  </si>
  <si>
    <t>28710A3550</t>
  </si>
  <si>
    <t>2023-04</t>
  </si>
  <si>
    <t>DD1</t>
  </si>
  <si>
    <t>28650P4670</t>
  </si>
  <si>
    <t>28650R1H</t>
  </si>
  <si>
    <t>2023/05/31</t>
  </si>
  <si>
    <t>20220919</t>
  </si>
  <si>
    <t>2020-07</t>
  </si>
  <si>
    <t>2026/01/19</t>
  </si>
  <si>
    <t>2025-01</t>
  </si>
  <si>
    <t>2026/01/26</t>
  </si>
  <si>
    <t>28607P2570</t>
  </si>
  <si>
    <t>2020-08</t>
  </si>
  <si>
    <t>DK0</t>
  </si>
  <si>
    <t>28710AT100</t>
  </si>
  <si>
    <t>I3A</t>
  </si>
  <si>
    <t>Q57</t>
  </si>
  <si>
    <t>286004E850</t>
  </si>
  <si>
    <t>2853007035</t>
  </si>
  <si>
    <t>20211209</t>
  </si>
  <si>
    <t>20251218</t>
  </si>
  <si>
    <t>20220817</t>
  </si>
  <si>
    <t>년도</t>
    <phoneticPr fontId="5" type="noConversion"/>
  </si>
  <si>
    <t>분기</t>
    <phoneticPr fontId="5" type="noConversion"/>
  </si>
  <si>
    <t>285302C840</t>
  </si>
  <si>
    <t>2020/02/07</t>
  </si>
  <si>
    <t>2026년</t>
  </si>
  <si>
    <t>2026/02/09</t>
  </si>
  <si>
    <t>2026/02/24</t>
  </si>
  <si>
    <t>2026/02/23</t>
  </si>
  <si>
    <t>209</t>
  </si>
  <si>
    <t>V82</t>
  </si>
  <si>
    <t>ZZ1</t>
  </si>
  <si>
    <t>2025-09</t>
  </si>
  <si>
    <t>설계문제</t>
  </si>
  <si>
    <t>2018-03</t>
  </si>
  <si>
    <t>2020-03</t>
  </si>
  <si>
    <t>285302GSG0</t>
  </si>
  <si>
    <t>Q52</t>
  </si>
  <si>
    <t>2026/01/27</t>
  </si>
  <si>
    <t>A38</t>
  </si>
  <si>
    <t>2023/07/18</t>
  </si>
  <si>
    <t>2024/06/20</t>
  </si>
  <si>
    <t>QUICKRZZ</t>
  </si>
  <si>
    <t>Z0Z</t>
  </si>
  <si>
    <t>R</t>
  </si>
  <si>
    <t>99990Z00</t>
  </si>
  <si>
    <t>2023/09/25</t>
  </si>
  <si>
    <t>D06</t>
  </si>
  <si>
    <t>ISRAEL</t>
  </si>
  <si>
    <t>2021-05</t>
  </si>
  <si>
    <t>2023-07</t>
  </si>
  <si>
    <t>2022-06</t>
  </si>
  <si>
    <t>2026/03</t>
  </si>
  <si>
    <t>2026/03/05</t>
  </si>
  <si>
    <t>2026/03/04</t>
  </si>
  <si>
    <t>EX0</t>
  </si>
  <si>
    <t>2026/02/26</t>
  </si>
  <si>
    <t>MX0</t>
  </si>
  <si>
    <t>2023-01</t>
  </si>
  <si>
    <t>2023/03/31</t>
  </si>
  <si>
    <t>2025/03/07</t>
  </si>
  <si>
    <t>2026/03/09</t>
  </si>
  <si>
    <t>8S</t>
  </si>
  <si>
    <t>2026/03/02</t>
  </si>
  <si>
    <t>28600ES100</t>
  </si>
  <si>
    <t>2026/01/13</t>
  </si>
  <si>
    <t>KNDCP3LE6T5319041</t>
  </si>
  <si>
    <t>[D]CONDITION: C/S THAT THE CHECK ENGINE LIGHT IS ON CORRECTION: VERIFIED THE CUSTOMER S CONCERN OF CHECK ENGINE LIGHT. ACCESSED THE DIAGNOSTIC PORT AND PERFORMED A SCAN TO FIND ACTIVE CODE(S) P0420 WHICH IS RELATED TO CATALYST CONVERTER EFFICIENCY BELOW THRESHOLD. FURTHER EXAMINATION FOUND THE BANK 1 CATALYTIC CONVERTER IS PLUGGED AND EXHAUST REDUCTION IS INSUFFICIENT. ACCESSED, REMOVED AND REPLACEDTHE BANK 1 CATALYTIC CONVERTER WITH ALL OTHER RELATED NEW SEALS GASKETS AND/OR NON-REUSABLE HARDWARE AND REINSTALLED ALL COMPONENTS REMOVED FOR REPAIRS IN THE REVERSE ORDER OF REMOVAL. ATTACHED A SCAN REPORT. CLEARED ALL DIAGNOSTIC TROUBLE CODES AND VERIFIED CODES RETURNED. RESET ADAPTION VALUES. ROAD TESTED THE VEHICLE 4 MILES TO VERIFY REPAIRS. THE SYSTEM IS NOW OPERATING AS DESIGNED.</t>
  </si>
  <si>
    <t>2025/07/22</t>
  </si>
  <si>
    <t>2025/10/01</t>
  </si>
  <si>
    <t>2025-07</t>
  </si>
  <si>
    <t>2026/03/25</t>
  </si>
  <si>
    <t>2025-04</t>
  </si>
  <si>
    <t>2019-08</t>
  </si>
  <si>
    <t>2026/03/13</t>
  </si>
  <si>
    <t>B1E</t>
  </si>
  <si>
    <t>2024-10</t>
  </si>
  <si>
    <t>2026/02/25</t>
  </si>
  <si>
    <t>2025-05</t>
  </si>
  <si>
    <t>B15</t>
  </si>
  <si>
    <t>28710G6BA0</t>
  </si>
  <si>
    <t>NICARAGUA</t>
  </si>
  <si>
    <t>B05</t>
  </si>
  <si>
    <t>BRAZIL</t>
  </si>
  <si>
    <t>A12</t>
  </si>
  <si>
    <t>녹, 부식</t>
  </si>
  <si>
    <t>2026-02</t>
  </si>
  <si>
    <t>2853008501</t>
  </si>
  <si>
    <t>CONVERTER ASSY W/UP CATALYTIC</t>
  </si>
  <si>
    <t>2025/11/10</t>
  </si>
  <si>
    <t>2026-01</t>
  </si>
  <si>
    <t>HMB</t>
  </si>
  <si>
    <t>GH</t>
  </si>
  <si>
    <t>2851004510</t>
  </si>
  <si>
    <t>MANIFOLD CATALYTIC ASSY-EXHAUST</t>
  </si>
  <si>
    <t>28511R5T</t>
  </si>
  <si>
    <t>BR2 19</t>
  </si>
  <si>
    <t>카파(HMB)</t>
    <phoneticPr fontId="6" type="noConversion"/>
  </si>
  <si>
    <t>20230830</t>
  </si>
  <si>
    <t>20210727</t>
  </si>
  <si>
    <t>20260202</t>
  </si>
  <si>
    <t>20211110</t>
  </si>
  <si>
    <t>20220701</t>
  </si>
  <si>
    <t>20221026</t>
  </si>
  <si>
    <t>차종명2</t>
  </si>
  <si>
    <t>쎄타</t>
  </si>
  <si>
    <t>카파(KIA)</t>
  </si>
  <si>
    <t>총합계</t>
  </si>
  <si>
    <t>품명구분</t>
  </si>
  <si>
    <t>EHRS</t>
  </si>
  <si>
    <t>통보서월</t>
  </si>
  <si>
    <t>2026/04</t>
  </si>
  <si>
    <t>GK1</t>
  </si>
  <si>
    <t>2분기</t>
  </si>
  <si>
    <t>2026/04/01</t>
  </si>
  <si>
    <t>MX9</t>
  </si>
  <si>
    <t>2026/04/08</t>
  </si>
  <si>
    <t>2026/04/09</t>
  </si>
  <si>
    <t>KK0</t>
  </si>
  <si>
    <t>2026/04/21</t>
  </si>
  <si>
    <t>2026/04/20</t>
  </si>
  <si>
    <t>2022-03</t>
  </si>
  <si>
    <t>2026/04/28</t>
  </si>
  <si>
    <t>2022/06/29</t>
  </si>
  <si>
    <t>JK4</t>
  </si>
  <si>
    <t>2022/08/24</t>
  </si>
  <si>
    <t>2026/04/02</t>
  </si>
  <si>
    <t>2026/04/15</t>
  </si>
  <si>
    <t>2026/04/13</t>
  </si>
  <si>
    <t>28650P2960</t>
  </si>
  <si>
    <t>2026/04/10</t>
  </si>
  <si>
    <t>2026/03/30</t>
  </si>
  <si>
    <t>2026-03</t>
  </si>
  <si>
    <t>2024/03/11</t>
  </si>
  <si>
    <t>215</t>
  </si>
  <si>
    <t>I12</t>
  </si>
  <si>
    <t>0K60A40100J</t>
  </si>
  <si>
    <t>M/SILENCER ASSY</t>
  </si>
  <si>
    <t>D05</t>
  </si>
  <si>
    <t>IRAQ</t>
  </si>
  <si>
    <t>285102G520</t>
  </si>
  <si>
    <t>MODULE ASSY-WCC</t>
  </si>
  <si>
    <t>28511R1A</t>
  </si>
  <si>
    <t>KNDPR3A60L7827274</t>
  </si>
  <si>
    <t>2020/03/18</t>
  </si>
  <si>
    <t>2026/02/18</t>
  </si>
  <si>
    <t>2020/05/23</t>
  </si>
  <si>
    <t>2026/04/07</t>
  </si>
  <si>
    <t>D15</t>
  </si>
  <si>
    <t>SAUDI ARA</t>
  </si>
  <si>
    <t>28600P4740</t>
  </si>
  <si>
    <t>2026/03/18</t>
  </si>
  <si>
    <t>C26</t>
  </si>
  <si>
    <t>HUNGARY</t>
  </si>
  <si>
    <t>C99</t>
  </si>
  <si>
    <t>N99</t>
  </si>
  <si>
    <t>기타</t>
  </si>
  <si>
    <t>2025/09/30</t>
  </si>
  <si>
    <t>28710G6200</t>
  </si>
  <si>
    <t>2026/04/16</t>
  </si>
  <si>
    <t>285302GTA0</t>
  </si>
  <si>
    <t>JS N 18</t>
  </si>
  <si>
    <t>285303LXA0</t>
  </si>
  <si>
    <t>CONVERTER ASSY-W/UP CAT, LH</t>
  </si>
  <si>
    <t>G70 17/21/23</t>
  </si>
  <si>
    <t>28530R7L</t>
  </si>
  <si>
    <t>B24</t>
  </si>
  <si>
    <t>컨버터</t>
    <phoneticPr fontId="2" type="noConversion"/>
  </si>
  <si>
    <t>2020-12</t>
  </si>
  <si>
    <t>RK0</t>
  </si>
  <si>
    <t>2025-11</t>
  </si>
  <si>
    <t>2851003GB1</t>
  </si>
  <si>
    <t>B08</t>
  </si>
  <si>
    <t>COLOMBIA</t>
  </si>
  <si>
    <t>람다</t>
  </si>
  <si>
    <t>2026051WW</t>
  </si>
  <si>
    <t>2026/05</t>
  </si>
  <si>
    <t>GX94402026W00042700</t>
  </si>
  <si>
    <t>KNACT81EGPA052686</t>
  </si>
  <si>
    <t>[C]1.현상 : 엔진과열경고등 임시점듬. 부동액 부족 시동 걸거나 끌때 물 흐르는소리 크게남 2.점검내용 및 원인 : KDS 진단점검 고장코드 없음 냉각수 보조통 냉각수량 부족 확인 엔진 및 외관장치 누수없음 머플러 후단 점검시 배기열회수장치 누수 확인 3.조치내용 : 배기열회수장치 교환</t>
  </si>
  <si>
    <t>2022/09/29</t>
  </si>
  <si>
    <t>2026/05/07</t>
  </si>
  <si>
    <t>2022/09/30</t>
  </si>
  <si>
    <t>GX9</t>
  </si>
  <si>
    <t>GX90402026W00016000</t>
  </si>
  <si>
    <t>KNACR81EGRA087408</t>
  </si>
  <si>
    <t>[C]1.현상 : 엔진과열 경고등 점등 및 냉각수 없음 2.점검내용 및 원인 : 엔진측 누수 없음, 머플러 점검시 누유 흔적 확인 3.조치내용 : 중간 머플러 교환 및 부동액 보충</t>
  </si>
  <si>
    <t>2023/02/15</t>
  </si>
  <si>
    <t>2023/02/17</t>
  </si>
  <si>
    <t>MK06502026W00105400</t>
  </si>
  <si>
    <t>KNARK81BHPA176577</t>
  </si>
  <si>
    <t>[C]1.현상 : 경고등 점등으로 입고 2.점검내용 및 원인 : 고장코드 점검시 P20EE00 SCR NOx 정화 효율 낮음 확인 DPF 탈거후 확인시 머플러에 그을음 과다 발생 확인 3.조치내용 : 중앙머플러 교환</t>
  </si>
  <si>
    <t>2022/08/25</t>
  </si>
  <si>
    <t>NK05202026W00073200</t>
  </si>
  <si>
    <t>KNARH81BHTA392586</t>
  </si>
  <si>
    <t>[C]1.현상 : 경고등 점등, 요소수 시스템 점검 메세지 표출 2.점검내용 및 원인 : 진단결과 P20F500 요소수 소모량 높음 진단시 SCR 처음 노즐 막힘 (11,12 사진) 녹스 센서 쪽 조립 불량 으로 SCR 누설 흑적 보임 (10번 사진) SCR 구동시 아래 노즐 치합이 안맞음 (동영상 첨부)으로 밖으로 누설됨 노즐 및 챔버 치합 부분에 변형으로 인하여 함께 교환함 (1,2 번 사진) 3.조치내용 : 챔버 컨버터 머플러 ,도징노즐, 녹스센서 교환 ① 대여 시작일(5/19 ) ~ 대여 종료일(5/22 ) ② 결품 청구일( 5/19) ~ 결품 조치일(5/22 ) 일반부품 ③ 작업 시작일(5/21 )~ 작업 종료일(5/22 ) ④ 특기사항 05/22(금) 오후에 작업이 완료되어 05/22(금) 고객 차량인도 및 무상대여차 반납</t>
  </si>
  <si>
    <t>29650R00</t>
  </si>
  <si>
    <t>2025/11/05</t>
  </si>
  <si>
    <t>2026/05/22</t>
  </si>
  <si>
    <t>2025/11/06</t>
  </si>
  <si>
    <t>NK0</t>
  </si>
  <si>
    <t>LX21502026W00022300</t>
  </si>
  <si>
    <t>KNANE81BBMS016932</t>
  </si>
  <si>
    <t>[C]1.현상 : 경고등 점등으로 정비의뢰함. 2.점검내용 및 원인 : KDS 진단점검 및 센서출력 점검. SCR P2CEE00 SCR NOX 정화 효율 낮음 경고등 점등됨. DPF SOOT량이 0.39g 표출됨. 3.조치내용 : CPF 강제생 후 출고함.</t>
  </si>
  <si>
    <t>2020/09/26</t>
  </si>
  <si>
    <t>2026/05/06</t>
  </si>
  <si>
    <t>2020/10/06</t>
  </si>
  <si>
    <t>2020-09</t>
  </si>
  <si>
    <t>LX2</t>
  </si>
  <si>
    <t>LX21502026W00023000</t>
  </si>
  <si>
    <t>2026/05/14</t>
  </si>
  <si>
    <t>GK02802026W00138200</t>
  </si>
  <si>
    <t>KNANE81BBMS033421</t>
  </si>
  <si>
    <t>[C]1.현상 : 주행중 요소수 경고등 점등 발생으로 입고 2.점검내용 및 원인 : 자기진단결과정상 DPF LNT 강제재생시 슈트량1937.89G 발생으로 머플러챔버 컴버터 재질불량으로 인한 내부 이상으로 슈트량 계속 발생으로 간헐적인 경고등 점등됨 3.조치내용 : 센터머플러교환</t>
  </si>
  <si>
    <t>2020/11/06</t>
  </si>
  <si>
    <t>2026/05/13</t>
  </si>
  <si>
    <t>2020/11/12</t>
  </si>
  <si>
    <t>GK0</t>
  </si>
  <si>
    <t>GX91802026W00026700</t>
  </si>
  <si>
    <t>KNANB81BBMS044692</t>
  </si>
  <si>
    <t>[C]1.현상 : 요소수 경고등 및 750km후 시동 안걸림 문구 표출로 입고 2.점검내용 및 원인 : kds 진단 점검시 P229E00 P220F00 후단 녹스 센서 이상 표출되어 시운전시 센서값 확인시 65555으로 후단 센서값 고정확인되 SCR 탈착 후 점검시 균열 발견됨 3.조치내용 : SCR 교체시 배기온도 센서의 고착으로 변형되어 배기온도 센서와 요소수 도징 클램프도 같이 교환함 재 시운전시 정상 작동 확인 후 정상출고 함</t>
  </si>
  <si>
    <t>00999A0F</t>
  </si>
  <si>
    <t>2020/12/07</t>
  </si>
  <si>
    <t>2026/05/18</t>
  </si>
  <si>
    <t>2020/12/15</t>
  </si>
  <si>
    <t>KK00202026W00067700</t>
  </si>
  <si>
    <t>KNANB81BBNS163939</t>
  </si>
  <si>
    <t>[C]1.현상 : 경고등점등 차량 입고 2.점검내용 및 원인 : P20EE00 SCR 정화효율 낮음 경고등 표출 SCR 막힘 확인 3.조치내용 : SCR 교환후 출고</t>
  </si>
  <si>
    <t>2021/12/22</t>
  </si>
  <si>
    <t>2026/04/29</t>
  </si>
  <si>
    <t>2021/12/23</t>
  </si>
  <si>
    <t>GK23602026W00049900</t>
  </si>
  <si>
    <t>KNANC81BBNS180394</t>
  </si>
  <si>
    <t>[C]1.현상 : 경고등점등 점검의뢰 2.점검내용 및 원인 : P2C7A00 SCR 경고등확인 3.조치내용 : SCR 교환후 정상출고함</t>
  </si>
  <si>
    <t>2022/02/24</t>
  </si>
  <si>
    <t>2026/05/15</t>
  </si>
  <si>
    <t>2022/02/28</t>
  </si>
  <si>
    <t>GK2</t>
  </si>
  <si>
    <t>KK37902026W00069200</t>
  </si>
  <si>
    <t>KNARM81FGRA285285</t>
  </si>
  <si>
    <t>[C]1.현상 : 공회전시 머플러에서 드드드드 소음 과다 발생으로 입고. 2.점검내용 및 원인 : 머플러 소음 과다 발생 확인. 점검시 중앙머플러 내부 소음 과다. 3.조치내용 : 중앙 머플러 교환.</t>
  </si>
  <si>
    <t>2024/03/04</t>
  </si>
  <si>
    <t>2026/05/20</t>
  </si>
  <si>
    <t>2024/03/05</t>
  </si>
  <si>
    <t>KK3</t>
  </si>
  <si>
    <t>GX12402026W00045200</t>
  </si>
  <si>
    <t>KNARJ81FGTA414102</t>
  </si>
  <si>
    <t>[C]1.현상 : 공회전및 악셀 작동시 소음발생 입고 2.점검내용 및 원인 : 동일 조건 확인시 중간머플러 소음발생 확인됨 (소음동영상 첨부) 머플러 부품불량으로 인한 공회전및 악셀 작동시 상기소음발생 확인함 3.조치내용 : 중간 머플러교환</t>
  </si>
  <si>
    <t>JK41902026W00175500</t>
  </si>
  <si>
    <t>KNANC81BBPS378595</t>
  </si>
  <si>
    <t>[C]1.현상 : 주행하다 보면 후미쪽에서 머플러같은게 풀려서 다닥다닥 거리는 소리나신다고 함. 2.점검내용 및 원인 : 정차후 출발시 타닥타닥 소음문의로, 머플러 및 하체부품 외관 전반적인 점검 진행 함. 고객상담진행시 머플러 열에 의한 소음으로 판단됨. 3.조치내용 : 머플러 열에의한 소음으로 고객설명 후 점검후정상 출고</t>
  </si>
  <si>
    <t>28650ATT</t>
  </si>
  <si>
    <t>2023/08/25</t>
  </si>
  <si>
    <t>2023/09/22</t>
  </si>
  <si>
    <t>KX90702026W00031200</t>
  </si>
  <si>
    <t>KNARL81FGTA400232</t>
  </si>
  <si>
    <t>28710C5850-DS</t>
  </si>
  <si>
    <t>[C]1.현상 : 소음기 소음 과다로 입고됨 2.점검내용 및 원인 : 점검 시 소음기 내부 이상으로 인한 현상으로 판단 3.조치내용 : 리어 머플러 교환 후 출고함</t>
  </si>
  <si>
    <t>2025/12/15</t>
  </si>
  <si>
    <t>2026/05/04</t>
  </si>
  <si>
    <t>2025-12</t>
  </si>
  <si>
    <t>KX9</t>
  </si>
  <si>
    <t>2050002026W00758700</t>
  </si>
  <si>
    <t>KNAB3518BTT518668</t>
  </si>
  <si>
    <t>28710G6110</t>
  </si>
  <si>
    <t>[C]1.현상 : 주행중 변속 레버 R, D 레인지 신호대기 정차중 리어측에서 "두두두" 하는 이음 발생 (N, P단 시는 이음 미발생) 2.점검내용 및 원인 : D단 정차 및 에어컨 가동시 엔진, 미션 부하 가중에 따라 리어 머풀러 공명 떨림 변화 차이 발생 점검, 머플러 장착 상태 점검, 하부 충격 점검, 시운전 3.조치내용 : 리어 머플러 불량으로 교환.</t>
  </si>
  <si>
    <t>2026-04</t>
  </si>
  <si>
    <t>205</t>
  </si>
  <si>
    <t>LX00602026W00016500</t>
  </si>
  <si>
    <t>KNARH81GBTA522199</t>
  </si>
  <si>
    <t>28710P4300</t>
  </si>
  <si>
    <t>[C]1.현상 : 차량 고객 인도전 머플러 발청건으로 고객의 차량 인수 거부로 인한 불만 2.점검내용 및 원인 : 리어 머플러 및 머플러 전체 발청으로 인한 신찬 품질불만 제기차량 용접과정 설명하였으나, 납득 못함으로 리어 머플러교환요구. 3.조치내용 : 신품 교환조치후 주재원 고객 면담후 차량 인도 실시함</t>
  </si>
  <si>
    <t>2026/05/16</t>
  </si>
  <si>
    <t>2026/04/27</t>
  </si>
  <si>
    <t>LX0</t>
  </si>
  <si>
    <t>2026051WA</t>
  </si>
  <si>
    <t>2110002026W00314000</t>
  </si>
  <si>
    <t>KNANC81ABTS160041</t>
  </si>
  <si>
    <t>[C]1.현상 : 1) 주행을 하거나 시동시 정차중 뒷쪽 하부에서 텅텅거리는 쇳소리 2.점검내용 및 원인 : 점검결과 주행 후 정차중 소음기에서 열팽창 &amp; 수축 소음이 동일차종 대비 딱~딱~ 과다하게 발생함 (동영상 첨부) 3.조치내용 : 고객불만이 과다하고 동일차종 대비 이음이 과다하여 소음기 교환 및 고객설득후 출고..</t>
  </si>
  <si>
    <t>Q84</t>
  </si>
  <si>
    <t>카니발 상품성개선 하이브리드 24</t>
  </si>
  <si>
    <t>211</t>
  </si>
  <si>
    <t>D05VA7777734218 000</t>
  </si>
  <si>
    <t>KNCSJZ71AT7874410</t>
  </si>
  <si>
    <t>[C]CHECK THE LOUD NOISE WHILE DRIVING [R]REPLACED DEFECTIVE PARTS [T]AFTER CHECK FOUND MUFFLER ASSY-MAIN DEFECTIVE</t>
  </si>
  <si>
    <t>2025/07/07</t>
  </si>
  <si>
    <t>2026/01/20</t>
  </si>
  <si>
    <t>B28VACA198260018001</t>
  </si>
  <si>
    <t>KNDPR3A64J7325641</t>
  </si>
  <si>
    <t>285102G010</t>
  </si>
  <si>
    <t>[D]CONDITION: CONFIRMED CUSTOMER CONCERN CHECK ENGINE ON. SCANNED FOR CODES FOUND P0420 CATALYST SYSTEM EFFICIENCY BELOW THRESHOLD. LOOKED UP VIA KDS DATA ANALYSIS LISTING UPSTREAM AND DOWNSTREAM OXYGENSENSORS. FOUND ABNORMAL DOWNSTREAM O2 SENSOR MIRRORING ACTIVITY TO UPSTREAM O2 SENSOR DUE TO ABNORMAL CATALYST PERFORMANCE. ADVISE REMOVAL AND REPLACEMENT MANIFOLD CATALYST ASSEMBLY,GASKETS AND NUTS.RECHECK AFTER REPAIRS COMPLETING MONITORS. CORRECTION: 69044 130 CONFIRMED CUSTOMER CONCERN CHECK ENGINE ON. SCANNED FOR CODES FOUND P0420 CATALYST SYSTEM EFFICIENCY BELOW THRESHOLD. LOOKED UP VIA KDS DATA ANALYSIS LISTING UPSTREAM AND DOWNSTREAM OXYGEN SENSORS. FOUND ABNORMAL DOWNSTREAM O2 SENSOR MIRRORING ACTIVITY TO UPSTREAM O2 SENSOR DUE TO ABNORMAL CATALYST PERFORMANCE. REMOVED AND REPLACED MANIFOLD CATALYST ASSEMBLY,GASKETS AND NUTS DUE TO INTERNAL CATALYST DETERIORATION INTERNAL TO CATALYST ELEMENT.NO FURTHER RECOMMENDATIONS FOUND. 28530R1ACatalyst Case Assy (Wa</t>
  </si>
  <si>
    <t>28511RZZ</t>
  </si>
  <si>
    <t>2017/05/18</t>
  </si>
  <si>
    <t>2018/04/08</t>
  </si>
  <si>
    <t>2017-05</t>
  </si>
  <si>
    <t>B28VACA198260018002</t>
  </si>
  <si>
    <t xml:space="preserve">B06VA531392671132G </t>
  </si>
  <si>
    <t>KNDPRCA6XJ7476502</t>
  </si>
  <si>
    <t>[C]DIAGNOSE CUSTOMER CONCERN: DIAG FEE OF $179.95 PLUS TAX MAY APPLY: C/S CHECK ENGINE LIGHT IS ON [R].replaced primary catalytic converter, studs, nuts and gaskets. replaced bank 1 primary and secondary O2 sensors. cleared codes. reset adaptive values. road tested - all ok. [T]Scanned vehicle for code and get 2 active codes, code 1 P209600 (primary cat) and code 2 P219600 (o2 sensor bank 1). Inspected the cat and tapped it with rubber mallet and it made rattling noise coming from inside the cat. Removed upper o2 sensor found spotting, running rich top and lean in the bott</t>
  </si>
  <si>
    <t>2018/03/07</t>
  </si>
  <si>
    <t>2026/05/01</t>
  </si>
  <si>
    <t>2019/02/14</t>
  </si>
  <si>
    <t>B28VANC0412670642-B</t>
  </si>
  <si>
    <t>KNDPRCA63K7566723</t>
  </si>
  <si>
    <t>[D]CONDITION: CAR LUNGES AND LOOSES POWER ACCEL AND CKECK ENG LIGHT ON CAUSE: LOW EFFICENCEY CONVERTERCADLITIC CONVERTER COMING APART CORRECTION: REPLACE CAD CONVERTER .</t>
  </si>
  <si>
    <t>2018/09/03</t>
  </si>
  <si>
    <t>2018/11/19</t>
  </si>
  <si>
    <t>B28VACA3242643417-C</t>
  </si>
  <si>
    <t>KNDCR3LE4R5172558</t>
  </si>
  <si>
    <t>[D]CUSTOMER CONCENED CHECK ENGIEN LIGHT IS ON AND FLAHSING AT TIMES VERIFIED CONCERN. TOOK VEHICLE ON A TEST DRIVE AND I WAS ABLE TO DUPLICATE THE LACK OF POWER OR ACCELERATION. PERFORMED TROUBLE CODE SEARCH USING KDS AND FOUND TROUBLE CODES: P0420 CATALYST SYSTEM, P0301, P0302, P0303, P0304, P0300 FOR RANDOM MISFIRES. REMOVED UPSTREAM O2 SENSOR AND PERFORMED CATALYTIC CONVERTER INSPECTION WITH BORE SCOPE CAMERA AND FOUND CATALYTIC CLOGGED, ALSO FOUND ABNORMAL HOT/BURNT SPOTS AROUND MESH FILTER. ALSO REMOVED EXHAUST FLEX PIPE TO INSPECT LOWER END OF CATALYTIC CONVERTER AND FOUND EXCESSIVE DEBRIS OR PARTICLES CONFIRMING CLOGGED CATALYTIC CONVERTER. THIS CONDITION CAN ALSO CAUSE VEHICLE S CYLINDERS TO MISFIRE. AT THIS TIME RECOMMEND REPLACING CATALYTIC CONVERTER AND CONTINUE WITH DIAGNOSIS. VDN# B28VACA324260416001I</t>
  </si>
  <si>
    <t>2024/02/03</t>
  </si>
  <si>
    <t>2024/05/13</t>
  </si>
  <si>
    <t>B28VAFL0102659648-A</t>
  </si>
  <si>
    <t>B28VATX0182689163-1</t>
  </si>
  <si>
    <t>KNDCP3LE4T5332516</t>
  </si>
  <si>
    <t>[D]CUSTOMER STATES CHECK ENGINE LIGHT IS ACTIVE ON DASH. WILL WANT INSPECTED checked vehicle for codes, vehicle had code P04200, monitored O2 sensor live data and found signal erratic from rear O2 sensor, replaced sensor and cleared codes and adaptations. Test drove vehicle and after test drive code came back, found CAT converter not filtering out correctly. replaced CAT converter. Test drove, all okay at this time. No further action needed</t>
  </si>
  <si>
    <t>2025/09/25</t>
  </si>
  <si>
    <t>B28VANV0122637679-A</t>
  </si>
  <si>
    <t>KNDCP3LE7T5344028</t>
  </si>
  <si>
    <t>[D]CUSTOMER STATES CHECK ENGINE LIGHT IS ON---CHECK AND ADVISE. NEED PWA BEFORE REPAIR. VERIFIED THE CUSTOMER S CONCERN OF CHECK ENGINE LIGHT. CHECKED KIA GLOBAL INFORMATION SYSTEM FOR RECALLS,TECHNICAL SERVICE BULLETINS, AND WARRANTY EXTENSIONS AND FOUND NO DOCUMENTS RELATED TO THE VEHICLESCONCERN. ACCESSED THE DIAGNOSTIC PORT AND PERFORMED A SCAN TO FIND ACTIVE CODE(S) P04200 WHICH IS RELATED TO CATALYST SYSTEM EFFICIENCY BELOW THRESHOLD. MONITORED RELATED SCAN TOOL DATA OF THE UPSTREAM O2 SENSOR AND DOWNSTREAM 02 SENSOR TO FIND DATA READING WERE THE SAME INDICATING A DEFECTIVE CATALYTIC CONVERTER. FURTHER EXAMINATION FOUND THE BANK 1 CATALYTIC CONVERTER IS INTERNALLY LOOSE. ACCESSED, REMOVED AND REPLACED THE BANK 1 CATALYTIC CONVERTER WITH ALL OTHER RELATED NEW SEALS GASKETS AND/OR NON-REUSABLE HARDWARE AND REINSTALLED ALL COMPONENTS REMOVED FOR REPAIRS IN THE REVERSE ORDER OF REMOVAL. CLEARED ALL DIAGNOSTIC TROUBLE CODES AND VERIFIED CODES DID NOT RETURN. RESET ADAPTION VALUE</t>
  </si>
  <si>
    <t>2025/11/26</t>
  </si>
  <si>
    <t>2026/04/17</t>
  </si>
  <si>
    <t>2026/01/14</t>
  </si>
  <si>
    <t>D29VA00000202605065</t>
  </si>
  <si>
    <t>KNACR81EGR5108724</t>
  </si>
  <si>
    <t>[C]WARNING LIGHT , CHECK ENGINE [R]REPLACE THE CONVERTER ASSY-WARM [T]P047100 Exhaust Pressure Sensor A Circuit Range/Performance</t>
  </si>
  <si>
    <t>2023/05/22</t>
  </si>
  <si>
    <t>2023/08/23</t>
  </si>
  <si>
    <t>D29</t>
  </si>
  <si>
    <t>PALESTINE</t>
  </si>
  <si>
    <t>C02VB6489AKM2000264</t>
  </si>
  <si>
    <t>KNACR81E9T5332261</t>
  </si>
  <si>
    <t>2853008750</t>
  </si>
  <si>
    <t>[C]LE CLIENT SE PLAINT D'UN TEMOIN MOTEUR ALLUME AVEC PERTE DE PUISSANCE [R]REMPLACEMENT DU FAP ESSAI OK [T]CONFIRMATION DE LA PLAINTE DU CLIENT KDS DTC P042033 EFFICACITE DU CATA EN DESSOUS DU SEUIL MISE DE CAMERA DANS FAP : CASSURES INTERNES. DEFAUT INTERNE DE LA PIECE FAP A REMPLACER</t>
  </si>
  <si>
    <t>2025/09/24</t>
  </si>
  <si>
    <t>2025/11/28</t>
  </si>
  <si>
    <t>C02</t>
  </si>
  <si>
    <t>BELGIUM</t>
  </si>
  <si>
    <t>C28VB00000133053000</t>
  </si>
  <si>
    <t>KNAE351ABK6055222</t>
  </si>
  <si>
    <t>285302C270</t>
  </si>
  <si>
    <t>[C]MARTOR CHECK APRINS IN BORD [R]NECESAR INLOCUIRE CATALIZATOR [T]TESTARE ELECTRONICA DTC P042000, VERIFICARI CONFORM DTC CERAMICA CATALIZATOR DETERIOATA. DEFECT INTERN.</t>
  </si>
  <si>
    <t>2018/11/26</t>
  </si>
  <si>
    <t>2019/02/22</t>
  </si>
  <si>
    <t>2018-11</t>
  </si>
  <si>
    <t>C28</t>
  </si>
  <si>
    <t>ROMANIA</t>
  </si>
  <si>
    <t>B28VANY1522608045-N</t>
  </si>
  <si>
    <t>KNAE25LA2J6017136</t>
  </si>
  <si>
    <t>[D]CONDITION: C/S THAT THE CHECK ENGINE LIGHT IS ON CAUSE: FAULTY CATALYTIC CONVERTOR CORRECTION: 64363 Confirmed clients concerns. Vehicle arrived with a P0420 code. During catalytic converter replacement, two studs broke off into the turbo and the other two were seized. Heat and penetrating oil wereapplied and allowed to soak overnight, but the converter could not be removed. District parts and service manager approved the Catalytic converter and turbo as subsequent damage. The oxygen sensor was also found melted into the assembly, which had to be removed and replaced. Test drove vehicle and everything is working as intended.</t>
  </si>
  <si>
    <t>2017/11/20</t>
  </si>
  <si>
    <t>2026/01/30</t>
  </si>
  <si>
    <t>2018/03/17</t>
  </si>
  <si>
    <t>2017-11</t>
  </si>
  <si>
    <t>B28VANY1522608045-A</t>
  </si>
  <si>
    <t>B28VACT0252672577-1</t>
  </si>
  <si>
    <t>KNAE15LA5K6046554</t>
  </si>
  <si>
    <t>[D]CUSTOMER STATES THE CHECK ENGINE LIGHT IS ON. PLEASE CHECK AND ADVISE. MIL IS NOT ON, CHECKED FOR CODES= ENGINE P042000 HISTORY, CHECKED KGIS FOR MESSAGES= NONE, DTC INSP DONE=HISTORY, EXHAUST SYSTEM INSPECTION FOR RESTRICTION= GOOD, 3-WAY CATALYST INSP DONE= GOOD, O2 SENSORINSP DONE/ KDS DATA MONITOR= DOWNSTREAM READING IS A WAVE FORM. REMOVED CAT CONVERTER FROM VEH AND 3 OF 4 EXH MANIFOLD STUDS TO CAT CONV BROKE BELOW THE SURFACE AND 4TH SPUN INSIDE MANIFOLD. ATTEMPTED TO EXTRACT AND REMOVED BROKEN AND SPUN FASTENERS= UNABLE. PER SI, REPLACED CATALYTIC CONVERTER ASSEMBLY AND REPLACED EXHAUST MANIFOLD/ TURBOCHARGER ASSEMBLY, ASSOCIATED HARDWARE AND GASKETS, CLEAREDDTC S, POST REPAIR ROAD TEST DONE, REFILLED, PRESSURE TESTED COOLING SYSTEM AND BLED AIR FROM COOLING SYSTEM.</t>
  </si>
  <si>
    <t>2018/08/13</t>
  </si>
  <si>
    <t>2019/03/25</t>
  </si>
  <si>
    <t>2018-08</t>
  </si>
  <si>
    <t>B28VATX1322668552-C</t>
  </si>
  <si>
    <t>KNAE15LA4L6073536</t>
  </si>
  <si>
    <t>[D]CONDITION: ADD ON LINE Upon multipoint inspection technician found catalytic converter internal mounting threads stripped, preventing proper fastening of exhaust components. Service Director Cody Kemmerling verified technician findings on 4-13-26. Advised customer of findings on 4-13-26, and customer approved adding warranty line. After customer approved adding warranty line, Service Director Cody Kemmerling approved adding line to replace catalytic converter and gaskets on 4-13-26. CAUSE: Catalytic converter internal mounting threads found stripped, preventing proper installation and securing of exhaust components to specifica CORRECTION: 51181 Catalytic converter internal mounting threadsfound stripped, preventing proper installation and securing of exhaust components to specification.No signs of external influence, condition consistent with internal fault of manufacturer component.. Replaced catalytic converter and associated gaskets per Kia service procedures. Ensured proper torque</t>
  </si>
  <si>
    <t>2019/08/16</t>
  </si>
  <si>
    <t>2020/05/21</t>
  </si>
  <si>
    <t>B28VACA257261287000</t>
  </si>
  <si>
    <t>KNAE15LA8L6080019</t>
  </si>
  <si>
    <t>[D]CUSTOMER STATES THE CHECK ENGINE LIGHT IS ON. CHECK AND ADVISE. CONFIRMED CUSTOMER S CONCERN OF CHECK ENGINE LIGHT PRESETN. SCANNED FOR DIAGNOSTIC TROUBLE CODES. FOUND HISTORY FAULT CODE P0420 (CATALYST SYSTEM EFFICIENCY / BELOW THRESHOLD, BANK 1). PERFORMED A VISUAL INSPECTION USING BORESCOPE, FOUND CATALYTIC CONVERTER HONEYCOMB INTERNALLY DETERIORATING, CAUSING FAULT CODE PO420. RECOMMEND REPLACING CATALYTIC CONVERTER FOR REPAIR.</t>
  </si>
  <si>
    <t>2019/11/25</t>
  </si>
  <si>
    <t>2020/02/15</t>
  </si>
  <si>
    <t>2019-11</t>
  </si>
  <si>
    <t>B28VAMD0692604623-N</t>
  </si>
  <si>
    <t>KNAE15LA8M6089904</t>
  </si>
  <si>
    <t>[D]CUSTOMER STATES: CHECK ENGINE LIGHT IS ON vehicle is chugging on the road recently replaced the pigtail and the fuel pump. SCANNED FOR DTCS P017100 HISTORY REMOVED UPSTREAM O2 SENSOR. WITH BORESCOPE FOUND CATALYST CONVERTER CLOGGED. TECH REPLACED THE CATALYTIC CONVERTER AND VERIFIED REPAIR. Lori Breeden on 2026-04-28 6:21 AM with following comments X1 SUBLETFOR FREIGHT CHARGES. TOTAL FREIGHT CHARGES IS $381.62</t>
  </si>
  <si>
    <t>2020/08/12</t>
  </si>
  <si>
    <t>2021/05/24</t>
  </si>
  <si>
    <t>B28VAMD0692604623-1</t>
  </si>
  <si>
    <t>B28VANY1532643098-A</t>
  </si>
  <si>
    <t>KNDPR3A65L7710001</t>
  </si>
  <si>
    <t>[D]The customer states Check Engine Light is illuminated. Performed an initial inspection of the vehicle upon arrival. Checked KGIS for applicable recalls, Technical Service Bulletins (TSBs), and warranty extensions related to the customer s concern. No applicable recalls, TSBs, or warranty extensions were found for this condition at the time of diagnosis. Connected diagnostic equipment to the vehicle s data link connector (DLC) and performed a full system scan. One activediagnostic trouble code was retrieved: DTC P2096-00 Post Catalyst Fuel Trim System Too Lean (Bank 1). Based on the stored DTC, proceeded with diagnostic testing of the exhaust and catalytic convertersystem in accordance with Kia diagnostic procedures. Examined the catalytic converter and exhaust system. Diagnostic testing and measured catalyst efficiency values indicated the catalyst assembly isnot operating within specification. Test results confirmed that the catalyst system s efficiency has de</t>
  </si>
  <si>
    <t>2019/05/31</t>
  </si>
  <si>
    <t>2019/11/23</t>
  </si>
  <si>
    <t>2019-05</t>
  </si>
  <si>
    <t>B28VAAL0152684289-B</t>
  </si>
  <si>
    <t>KNDPR3A69L7807900</t>
  </si>
  <si>
    <t>[D]CUSTOMER STATES TURBO HAS LOW BOOST / MULTPLIE MISFIRES CAUSE: TECH FOUND THAT DUE TO THE TURBO CHARGER NOTOPERATING CORRECTLY THE TURBO CHARGER HAD DAMAGED THE WHEEL AND THE CATALYST HIVE WAS DAMAGED ASWELL TECH REPLACED CATALYST / TEST DROVE / OPERATESNORMAL AT THIS TIMEOP CODE 28530R1AOP TIME 1.3</t>
  </si>
  <si>
    <t>2020/01/21</t>
  </si>
  <si>
    <t>2026/04/06</t>
  </si>
  <si>
    <t>2020/03/11</t>
  </si>
  <si>
    <t>2020-01</t>
  </si>
  <si>
    <t>B28VAIL0742632462-N</t>
  </si>
  <si>
    <t>[D]CUSTOMER STATES CHECK ENGINE LIGHT IS ONtech went to install downstream o2 sensor and pulled threads out of catalytic converter. tech went to replace catalytic converter and all studs were stripped out. tech replaced turbocharger, catalytic converter, and downstream o2 sensor under emissions warranty. tech test drove vehicle and verified normal operation. repair confirmed.</t>
  </si>
  <si>
    <t>B28VANJ0142690432-A</t>
  </si>
  <si>
    <t>KNDPRCA62L7675868</t>
  </si>
  <si>
    <t>[D]CONDITION: INFORMATION CUSTOMER STATES - check engine light on - vehicle shuts down randomly- scan for codes - $185.96 DIAG fee applies CAUSE: EXHAUST MANIFOLD CORRECTION: 37580 INTERNAL FAILURE WITHIN EXHAUST CATALYTIC CONVERTER SETTING MIL ON WITH P17200 FOR SYSTEM TOO RICH OFF IDLE CONFIRMED HISTORY CEL WITH DTC P017200 FOR SYSTEM TO RICH BANK 1. PERFORMED KDS QUICK CHECK TEST TO FIND BOTH FRONT AND REAR 02 SENSORS FAILED IDLE TEST AND 2K RPMS FOUND INTERNAL RESISTANCE READING OUT OF SPEC. WHEN MONITORING BOTH SENSORS FOUND WHEN DRIVING, REAR 02 SENSOR IS SWITCHING LIKE UPSTREAM SENSOR. REMOVED RELATED COMPONENTS TO ACCESS CATALYTIC CONVERTER ASSY AND REPLACED WITH NEW PART, REPLACED RELATED GASKETS AND HARDWARE. CLEARED RELATED DTC AND CONFIRMED NO ACTIVE OR PENDING CODES OBTAIN PWA NJ0142610110 FROM DPSM</t>
  </si>
  <si>
    <t>2019/03/29</t>
  </si>
  <si>
    <t>2019/07/22</t>
  </si>
  <si>
    <t>2019-03</t>
  </si>
  <si>
    <t xml:space="preserve">B06VA110052669580A </t>
  </si>
  <si>
    <t>KNDPRCA69L7727271</t>
  </si>
  <si>
    <t>[C]Cust reports not shifting, needs to manually switch gears, died randomly going uphill, had to stop vehicle when he started again, couldn't not go up a hill at all. Had vehicle towed in. When vehicle came off tow truck, battery was dead. Got a boost from tech at the shop, vehicle started and was driving. Vehicle doesn't always start on first try and has had to be boosted. - Inspect &amp; advise [R]1151- replaced secondary cat convertor, road test all ok 1004 removed primary cat, found inside catalyst fell apart and is clogging exhaust, confirmed issue, reinstalled new cat and tested, works as designed [T]MIL light ON. Errors found P0420 Catalyst Efficiency Below Threshold and Turbocharger Under Boost stored. Oil level within specifications. Monitor turbo charger adaptation value is acceptable range 4.1V (3.8 - 4.1V specs). Perform inspection borescope the system primary internal catalyst is broken [L]Vehicle is currently unsafe and not roadworthy - unreliable power, engine power cuts completed Backordered part - rental required XTT for secondary cat replacement //Rental March 5th-April 30th -- 56 days ///Some how missed copying all notes across [D]11005PC01E - 03/02 - 04/27 Please elaborate the diagnosis for 28600D9500. DTC code P0420 is applicable only for 285302GSH0.</t>
  </si>
  <si>
    <t>DD2</t>
  </si>
  <si>
    <t>2019/07/02</t>
  </si>
  <si>
    <t>B28VACT0062689062-1</t>
  </si>
  <si>
    <t>KNDPRCA60L7750714</t>
  </si>
  <si>
    <t>[D]CONDITION: Driveability Issues - Runs Rough - Please Describe as much as possible - When / What / How oftern [CUSTOMER STATES CEL ON AND VEHICLE HAS TROUBLE STARTING AT TIMES AND RUNS ROUGH. ISSUE COMES AND GOES] SCANNED FOR CODES - P209600 Post Catalyst Fuel Trim System too Lean (Bank 1). INSPECTED VEHICLE AND FOUND CATALYTIC CONVERTER HONEYCOMB TO BE DISINTEGRATED AND IN NEED OF REPLACEMENT. REPLACED CATALYTIC CONVERTER ASSEMBLY AND VERIFIED PROPER OPERATION AT THIS TIMEWITH NO FAULT CODES.</t>
  </si>
  <si>
    <t>2019/09/02</t>
  </si>
  <si>
    <t>2020/04/27</t>
  </si>
  <si>
    <t>B28VANV012263259001</t>
  </si>
  <si>
    <t>KNDPRCA62M7876901</t>
  </si>
  <si>
    <t>[D]CONDITION: ADD ON -- WHILE PERFORMING LINE A DIAGNOSIS AND REPAIR, TECHNICIAN FOUND RESIDUAL INTERNAL FAILURE OF CATALYTIC CONVERTOR. CAUSE: . CORRECTION:47964 CHECK ENGINE LIGHT ON 28511R00 28511RQ0 90 AFTER REPAIRING THE ENGINE CODE P0420 IS SETTING INSPECTION FOUND THE CAT HAS IMPLODED INTERNALLY REPLACED THE CAT CLEARED THE CODES AND ROAD TEST VEHICLE RECHECK FOR CODES NO CODES OPERATION OK</t>
  </si>
  <si>
    <t>2020/08/29</t>
  </si>
  <si>
    <t>2021/03/02</t>
  </si>
  <si>
    <t>D26VBTR163KM2000606</t>
  </si>
  <si>
    <t>KNCSJX760R7770166</t>
  </si>
  <si>
    <t>[C]ARAÇ ÇEKİCİ İLE GELDİ TURBO HORTUM KISMINDA ÇIKMIŞ MOTOR KISMI YAĞ OLMUŞ ARAÇ ÇEKİŞ DÜŞÜK KONTROL [R]fakat araç dpf tıkalı olduğu için araç gaz yemememekte ve kara duman olarak atmakta konu ile ilgili dpf veri analizi vermemekte veri analizi alamama sebebimiz araç sürekli çalışmadığı için alınamamaktadır aracın dpf değişmesi gerekmektedir. [T]arac cekiçi ile geldi turbo hortum kısmından çıkmıs motor kısmı yağ olmuş arac çekiş düşük kontrol talebiyle geldi. yapılan kds cihaz kontrollerinde aracın P245500 limitin altında diferansiyel basınç arızası görünmekte olup veri analizinden basınç sensöründen okumadığı görüldü aracın diferansiyel b [D]Claime DPF''in iç,dış ve lot numarası fotoğraflarını ekleyiniz. 1-Arıza kodu DTC bölümüne yazılmalıdır.</t>
  </si>
  <si>
    <t>B31</t>
  </si>
  <si>
    <t>2024/01/26</t>
  </si>
  <si>
    <t>2026/05/02</t>
  </si>
  <si>
    <t>2024/03/29</t>
  </si>
  <si>
    <t>PU DPF</t>
    <phoneticPr fontId="2" type="noConversion"/>
  </si>
  <si>
    <t xml:space="preserve">B06VA720362645649A </t>
  </si>
  <si>
    <t>KNDRMDJH0S5387856</t>
  </si>
  <si>
    <t>[C]customer states that the check engine light is on [R]removed and replace and tested and is now working to design [T]verified concern and found code p0420 for the Catalyst System Efficiency Below Threshold, tested over the system and found that the catalytic converter is not cleaning the exhaust gases effectively, when removed found the honey comb was clogged up not letting the gasses pass thru it [D]Hello, please provide more details on not cleaning properly; was something clogged, leaking, etcs.</t>
  </si>
  <si>
    <t>2025/03/05</t>
  </si>
  <si>
    <t xml:space="preserve">B06VA720512605931A </t>
  </si>
  <si>
    <t>KNDRMDJH6S5402876</t>
  </si>
  <si>
    <t>[C]MISC - THE CUSTOMER STATES THE VEHICLE IS ALMOST IN A LIMP STATE - CHECK AND REPORT [R]REQUIRES SECONDARY CAT REPLACEMENT [T]PERFORMD TEST DRIVE VEHICLE ACCELERATING AS EXPECTED SCANNED SYSTEM, STORED HISTORY CODE FOR LOW FUEL PRESSURE REVIEWED LIVE DATA OF TEST DRIVE, CONFIRMED FUEL PRESSURE WITHIN SPEC, SENSOR ACCURATE REVIEWED VIDEO OF COMPLAINT NOTED BATTERY POWER LOW IN VIDEO IF BATTERY LOW ACCELERATION WILL NO [L]XTT time for extensive diagnostic. It took several steps and attempts to get to the bottom of the issue. RO, notes and punch times sent to warranty atlantic. Spent 5.86 hours on diag, asking for 5 to cover that. Thank you. took out xtt When initial problem happened the customers were out of town. T [D]Hello, please reduce rental to 1596.00 - invoices received. 72051PD06E - 04/10 - 05/13 = 33 days + 5 days = 1596.00, work shop delays are not applicable Please elaborate your diagnosis and XTT request. Most of these tests were performed during the previous repair - 2504506A. It appears the catalytic converter 285002MAE5 was misdiagnosed as it did not fix the issue.</t>
  </si>
  <si>
    <t>B32</t>
  </si>
  <si>
    <t>2025/04/21</t>
  </si>
  <si>
    <t>2026/03/27</t>
  </si>
  <si>
    <t>2025/10/03</t>
  </si>
  <si>
    <t>B28VANJ0512602016-3</t>
  </si>
  <si>
    <t>KNDCR3LE0P5039647</t>
  </si>
  <si>
    <t>[D]CUSTOMER STATES: CAR OVER HEATED ON ONLY ONE OCCASION. Cause: Verified customer concern. Performed inspection of cooling and exhaust systems. Found coolant present within exhaust components, indicating internal coolant leakage. Further inspection isolated concern to EGR cooler assembly not maintaining proper internal seal and not operating within specification. Correction: Removed and replaced EGR cooler assembly per Kia service procedure. Topped off coolant and performed cooling system bleeding procedure. Reset adaptive values. Performed road test and confirmed normal engine temperature maintained with no overheating condition present. Verified coolant level remains stable and heating system operates properly. Vehicle operating as designed.</t>
  </si>
  <si>
    <t>I42</t>
  </si>
  <si>
    <t>2022/07/29</t>
  </si>
  <si>
    <t>2023/01/23</t>
  </si>
  <si>
    <t>과열</t>
  </si>
  <si>
    <t>B28VA9202 2682688-2</t>
  </si>
  <si>
    <t>KNDCR3LE4P5080198</t>
  </si>
  <si>
    <t>[D]: CUST STATES COOLANT LEAK , ENGINE OVERHEATING. ADDED COOLANT YESTERDAY AFT ER FINDING RESIVOIR LOW, COOLANT ALREADY LOW AGAI N. CHECK AND ADVIS found exhaust coolant pre heater to be leaking internally causing coolant to be burnt off. recommend to replace. replaced muffler assembly and performed coolant level adjustment and system bleeding REQUESTING STRAIGHT TIME FOR COOLANT ADJUSTMENT , DUE TO CANNOT OVERLAP LABOR OPS</t>
  </si>
  <si>
    <t>2023/01/11</t>
  </si>
  <si>
    <t>2026/04/23</t>
  </si>
  <si>
    <t>2023/03/28</t>
  </si>
  <si>
    <t>B28VACA2732649889-1</t>
  </si>
  <si>
    <t>B28VACA2732649889-N</t>
  </si>
  <si>
    <t>28610RZZ</t>
  </si>
  <si>
    <t>D05VA7777734174 000</t>
  </si>
  <si>
    <t>KNARH81D3S5331030</t>
  </si>
  <si>
    <t>28650P2840</t>
  </si>
  <si>
    <t>[C]Check the exhaust noise while driving [R]Replaced the center muffler assy. [T]After checking we found the noise from the center muffler Assy.</t>
  </si>
  <si>
    <t>2024/11/22</t>
  </si>
  <si>
    <t>2026/05/12</t>
  </si>
  <si>
    <t>2025/03/29</t>
  </si>
  <si>
    <t>2024-11</t>
  </si>
  <si>
    <t>C24VACZ136KM2600016</t>
  </si>
  <si>
    <t>KNARH81GDP5189668</t>
  </si>
  <si>
    <t>2023/06/23</t>
  </si>
  <si>
    <t>C24</t>
  </si>
  <si>
    <t>CZECH</t>
  </si>
  <si>
    <t>E37VASA224KM2000094</t>
  </si>
  <si>
    <t>KNCSHX76LR7803816</t>
  </si>
  <si>
    <t>[C]Customer states that there is a blowing noise coming from exhaust [R]Replace front exhaust resonator [T]Check and found material defect with exhaust resonator [L]10 000KM Service v1.0 KNCSHX76LR7803816 10119 2025-08-01 20 000KM Service v1.0 KNCSHX76LR7803816 20062 2025-11-13 30 000KM Service v1.0 KNCSHX76LR7803816 29996 2026-03-25 PWA to be resubmitted, as processor requested change of causal part number</t>
  </si>
  <si>
    <t>2025/01/18</t>
  </si>
  <si>
    <t>E37VASA218KM2000163</t>
  </si>
  <si>
    <t>KNCSHX76LS7814072</t>
  </si>
  <si>
    <t>[C]Check blowing noise from exhaust Sumen [R]Removed and replaced exhaust and gasket [T]Blowing noise from exhaust cause due to poor welding on exhaust box seam vdn 260330003i [L]10000km 10423km 20/10/2025 20000km 21245km 10/12/2025 30000km 30273km 21/01/2026 40000km 38945km 26/03/2026</t>
  </si>
  <si>
    <t>2024/08/14</t>
  </si>
  <si>
    <t>2025/07/03</t>
  </si>
  <si>
    <t>E37VASA096KM2000027</t>
  </si>
  <si>
    <t>KNCSHX76LS7818980</t>
  </si>
  <si>
    <t>[C]Fransie Marx - Customer complained about the exhaust that cracked. [R]Need to replace muffler. Repair delay: Part was on back order and awaiting customer to come in for fitment. [T]VDN 260330004I - Investigate and found that the muffler cracked. [L]01/14/2026 11087km 05/06/2026 20368km</t>
  </si>
  <si>
    <t>2024/09/06</t>
  </si>
  <si>
    <t>2025/08/04</t>
  </si>
  <si>
    <t>2024-09</t>
  </si>
  <si>
    <t>E37VASA219KM2000111</t>
  </si>
  <si>
    <t>KNCSHX76LS7821188</t>
  </si>
  <si>
    <t>[C]Customer states noise from exhaust haroun [R]Remove and replace centre silencer &amp; exhaust gasket [T]Checked &amp; found centre exhaust silencer has disintegrate due to inferior material used,side sealing has opened causing exhaust to leak fumes causing noise//vdn260411004i [L]10000km@9955km(27/09/2025)-20000km@19844km(08/11/2025)-30000km@29747km(06/01/2026)-40000km@45619km(11/04/2026) Claim updated with superceded part no.287512P000 -Part no. 287513J000 which was on back order not supplied</t>
  </si>
  <si>
    <t>2024/09/26</t>
  </si>
  <si>
    <t>2026/04/11</t>
  </si>
  <si>
    <t>2025/07/23</t>
  </si>
  <si>
    <t xml:space="preserve">B06VA611232683902A </t>
  </si>
  <si>
    <t>KNDCR3LE6S5253230</t>
  </si>
  <si>
    <t>[C]CLIENT MENTIONNE UN BRUIT DE GRONDEMENT [R]replaced muffler and gasket. went on road test, did not hear anymore leak. repair complete. [T]En fesant l'essaie routier, entendu une perte au niveau du silencieux. Il y a une perte au niveau du silencieux. fait estimé pour silencieux et gasket.</t>
  </si>
  <si>
    <t>2024/12/06</t>
  </si>
  <si>
    <t>2025/03/17</t>
  </si>
  <si>
    <t>A02VE87250260000017</t>
  </si>
  <si>
    <t>KNAB2512MTT501207</t>
  </si>
  <si>
    <t>[C]MUFFLER RUSTED- NOTED AT PD [R]REMOVED AND REPLACED AS REQUIRED. ALL OKAY [T]VERIFIED CONCERN, FOUND BOTH FRONT AND REAR MUFFLER ASSYS TO BE RUSTED,. REQUIRES REPLACEMENT OF FRONT AND REAR MUFFLER INCLUDING SINGLE USE GASKETS ETC.</t>
  </si>
  <si>
    <t xml:space="preserve">B21VBMAN0226050112 </t>
  </si>
  <si>
    <t>KNCWJX72AS7766697</t>
  </si>
  <si>
    <t>[C]NOISE FROM EXHAUST TUBE END [R]TO REPLACE DEFECTIVE EXHAUST TUBE END [T]DUE CRACKED EXHAUST TUBE</t>
  </si>
  <si>
    <t>2024/01/15</t>
  </si>
  <si>
    <t>2024/05/24</t>
  </si>
  <si>
    <t xml:space="preserve">B21VBMAN0226050101 </t>
  </si>
  <si>
    <t>KNCWJX72AT7878542</t>
  </si>
  <si>
    <t>[C]NOISE FROM EXHAUST TUBE ASSY [R]TO REPLACE DEFECTIVE EXHAUST TUBE ASSY [T]DUE CRACKED EXHAUST TUBE ASSY</t>
  </si>
  <si>
    <t>2025/07/24</t>
  </si>
  <si>
    <t>2026/05/08</t>
  </si>
  <si>
    <t>B28VAMD0492672753-1</t>
  </si>
  <si>
    <t>KNDRKDLG7R5235299</t>
  </si>
  <si>
    <t>287512B650</t>
  </si>
  <si>
    <t>GASKET</t>
  </si>
  <si>
    <t>25467R1H</t>
  </si>
  <si>
    <t>2023/09/06</t>
  </si>
  <si>
    <t>2023/12/29</t>
  </si>
  <si>
    <t>B05VABR464000568978</t>
  </si>
  <si>
    <t>9UWSHX76ASN040482</t>
  </si>
  <si>
    <t>2024/10/25</t>
  </si>
  <si>
    <t>2024/12/23</t>
  </si>
  <si>
    <t>2520002026W00257900</t>
  </si>
  <si>
    <t>KNAE551CDPS128465</t>
  </si>
  <si>
    <t>285303LVE0</t>
  </si>
  <si>
    <t>CONVERTER ASSY-W/UP CAT,LH</t>
  </si>
  <si>
    <t>[C]1.현상 : 주행중 엔진경고등 발생 P043000, 촉매 정화능력 저하(뱅크2) 경고등 점등으로 차량 입고함 2.점검내용 및 원인 : KDS 진단 장비 결과 P043000, 촉매 정화능력 저하(뱅크2) 고장 코드 확인됨 3.조치내용 : 해당 부품 교환후 점검시 정상 확인됨, 점검및 정비 내용 고객 설명후 차량 정상 출고함</t>
  </si>
  <si>
    <t>39213R2L</t>
  </si>
  <si>
    <t>2022/10/13</t>
  </si>
  <si>
    <t>2022/10/14</t>
  </si>
  <si>
    <t>252</t>
  </si>
  <si>
    <t>L030002026200363500</t>
  </si>
  <si>
    <t>KMTG641EBSU157930</t>
  </si>
  <si>
    <t>[C]1.현상 : 냉간사 소음 발생 2.점검내용 및 원인 : 냉간시 후 가속시 휘리릭 하는 이상소음 발생 열간시는 소음미발생됨. 소음발생부위 점검 우측부위 는 가스켓 부위 소음확인되며 좌측부위 도 고정부위 이상으로 소음발생 확인되어 촉매 좌측 교환 조치함 3.조치내용 : 좌측 캐털리스트 케이스 교환 4.요망사항 : 요망사항없음</t>
  </si>
  <si>
    <t>2025/01/17</t>
  </si>
  <si>
    <t>2025/02/18</t>
  </si>
  <si>
    <t>L03</t>
  </si>
  <si>
    <t>D06AA00018z24582000</t>
  </si>
  <si>
    <t>KMHHC8116SU153814</t>
  </si>
  <si>
    <t>[C]נורת תקלה דולקתרכב לא מגיע ל100 קמ"ש [R]הוחלפה סעפת [T]סעפת סתומה</t>
  </si>
  <si>
    <t>2025/05/22</t>
  </si>
  <si>
    <t>2026/04/19</t>
  </si>
  <si>
    <t>B28AACO03841833A000</t>
  </si>
  <si>
    <t>KMHLW4AK2NU006803</t>
  </si>
  <si>
    <t>[C]CUSTOMER STATES THE CHECK ENGGINE LIGHT IS ON AND SEEMS AS IF THE VEHICLE IS UNDER BOOST CHECK AND ADVISE [R]PERFORMED A GLOBAL DIAGNOSTIC SYSTEM SCAN TO FIND ACTIVE CODES PO299 WHICH IS RELATED TO UNDER BOOST TO FIND NO RELEVANT CODES IN HISTORY TO FIND NO RELEVANT PENDING CODES AND THEN CLEARED ALL CODES AND RECONFIRMED ACTIVE DIAGNOSTIC TROUBLE CODES FURTHER EXAMINATION FOUND THE BANK 1 CATALYTIC CONVER [T]VERIFIED THE CUSTOMERS CONCERN OF CHECK ENGINE LIGHT CHECKED FOR APPLICABLE CAMPAIGNS AND TECHNICALSERVICE BULLETINS AND FOUND NO DOCUMENTS RELATED TO THE VEHICLES CONCERN</t>
  </si>
  <si>
    <t>2022/05/20</t>
  </si>
  <si>
    <t>2026/02/05</t>
  </si>
  <si>
    <t>2022/07/01</t>
  </si>
  <si>
    <t>B28AACA01M73789R000</t>
  </si>
  <si>
    <t>KMHT36AH4NU011896</t>
  </si>
  <si>
    <t>285302GTB0</t>
  </si>
  <si>
    <t>[C]CUSTOMER STATES CHECK ENGINE LIGHT ON CHECK AND ADVISE [R]REPLACED CATALYST ASSEMBLY UNDER POWER TRAIN WARRANTY CLEARED DTC SYSTEM OK TEST DROVE MILES OUT 46904 SYSTEM OK DONE CATALYST ASSEMBLY 28530R001.7 ADD DIAGNOSIS 28530RQ0 0.3 [T]VERIFY CUSTOMER CONCERN FOUND DTC P0420 LOW EFFICIENCY CATALYST UPON TEST DRIVE FOUDN VEHICLE POOR ACCELERATION SULFUR SMELL PARTS ORDER</t>
  </si>
  <si>
    <t>2021/06/11</t>
  </si>
  <si>
    <t>2021/10/06</t>
  </si>
  <si>
    <t>B28AACA01M73789A000</t>
  </si>
  <si>
    <t>B28AAMS0434066NB000</t>
  </si>
  <si>
    <t>KM8KH3AC2NU004574</t>
  </si>
  <si>
    <t>[C]CUSTOMER STATES CHECK ENGINE LIGHT IS ON DASH [R]REMOVED AND REPLACED CATALYTIC CONVERTER WITH NEW O2 SENSORS CLEARED CODES RESET ADAPTIVES AND TESTDROVE VEHICLE NO FURTHER ISSUES AT THIS TIME [T]UPON INSPECTION FOUND THAT CODE P0420 IS SET FOR CATALYST EFFICIENCY DETERMINED THAT CATALYTIC CONVERTER FAILED AND INEFFICIENCY CAUSED FA</t>
  </si>
  <si>
    <t>2022/04/13</t>
  </si>
  <si>
    <t>2022/06/25</t>
  </si>
  <si>
    <t>B28AAMS04304066R000</t>
  </si>
  <si>
    <t>B06AA22021260401001</t>
  </si>
  <si>
    <t>KM8KH3ACXPU011193</t>
  </si>
  <si>
    <t>[C]CUSTOMER STATES THE VEHICLE WENT INTO LYMPH MODE AND CHECK ENGINE LIGHT IS ON [R]will need Cat and all gaskets ,studs, nuts. While replacing cat find 2 bolts has let go off of turbo and one stripped out turbo,. needs new turbo and all gaskets Re and Re all, rechecked and find all ok now [T]checked for car going into limp mode and mil on checked for dtcs found 1 p132600 updated case with hytech, Case # 424229142 was told to get flight record from cold to warm up and checked data and found reading from 02 sensors indicate internal fault with cat. [L]April 22--repair is completed. Thank you April 9-spoke with shop foreman and he states they tried putting on nuts and welding it turned cherry red and did not budge just keep breaking further in [D]JA- approved as per version 3 am 4/9: Please proceed per version 2 Sam 4/9: Can we machine the bolts out and heli coil?</t>
  </si>
  <si>
    <t>2023/03/22</t>
  </si>
  <si>
    <t>2023/11/28</t>
  </si>
  <si>
    <t>D15VCS4004W048743C1</t>
  </si>
  <si>
    <t>KNAE551C2P6138012</t>
  </si>
  <si>
    <t>285303LVL0</t>
  </si>
  <si>
    <t>[C]Check cluster engine light on [R]Performed replaced catalytic converter bank1 [T]Upon inspection check by kds dtc p042000 catalyst system efficiency below threshold banks found catalyst converter faulty due internal failure</t>
  </si>
  <si>
    <t>2023/04/06</t>
  </si>
  <si>
    <t>2024/02/29</t>
  </si>
  <si>
    <t>E</t>
    <phoneticPr fontId="6" type="noConversion"/>
  </si>
  <si>
    <t>202605CWW</t>
  </si>
  <si>
    <t>B05AM26050202050183</t>
  </si>
  <si>
    <t>9BHCU51AANP335644</t>
  </si>
  <si>
    <t>2022/06/02</t>
  </si>
  <si>
    <t>2026/05/21</t>
  </si>
  <si>
    <t>2022/06/21</t>
  </si>
  <si>
    <t>B05AM05008202050105</t>
  </si>
  <si>
    <t>9BHCP51AAPP370366</t>
  </si>
  <si>
    <t>2022/08/29</t>
  </si>
  <si>
    <t>2022/12/23</t>
  </si>
  <si>
    <t>GK18902026W00088100</t>
  </si>
  <si>
    <t>KNACH811BPT369042</t>
  </si>
  <si>
    <t>20230824</t>
  </si>
  <si>
    <t>20260514</t>
  </si>
  <si>
    <t>20230825</t>
  </si>
  <si>
    <t>JK41902026W00174500</t>
  </si>
  <si>
    <t>KNACG811BRT410423</t>
  </si>
  <si>
    <t>20240925</t>
  </si>
  <si>
    <t>20260512</t>
  </si>
  <si>
    <t>20240927</t>
  </si>
  <si>
    <t>EX01302026W00090200</t>
  </si>
  <si>
    <t>KNACG811BTT467508</t>
  </si>
  <si>
    <t>20260212</t>
  </si>
  <si>
    <t>20260508</t>
  </si>
  <si>
    <t>20260220</t>
  </si>
  <si>
    <t>A02VE85086260500009</t>
  </si>
  <si>
    <t>KNAB2512MLT593583</t>
  </si>
  <si>
    <t>20191004</t>
  </si>
  <si>
    <t>20260505</t>
  </si>
  <si>
    <t>20191126</t>
  </si>
  <si>
    <t>B08VACL00210463 000</t>
  </si>
  <si>
    <t>KNAB2512ATT339854</t>
  </si>
  <si>
    <t>20241214</t>
  </si>
  <si>
    <t>20251230</t>
  </si>
  <si>
    <t>C11VC08934KM2000393</t>
  </si>
  <si>
    <t>KNAB3511AKT497592</t>
  </si>
  <si>
    <t>20190329</t>
  </si>
  <si>
    <t>20260504</t>
  </si>
  <si>
    <t>20190627</t>
  </si>
  <si>
    <t>C21VA2211 KM2000171</t>
  </si>
  <si>
    <t>KNAB3518LPT138950</t>
  </si>
  <si>
    <t>20230519</t>
  </si>
  <si>
    <t>20260409</t>
  </si>
  <si>
    <t>C10VB3091 KM2000412</t>
  </si>
  <si>
    <t>KNAB3518YPT207110</t>
  </si>
  <si>
    <t>20231207</t>
  </si>
  <si>
    <t>20260331</t>
  </si>
  <si>
    <t>20240322</t>
  </si>
  <si>
    <t>C10</t>
  </si>
  <si>
    <t>IRELAND</t>
  </si>
  <si>
    <t>C07VA2649AKM2000092</t>
  </si>
  <si>
    <t>KNAB3518APT217495</t>
  </si>
  <si>
    <t>20240110</t>
  </si>
  <si>
    <t>20260225</t>
  </si>
  <si>
    <t>20240328</t>
  </si>
  <si>
    <t>C16VCPG069KM2000232</t>
  </si>
  <si>
    <t>KNAB3518JST255500</t>
  </si>
  <si>
    <t>20240426</t>
  </si>
  <si>
    <t>20260323</t>
  </si>
  <si>
    <t>20241008</t>
  </si>
  <si>
    <t>C10VB3086 KM2000411</t>
  </si>
  <si>
    <t>KNAB2518LST368319</t>
  </si>
  <si>
    <t>20250310</t>
  </si>
  <si>
    <t>20260327</t>
  </si>
  <si>
    <t>20250820</t>
  </si>
  <si>
    <t>C07VA2841AKM2000267</t>
  </si>
  <si>
    <t>KNAB351AANT978516</t>
  </si>
  <si>
    <t>20220531</t>
  </si>
  <si>
    <t>20260302</t>
  </si>
  <si>
    <t>20220831</t>
  </si>
  <si>
    <t>C11VC09249KM2000133</t>
  </si>
  <si>
    <t>KNADA818AN6706409</t>
  </si>
  <si>
    <t>20220525</t>
  </si>
  <si>
    <t>20260310</t>
  </si>
  <si>
    <t>20220822</t>
  </si>
  <si>
    <t>C17VC3A604KM2000266</t>
  </si>
  <si>
    <t>KNADB518AP6855614</t>
  </si>
  <si>
    <t>20230524</t>
  </si>
  <si>
    <t>20260116</t>
  </si>
  <si>
    <t>20230831</t>
  </si>
  <si>
    <t>C16VCPG079KM2000223</t>
  </si>
  <si>
    <t>KNADA818ART921642</t>
  </si>
  <si>
    <t>20230925</t>
  </si>
  <si>
    <t>20260420</t>
  </si>
  <si>
    <t>20231219</t>
  </si>
  <si>
    <t>D19VA00008D870248</t>
  </si>
  <si>
    <t>KNAB351AJMT717648</t>
  </si>
  <si>
    <t>20200731</t>
  </si>
  <si>
    <t>20250919</t>
  </si>
  <si>
    <t>20201211</t>
  </si>
  <si>
    <t>D19VA00001D1178063</t>
  </si>
  <si>
    <t>KNAB351AJMT747425</t>
  </si>
  <si>
    <t>20201027</t>
  </si>
  <si>
    <t>20250724</t>
  </si>
  <si>
    <t>20201216</t>
  </si>
  <si>
    <t>2020-10</t>
  </si>
  <si>
    <t>D19VA00020D2061155</t>
  </si>
  <si>
    <t>KNAB251AJMT752635</t>
  </si>
  <si>
    <t>20201106</t>
  </si>
  <si>
    <t>20251014</t>
  </si>
  <si>
    <t>20210203</t>
  </si>
  <si>
    <t>D19VA00017D1721065</t>
  </si>
  <si>
    <t>KNAB351AJMT755482</t>
  </si>
  <si>
    <t>20201112</t>
  </si>
  <si>
    <t>20260113</t>
  </si>
  <si>
    <t>20210215</t>
  </si>
  <si>
    <t>D19VA00001D1177838</t>
  </si>
  <si>
    <t>KNAB251AAMT819443</t>
  </si>
  <si>
    <t>20210429</t>
  </si>
  <si>
    <t>20260419</t>
  </si>
  <si>
    <t>D19VA00017D1721276</t>
  </si>
  <si>
    <t>KNAB251AJMT827035</t>
  </si>
  <si>
    <t>20210521</t>
  </si>
  <si>
    <t>20251125</t>
  </si>
  <si>
    <t>20210824</t>
  </si>
  <si>
    <t>D19VA00017D1718133</t>
  </si>
  <si>
    <t>KNAB351AJNT852131</t>
  </si>
  <si>
    <t>20210714</t>
  </si>
  <si>
    <t>20260330</t>
  </si>
  <si>
    <t>20211013</t>
  </si>
  <si>
    <t>D19VA00001D1176464</t>
  </si>
  <si>
    <t>KNAB251AANT955882</t>
  </si>
  <si>
    <t>20220331</t>
  </si>
  <si>
    <t>20260414</t>
  </si>
  <si>
    <t>20220624</t>
  </si>
  <si>
    <t>D19VA00001D1176565</t>
  </si>
  <si>
    <t>KNAB251AANT955878</t>
  </si>
  <si>
    <t>20260426</t>
  </si>
  <si>
    <t>20220621</t>
  </si>
  <si>
    <t>D19VA00001D1177747</t>
  </si>
  <si>
    <t>KNAB351AJPT023788</t>
  </si>
  <si>
    <t>20220921</t>
  </si>
  <si>
    <t>20260417</t>
  </si>
  <si>
    <t>20221206</t>
  </si>
  <si>
    <t>D19VA00002D280837</t>
  </si>
  <si>
    <t>KNAB251AAPT135195</t>
  </si>
  <si>
    <t>20230512</t>
  </si>
  <si>
    <t>20230719</t>
  </si>
  <si>
    <t>D19VA00001D1176597</t>
  </si>
  <si>
    <t>KNAB351AJPT208962</t>
  </si>
  <si>
    <t>20231213</t>
  </si>
  <si>
    <t>20260425</t>
  </si>
  <si>
    <t>20240314</t>
  </si>
  <si>
    <t>D19VA00001D1176529</t>
  </si>
  <si>
    <t>KNAB251AAST268851</t>
  </si>
  <si>
    <t>20240603</t>
  </si>
  <si>
    <t>20240814</t>
  </si>
  <si>
    <t>D19VA00001D1176525</t>
  </si>
  <si>
    <t>KNAB251AAST269796</t>
  </si>
  <si>
    <t>20240605</t>
  </si>
  <si>
    <t>20240819</t>
  </si>
  <si>
    <t>D19VA00001D1170213</t>
  </si>
  <si>
    <t>KNAB251AAST306621</t>
  </si>
  <si>
    <t>20240924</t>
  </si>
  <si>
    <t>20260401</t>
  </si>
  <si>
    <t>20241127</t>
  </si>
  <si>
    <t>D19VA00001D1176485</t>
  </si>
  <si>
    <t>KNADC518AM6475143</t>
  </si>
  <si>
    <t>20200811</t>
  </si>
  <si>
    <t>20250723</t>
  </si>
  <si>
    <t>20201127</t>
  </si>
  <si>
    <t>D19VA00001D1172804</t>
  </si>
  <si>
    <t>KNADE518AM6525279</t>
  </si>
  <si>
    <t>20210106</t>
  </si>
  <si>
    <t>20250625</t>
  </si>
  <si>
    <t>20210303</t>
  </si>
  <si>
    <t>D19VA00008D868619</t>
  </si>
  <si>
    <t>KNADC518AM6533521</t>
  </si>
  <si>
    <t>20210126</t>
  </si>
  <si>
    <t>20210331</t>
  </si>
  <si>
    <t>D19VA00011D1116696</t>
  </si>
  <si>
    <t>KNADC518AM6534689</t>
  </si>
  <si>
    <t>20210128</t>
  </si>
  <si>
    <t>20210518</t>
  </si>
  <si>
    <t>D19VA00002D27751000</t>
  </si>
  <si>
    <t>KNADC518AM6552783</t>
  </si>
  <si>
    <t>20210313</t>
  </si>
  <si>
    <t>20210603</t>
  </si>
  <si>
    <t>D19VA00011D1118004</t>
  </si>
  <si>
    <t>KNADE518AN6621961</t>
  </si>
  <si>
    <t>20210928</t>
  </si>
  <si>
    <t>20250721</t>
  </si>
  <si>
    <t>D19VA00001D1178040</t>
  </si>
  <si>
    <t>KNADC518AN6632748</t>
  </si>
  <si>
    <t>20260418</t>
  </si>
  <si>
    <t>20220104</t>
  </si>
  <si>
    <t>D19VA00001D1176353</t>
  </si>
  <si>
    <t>KNADE518AN6670458</t>
  </si>
  <si>
    <t>20220224</t>
  </si>
  <si>
    <t>20220427</t>
  </si>
  <si>
    <t>D19VA00020D2060950</t>
  </si>
  <si>
    <t>KNADC518AN6674917</t>
  </si>
  <si>
    <t>20220308</t>
  </si>
  <si>
    <t>20251112</t>
  </si>
  <si>
    <t>20220519</t>
  </si>
  <si>
    <t>D19VA00008D868545</t>
  </si>
  <si>
    <t>KNADC518AN6722252</t>
  </si>
  <si>
    <t>20250526</t>
  </si>
  <si>
    <t>20220824</t>
  </si>
  <si>
    <t>D19VA00001D1176570</t>
  </si>
  <si>
    <t>KNADC518AN6722810</t>
  </si>
  <si>
    <t>20220725</t>
  </si>
  <si>
    <t>20221115</t>
  </si>
  <si>
    <t>D19VA00001D1176586</t>
  </si>
  <si>
    <t>KNADC518AN6738463</t>
  </si>
  <si>
    <t>D19VA00017D1719846</t>
  </si>
  <si>
    <t>KNADE518AN6747320</t>
  </si>
  <si>
    <t>20220908</t>
  </si>
  <si>
    <t>20251129</t>
  </si>
  <si>
    <t>20221201</t>
  </si>
  <si>
    <t>D19VA00001D1176534</t>
  </si>
  <si>
    <t>KNADC518AN6749890</t>
  </si>
  <si>
    <t>20221109</t>
  </si>
  <si>
    <t>D19VA00001D1178178</t>
  </si>
  <si>
    <t>KNADC518AN6758420</t>
  </si>
  <si>
    <t>20221012</t>
  </si>
  <si>
    <t>20230110</t>
  </si>
  <si>
    <t>D19VA00001D1178385</t>
  </si>
  <si>
    <t>KNADC518AN6758416</t>
  </si>
  <si>
    <t>20230111</t>
  </si>
  <si>
    <t>D19VA00020D2061290</t>
  </si>
  <si>
    <t>KNADE518AN6759644</t>
  </si>
  <si>
    <t>20221014</t>
  </si>
  <si>
    <t>20230102</t>
  </si>
  <si>
    <t>D19VA00003D368554</t>
  </si>
  <si>
    <t>KNADE518AN6775472</t>
  </si>
  <si>
    <t>20221122</t>
  </si>
  <si>
    <t>20260408</t>
  </si>
  <si>
    <t>20230208</t>
  </si>
  <si>
    <t>D19VA00001D1178016</t>
  </si>
  <si>
    <t>KNADC518AP6781189</t>
  </si>
  <si>
    <t>20230428</t>
  </si>
  <si>
    <t>D19VA00001D1176490</t>
  </si>
  <si>
    <t>KNADC518AP6803346</t>
  </si>
  <si>
    <t>20230130</t>
  </si>
  <si>
    <t>20260428</t>
  </si>
  <si>
    <t>20230417</t>
  </si>
  <si>
    <t>2026061WW</t>
  </si>
  <si>
    <t>2026/06</t>
  </si>
  <si>
    <t>MX02502026W00029400</t>
  </si>
  <si>
    <t>KNACP81EGVA383934</t>
  </si>
  <si>
    <t>2853008520</t>
  </si>
  <si>
    <t>2026/06/23</t>
  </si>
  <si>
    <t>2026/06/05</t>
  </si>
  <si>
    <t>2026-05</t>
  </si>
  <si>
    <t>2150002026W00601500</t>
  </si>
  <si>
    <t>KNAEB811GTK002496</t>
  </si>
  <si>
    <t>1S</t>
  </si>
  <si>
    <t>99STAZ0T</t>
  </si>
  <si>
    <t>2026/06/18</t>
  </si>
  <si>
    <t>SP3 25</t>
  </si>
  <si>
    <t>MX25302026W00020400</t>
  </si>
  <si>
    <t>KNACT81EGNA010016</t>
  </si>
  <si>
    <t>[C]1.현상 : 부동액 부족으로 입고 2.점검내용 및 원인 : 챔버 컨버터 머플러 폐기열 회수장치에서 부동액 누수됨 3.조치내용 : 챔버 컨버터 컴플리터 교환 조치함</t>
  </si>
  <si>
    <t>2022/04/12</t>
  </si>
  <si>
    <t>2026/06/19</t>
  </si>
  <si>
    <t>2022/04/18</t>
  </si>
  <si>
    <t>MX2</t>
  </si>
  <si>
    <t>DK02602026W00180200</t>
  </si>
  <si>
    <t>KNACR81EGRA085629</t>
  </si>
  <si>
    <t>[C]1.현상 : 주행중 엔진과열 경고등 점등으로 차량 입고 2.점검내용 및 원인 : 점검시 챔버&amp;컴버터 머플러 내부에서 부동액 비정상 소실로 엔진 경고등 점등 발생 판단 3.조치내용 : CC 머플러 교환 및 부동액 보충 후 차량 출고</t>
  </si>
  <si>
    <t>2023/02/09</t>
  </si>
  <si>
    <t>2023/02/10</t>
  </si>
  <si>
    <t>MX01202026W00030800</t>
  </si>
  <si>
    <t>KNARL81BGMA097823</t>
  </si>
  <si>
    <t>[C]1.현상 : 경고등 점등 점검 2.점검내용 및 원인 : P20EE00 SCR NOX 정화효율저하 내부 불량으로 정화효율 불량 3.조치내용 : SCR 교환 작업</t>
  </si>
  <si>
    <t>2021/04/12</t>
  </si>
  <si>
    <t>2026/05/29</t>
  </si>
  <si>
    <t>2021/04/14</t>
  </si>
  <si>
    <t>GK22702026W00067800</t>
  </si>
  <si>
    <t>KNARG81BGPA239102</t>
  </si>
  <si>
    <t>[C]1.현상 : 요소수 부족 경고등 점등으로 차량 입고 2.점검내용 및 원인 : P20C900 DCU로부터 MIL점등 요청 요소수 인젝터 탈거하여 점검 결과 컨버터 어셈블리 내부 막힘 발생함 컨버터 내부 막히며 분사 불량 발생하며 요소수 부족 경고등 지속 표출됨 3.조치내용 : 챔버 컨버터 머플러 컴플리트 교환</t>
  </si>
  <si>
    <t>2026/06/10</t>
  </si>
  <si>
    <t>2023/07/26</t>
  </si>
  <si>
    <t>GX97602026W00039000</t>
  </si>
  <si>
    <t>KNARG81BHRA315577</t>
  </si>
  <si>
    <t>[C]1.현상 : 주행중 엔진경고등 점등 2.점검내용 및 원인 : 카탈리틱 컨버터 어셈블리 3.조치내용 : 카탈리틱 컨버터 어셈블리 교환</t>
  </si>
  <si>
    <t>28950RQ0</t>
  </si>
  <si>
    <t>2024/08/23</t>
  </si>
  <si>
    <t>2026/06/16</t>
  </si>
  <si>
    <t>2024/08/26</t>
  </si>
  <si>
    <t>NK05802026W00133500</t>
  </si>
  <si>
    <t>KNANE81BBMS106834</t>
  </si>
  <si>
    <t>[C]1.현상 : 현차량은 주행중 경고등 점등으로 인하여 입고 2.점검내용 및 원인 : 점검시 SCR 촉매 경고등 점등 되며 센서는 이상 없음 확인 3.조치내용 : SCR 촉매 교환 세팅 재생 후 출고</t>
  </si>
  <si>
    <t>2021/05/18</t>
  </si>
  <si>
    <t>2026/06/25</t>
  </si>
  <si>
    <t>2021/05/21</t>
  </si>
  <si>
    <t>JK41902026W00209600</t>
  </si>
  <si>
    <t>KNANC81BBMS128196</t>
  </si>
  <si>
    <t>[C]1.현상 : 고장코드 표출 . 2.점검내용 및 원인 : P20EE00 P200300 DPF 효율저하 DPF내부 불량으로 경고등표출 3.조치내용 : DPF 교환</t>
  </si>
  <si>
    <t>2021/07/08</t>
  </si>
  <si>
    <t>2026/06/15</t>
  </si>
  <si>
    <t>2021/07/12</t>
  </si>
  <si>
    <t>RK01702026W00022700</t>
  </si>
  <si>
    <t>KNANE81BBPS193446</t>
  </si>
  <si>
    <t>[C]1.현상 : 엔진 경고등 점등으로 입고함. 2.점검내용 및 원인 : 스캔툴 점검시 Nox로 경고등 점등 되었으며 DPF강제재생시 녹스량이 많이 쌓여 있음 컴버터 탈거 후 육안상으로 확인시 컴버터 내부 소손 된거 확인되어 컴버터부터 교환 진행함. 3.조치내용 : 컴버터 교환 후 DPF강제재생 후 출고함.</t>
  </si>
  <si>
    <t>2022/04/11</t>
  </si>
  <si>
    <t>KK38102026W00087400</t>
  </si>
  <si>
    <t>KNANC81BBSS553868</t>
  </si>
  <si>
    <t>[C]1.현상 : 요소수 경고등 점등 2.점검내용 및 원인 : KDS 고장코드 P20EE00 SCR 정화효율낮음 확인됨 SCR 컨버터 외형 점검 및 손상점검 이상없음 컨버터 내부 필터 이상으로 인한 경고등 점등으로 판단됨 3.조치내용 : 머플러 컴플리트 챔버 교환</t>
  </si>
  <si>
    <t>2025/04/10</t>
  </si>
  <si>
    <t>2025/04/11</t>
  </si>
  <si>
    <t>MX91502026W00073800</t>
  </si>
  <si>
    <t>KNACF911BTT448870</t>
  </si>
  <si>
    <t>28650A3550</t>
  </si>
  <si>
    <t>[C]1.현상 : 주행중 배기음 과다로 입고 2.점검내용 및 원인 : 점검결과 센터 및 리어 배기 파이프 부분 변형으로 압력 새어나옴 3.조치내용 : 센터 및 리어머 머플러 교환 클램프 부대품으로 교환함</t>
  </si>
  <si>
    <t>2025/09/08</t>
  </si>
  <si>
    <t>2026/06/17</t>
  </si>
  <si>
    <t>2060002026W00880200</t>
  </si>
  <si>
    <t>KNARH81FGTA395806</t>
  </si>
  <si>
    <t>[C]1.현상 : 1.주행시 소음.(1500rpm 부근에서 발생함.) 2.점검내용 및 원인 : 고객 동승 주행 확인 시운전하니 저속에서 가속시 소음 발생하여 차량을 리프트에 올려 하체에 점검하니 중간 머플러 내부에서 소음 확인함. 3.조치내용 : 중간 머플러 교체후 주행 확인함.</t>
  </si>
  <si>
    <t>Q85</t>
  </si>
  <si>
    <t>2025/11/19</t>
  </si>
  <si>
    <t>2026/06/22</t>
  </si>
  <si>
    <t>2025/11/21</t>
  </si>
  <si>
    <t>206</t>
  </si>
  <si>
    <t>2060002026W00790400</t>
  </si>
  <si>
    <t>KNACH811BRT397991</t>
  </si>
  <si>
    <t>[C]1.현상 : 주행중 하체 소음 발생의뢰함 2.점검내용 및 원인 : 요철주행중 다다닥 딕딕 소음발생으로50키로속도 잔잔한도로주행시 머플러 내부떨어짐으로 교체후 차체볼트 재조임 3.조치내용 : 시운전 진행시 하체소음발생확인 동영상참조</t>
  </si>
  <si>
    <t>Q83</t>
  </si>
  <si>
    <t>2026/06/02</t>
  </si>
  <si>
    <t>2024/05/14</t>
  </si>
  <si>
    <t>2090002026W01353900</t>
  </si>
  <si>
    <t>KNACH811BTT454637</t>
  </si>
  <si>
    <t>[C]1.현상 : 1.운전석 정차중 엔진이음 소음기에서 벙벙벙 소음 들어옴 으로 입고수리요청 2.점검내용 및 원인 : 고객상담후 동승 소음확인 연세가잇는데도 소음이확인되어 상담후설명 소음기교환후 정상인도 3.조치내용 : 정상인도함</t>
  </si>
  <si>
    <t>I13</t>
  </si>
  <si>
    <t>2025/11/11</t>
  </si>
  <si>
    <t>2026/06/12</t>
  </si>
  <si>
    <t>2026061WA</t>
  </si>
  <si>
    <t>2090002026W00843300</t>
  </si>
  <si>
    <t>KNANC81ABTS151223</t>
  </si>
  <si>
    <t>[C]1.현상 : 주행 하며는 리어 하체 뚝 이음 2.점검내용 및 원인 : 시운전에서 히트 프로텍터 판넬 교환 후에도 이음 재발생. 센터 머플러 내부에 이음 확인 3.조치내용 : 센터머플러 교환</t>
  </si>
  <si>
    <t>2025/12/26</t>
  </si>
  <si>
    <t>2025/12/30</t>
  </si>
  <si>
    <t xml:space="preserve">B06VA611232684199A </t>
  </si>
  <si>
    <t>C21VA2103 KM2000824</t>
  </si>
  <si>
    <t>KNACP81EVS5221914</t>
  </si>
  <si>
    <t>2853008461</t>
  </si>
  <si>
    <t>[C]Customer reports Investigate eml on dash [R]Replaced catalyst and gaskets [T]Investigated customers complaint confirmed fault checked for fault codes and found P042000 logged engine control catalyst efficiency below threshold, removed exhaust flexi and inspected catalyst found that it had cracked, new catalyst and gaskets required</t>
  </si>
  <si>
    <t>2026/06/09</t>
  </si>
  <si>
    <t>2024/10/18</t>
  </si>
  <si>
    <t>D26VBTR123KM2600067</t>
  </si>
  <si>
    <t>KNCSJX762R7765244</t>
  </si>
  <si>
    <t>[C]MOTOR ARIZA LAMBASI YANIYOR [R]DPF in değişmesi gerekiyor [T]Şikayet üzerine araç kds cihazına bağlandı. Arıza kodu taramasında P200300 arızası verdiği görüldü. Araca jenerasyon yapılmak istendiğinde jenerasyona geçmedi. Veri analizi kayıtları alındıktan sonra araç ile yol testleri yapıldı. 30 dk manuel modda 3000 devir ile kullanılarak test yapıldı. Pm sensö [D]DPF in içö dış +lot no fotoğrafı eklenmesi unutulmamalıdır</t>
  </si>
  <si>
    <t>2024/01/10</t>
  </si>
  <si>
    <t>D26VBTR030KM2600048</t>
  </si>
  <si>
    <t>KNCSJX766R7779812</t>
  </si>
  <si>
    <t>[C]motor arıza lambası yanıyor egzoz sarı püskürtme lambası yanıyor [R]Araç müşteri şikayeti doğrultusunda kds cihazına bağlandı.P200300 Dpf arızası verdi. Dpf kaçak testi yapıldı. Test sonucunda aracın dpfinde kaçak tespit edildi. Dpf değiştirildi. Yol testi yapıldı. Sorun giderildi. [T]Motor arıza lambası yanıyor şikayeti ile ilgili araç kds cihazına bağlandı P200300 arızası olduğu görüldü. Arıza silinip teste çıkıldığında aracın 25-30 km'de bir arızayı tekrarladığı tespit edildi. Pm sensörü ve tesisatı kontrol edildi. Herhangi bir sorun görülmedi. Araca yapılan DPF kaçak testin [D]Claime DPF''in iç ve dış kısmının + lot numarasının fotoğrafı eklenmelidir.</t>
  </si>
  <si>
    <t>2024/06/12</t>
  </si>
  <si>
    <t xml:space="preserve">B06VA611472663661A </t>
  </si>
  <si>
    <t>KNDRJDJH9S5400192</t>
  </si>
  <si>
    <t>[C]CLIENT MENTIONNE QUE LE MOTEUR A GAS NE FONCTIONNE PLUS, FON CTIONNE JUST SUR LA BATTERIE. DIT AVOIR SENTI UNE ODEUR DE C HAUFFER. AVANT DE TOMBER EN DEFAUT AVAIT DE LA MISERE DE SWI TCHER ENTRE GAS ET ELECTRIC [R]remplacé les 2 catalyseurs, retiré egr et enlevé tout les mck de catalyseur pris dans egr ok remplacé 1 stud de turbo car à strippé en dévissant 1 bolt de flange, remonté le tout, fait reset des valeurs adaptatives, effacé codes et retesté: moteur thermique démarre et fonctionne bien, aucun témoin n [T]brisé ert ur thermique démarre et roule 3-4minutes et s'éteint lentmen t pas de check enginne allummé semble manquer d'essence mais niveau est au 1/4, huile est belle et niveau est correct aucune fuite de liquide, aucune trace de dommages visibles n i impact, redémarré véhicule et démarre très bien [L]docs envoyes besoin de remplacer middle pipe doc envoye, location piece 28600p4740 bo, location 8 au 22 mai bt envoye. défait midpipe et enlevé mcx cassés pour déboucher exhaust, 2 eme catalyseur est aussi bouché, récupéré mcx ok, flexpipe et bas du catalyseur, des mcx bouchent l'accès au coo [D]SVP envoyer des photos avec les catalyseurs et expliquer la cause. Veuillez réduire montant location a $2,378; 41 jours X $58/jour (8/04-14/05 + 2 jours pour installer). Veuillez expliquer le diagnostic et la cause fondamentale de la défaillance pour chaque convertisseur catalytique, et détailler pourquoi les deux convertisseurs doivent être remplacés. Les codes DTC ne sont pas liés aux convertisseurs catalytiques. Veuillez également expliquer le délai, puisque la pièce a été reçue le 14 mai.</t>
  </si>
  <si>
    <t>B33</t>
  </si>
  <si>
    <t>2025/06/06</t>
  </si>
  <si>
    <t>A02VE83121250000039</t>
  </si>
  <si>
    <t>KNANB813MM6100187</t>
  </si>
  <si>
    <t>28600R0130</t>
  </si>
  <si>
    <t>2021/04/30</t>
  </si>
  <si>
    <t>2024/01/25</t>
  </si>
  <si>
    <t>A02VE2620082</t>
  </si>
  <si>
    <t>C26VAHG603KM2000471</t>
  </si>
  <si>
    <t>KNARH81B0S5298647</t>
  </si>
  <si>
    <t>[C]Hibaüzenetet ír az autó. [R]Katalizátor és hozzá tartozó alkatrészek cseréje szükséges. [T]Karbamid rendszer hibaüzenetet jelez. SCR P2C7A00 DTC van jelen. 45 km megtétele után újra és újra visszadobja a hibát. A hibakód alapján az SCR katalizátornak belső hibája van. [L]Hozzá kellett adnom az N- pwa típust. SzN Az autón további javítások is voltak, Ákos is jelen volt. Ezt követően a gépkocsi újra érkezett vissza érkezett a szervizbe más hibával, ahol szintén kint volt Ákos 06.09-én. SzN0610 [D]ok.HG0414 NEm értem miért csak most küldöd be a PWA-t március óta ott van? Mire vártatok mennyi most a km , hol az autó.A KDS diag csak áprilisi</t>
  </si>
  <si>
    <t>2024/05/09</t>
  </si>
  <si>
    <t>2024/12/04</t>
  </si>
  <si>
    <t>B19VCMB193489923000</t>
  </si>
  <si>
    <t>KNAB2511MPT057207</t>
  </si>
  <si>
    <t>28610G6150</t>
  </si>
  <si>
    <t>[C]Vehicle muffler sounds unusual. [R]Remove and replace catalyst test drive, tested ok. [T]Confirm customer complain, carried out checks and found catalyst damage.</t>
  </si>
  <si>
    <t>2022/12/06</t>
  </si>
  <si>
    <t>2023/07/31</t>
  </si>
  <si>
    <t>B19</t>
  </si>
  <si>
    <t>JAMAICA</t>
  </si>
  <si>
    <t xml:space="preserve">A18VBKFOOT1233786  </t>
  </si>
  <si>
    <t>KNACR81EVP5090349</t>
  </si>
  <si>
    <t>28650AT200</t>
  </si>
  <si>
    <t>[C]Failed WOF- Centre Muffler leaking [R]Removed centre exhaust section. Cut out cat converter and welded to new exhaust all ok [T]Check exhausts centre pipe broken and leaking [L]Jen</t>
  </si>
  <si>
    <t>A11</t>
  </si>
  <si>
    <t>2023/03/02</t>
  </si>
  <si>
    <t>A18</t>
  </si>
  <si>
    <t>NEW ZEALAND</t>
  </si>
  <si>
    <t>C07VA2670AKM2000422</t>
  </si>
  <si>
    <t>KNARH81GDP5191270</t>
  </si>
  <si>
    <t>2023/04/05</t>
  </si>
  <si>
    <t>2026/05/27</t>
  </si>
  <si>
    <t>2023/06/30</t>
  </si>
  <si>
    <t>E37VASA183KM2000108</t>
  </si>
  <si>
    <t>KNCSHX76LS7818351</t>
  </si>
  <si>
    <t>[C]Michaela - Customer complains of noise coming from underneath the vehicle. [R]Replaced exhaust all good VDN no: 250919001I [T]Exhaust cracked open due to welding causing a weak spot on the seam. VDN no: 250919001I [L]10= 10706km - 27.08.2025 [D]check and update RO no-simz02/12</t>
  </si>
  <si>
    <t>2024/09/04</t>
  </si>
  <si>
    <t>2025/06/26</t>
  </si>
  <si>
    <t xml:space="preserve">B06VA620582623687A </t>
  </si>
  <si>
    <t>KNDCR3LE9T5316354</t>
  </si>
  <si>
    <t>[C]CLIENT MENTIONNE QU IL Y A DE LA ROUILLE ( EN TRAIN DE PERCER) SUR LE MUFFLER [R]REMPLACEMENT DU MUFFLER OK [T]CONFIRMR ROUILLE PROFONDE SUR MUFFLER</t>
  </si>
  <si>
    <t>2025/07/11</t>
  </si>
  <si>
    <t>2025/08/31</t>
  </si>
  <si>
    <t>C14VC50884KM2000469</t>
  </si>
  <si>
    <t>KNAB3518JST311779</t>
  </si>
  <si>
    <t>[C]Uitlaat systeem. Steen in het uitlaat systeem [R]Einddemper vervangen [T]Er zit inderdaad iets los in. Einddemper gedemonteerd. Proberen eruit te halen. Dit lukt niet. Ivm opbouw uitlaat. Uiltaat verder controleren. Geen afwijkingen geconstateerd. Probleem zit in de einddemper. Deze vervangen</t>
  </si>
  <si>
    <t>2024/10/05</t>
  </si>
  <si>
    <t>C14</t>
  </si>
  <si>
    <t>NETHERLANDS</t>
  </si>
  <si>
    <t xml:space="preserve">B21VBMAN0226060022 </t>
  </si>
  <si>
    <t>KNCWJX72AT7847020</t>
  </si>
  <si>
    <t>[C]NOISE FROM EXHAUST TUBE ASSY [R]TO REPLACE DEFECTIVE EXHAUST TUBE ASSY [T]DUE BROKEN EXHAUST TUBE ASSY</t>
  </si>
  <si>
    <t>2025/02/24</t>
  </si>
  <si>
    <t>2025/05/08</t>
  </si>
  <si>
    <t>2025-02</t>
  </si>
  <si>
    <t xml:space="preserve">B21VBMAN0226060046 </t>
  </si>
  <si>
    <t>KNCWJZ72AT7847952</t>
  </si>
  <si>
    <t>[C]NOISE FROM EXHAUST SYSTEM [R]TO REPLACE DEFECTIVE EXHAUST TUBE ASSY [T]DUE BROKEN EXHAUT TUBE ASSY</t>
  </si>
  <si>
    <t>2025/02/26</t>
  </si>
  <si>
    <t>B15VA00005260614000</t>
  </si>
  <si>
    <t>KNCWJX72AT7853547</t>
  </si>
  <si>
    <t>[C]Cliente reporta ruido en sistema de escape [R]se realizo reemplazo de tubería final de sistema de escape [T]se realizo revisión al sistema de escape de motor , se detecto que la tubería final presenta fractura , esto ocasiona que al momento de acelerar presente ruido</t>
  </si>
  <si>
    <t>2025/03/24</t>
  </si>
  <si>
    <t>GUATEMALA</t>
  </si>
  <si>
    <t xml:space="preserve">B06VA540432623191B </t>
  </si>
  <si>
    <t>KNDRMDLH8P5170124</t>
  </si>
  <si>
    <t>2023/01/16</t>
  </si>
  <si>
    <t>B28VACA3162671007-A</t>
  </si>
  <si>
    <t>KNDNC5KA8S6066411</t>
  </si>
  <si>
    <t>28600ES120</t>
  </si>
  <si>
    <t>[D]CUSTOMER STATES THERE IS A RATTLING NOISE COMING FROM UNDERNEATH THE VEHICLE. CHECK AND ADVISE. VERIFIED CUSTOMER CONCERN RATTLING NOISE. FOUND THAT CENTER MUFFLER WAS SHOWING SIGNS OF CRACKING FROM WELDING OF FACTORY, RECOMMEND REPLACEMENT. FOUND NO SIGHS OF EXTERNAL DAMAGE ON MUFFLER OR UNDER CARRIAGE . VERIFIED CUSTOMER CONCERN THERE IS A RATTLING NOISE COMING FROM UNDERNEATH VEHICLE. RECOMMEND REPLACEMENT OF MUFFLER. REPLACED CENTER COMPLETE MUFFLER. NO MORE RATTLING PRESENT. VEHICLE NOW TO SPEC.</t>
  </si>
  <si>
    <t>2025/01/13</t>
  </si>
  <si>
    <t>2026/03/16</t>
  </si>
  <si>
    <t>2025/03/31</t>
  </si>
  <si>
    <t>I1Z0062026200076400</t>
  </si>
  <si>
    <t>KMHHE811GSU091851</t>
  </si>
  <si>
    <t>2853008490</t>
  </si>
  <si>
    <t>[C]1.현상 : 경고등 재점등 2.점검내용 및 원인 : P04200촉매 점화능력 저하(뱅크1) 경고등점등발생 P04200 점등 산소센서 작동 정상수치메니폴더 내부불량 3.조치내용 : 촉매 어셈블리 4.요망사항 : 품질개선요망</t>
  </si>
  <si>
    <t>2024/08/29</t>
  </si>
  <si>
    <t>I1Z</t>
  </si>
  <si>
    <t>Z0ZZ992026203004900</t>
  </si>
  <si>
    <t>KMTG141ABMU087435</t>
  </si>
  <si>
    <t>[C]1.현상 : 엔진 경고등 점등 2.점검내용 및 원인 : 스켄진단시 P0420-촉매정화능력 저하 표출 시운전 및 산소센서 데이터 확인시 특이사항 없음 촉매 컨버터 성능이상으로 주행중 경고등 점등 발생 3.조치내용 : 촉매 컨버터 및 산소센서 교환 4.요망사항 : .........</t>
  </si>
  <si>
    <t>2021/06/09</t>
  </si>
  <si>
    <t>2021/06/28</t>
  </si>
  <si>
    <t>F010002026200362100</t>
  </si>
  <si>
    <t>F01</t>
  </si>
  <si>
    <t>F1Z0082026200190800</t>
  </si>
  <si>
    <t>F1Z</t>
  </si>
  <si>
    <t>S02DK52026200014700</t>
  </si>
  <si>
    <t>KMHLW41KGRU017326</t>
  </si>
  <si>
    <t>[C]1.현상 : 오르막 주행중 가속불량 및 출력저하 2.점검내용 및 원인 : 2-1 GDS진단시 경고등 없음 2-2 촉매 내시경으로 내부 확인시 열화로인한 내부 파손확인됨 2-3 외부 충격 및 개조없음 2-4 ECU 맵핑테스트시 이상없음 2-5 촉매 탈거중 터보차져와 연결된 스터트볼트 고착되어 볼트 파손됨 2-6 촉매 및 터보차져 동시 교환 3.조치내용 : 캐털리틱 케이스 및 터보차져 교환 4.요망사항 : 사진 참조요망</t>
  </si>
  <si>
    <t>2023/08/30</t>
  </si>
  <si>
    <t>2026/05/26</t>
  </si>
  <si>
    <t>S02</t>
  </si>
  <si>
    <t>E01E332026200127600</t>
  </si>
  <si>
    <t>KMHLW41KGRU017543</t>
  </si>
  <si>
    <t>[C]1.현상 : 1.클러스터 엔진체크등 점등 2.점검내용 및 원인 : 1.엔진 P042000 촉매-정화능력 저하 외1 발생됨 2.흡기 및 배기 기밀상태 점검 3.촉매 내부 필터 성능 저하로 인해 경고등 점등으로 판단됨 3.조치내용 : 1.촉매 탈거 시 터보차저측 스터드 나사산 마모로 재사용 불가 2.촉매 매니폴드 및 터보차저 동시 교환 실시함 4.요망사항 : 해당사항 없음</t>
  </si>
  <si>
    <t>2023/09/11</t>
  </si>
  <si>
    <t>E01</t>
  </si>
  <si>
    <t>B020002026200836300</t>
  </si>
  <si>
    <t>KMHLW41KGRU018254</t>
  </si>
  <si>
    <t>[C]1.현상 : 매연과다로 입고 2.점검내용 및 원인 : 촉매 육안점검시 손상 확인 3.조치내용 : 촉매 교환. 4.요망사항 : 없습니다.</t>
  </si>
  <si>
    <t>2023/10/14</t>
  </si>
  <si>
    <t>2023/10/19</t>
  </si>
  <si>
    <t>B02</t>
  </si>
  <si>
    <t>Z0ZZ992026202629300</t>
  </si>
  <si>
    <t>MB0D752026200049500</t>
  </si>
  <si>
    <t>MB0</t>
  </si>
  <si>
    <t>T1Z0022026200108400</t>
  </si>
  <si>
    <t>KMHLW41KGRU021458</t>
  </si>
  <si>
    <t>[C]1.현상 : 엔진경고등 점등 2.점검내용 및 원인 : P0420 촉매 정화능력저하진단되고 촉매탈거후 내부점검시 내부깨짐 확인됨(사진첨부)4번사진 3.조치내용 : 캐털리스트 케이스 교환후 출고 4.요망사항 : 요망 사항 없음</t>
  </si>
  <si>
    <t>2024/04/18</t>
  </si>
  <si>
    <t>2024/04/24</t>
  </si>
  <si>
    <t>T1Z</t>
  </si>
  <si>
    <t>P01DL42026200122400</t>
  </si>
  <si>
    <t>KMHT361HGNU013300</t>
  </si>
  <si>
    <t>[C]1.현상 : 엔진경고등 점등으로 입고 2.점검내용 및 원인 : 점검하니 엔진 경고등 점등됨 촉매정화능력 저하 사고흔적이나 파손흔적없음 촉매 육안점검하니 내부 깨짐발생 교환후 정상출고 3.조치내용 : 촉매 교환 조치 4.요망사항 : 품질 개선 요망</t>
  </si>
  <si>
    <t>2022/01/11</t>
  </si>
  <si>
    <t>2022/01/18</t>
  </si>
  <si>
    <t>2022-01</t>
  </si>
  <si>
    <t>P01</t>
  </si>
  <si>
    <t>MK06802026W00118600</t>
  </si>
  <si>
    <t>KNAE551CBPS129100</t>
  </si>
  <si>
    <t>[C]1.현상 : 주행중 엔진 경고등 점등 현상 2.점검내용 및 원인 : P043000 촉매 정화능력 저하 3.조치내용 : 촉매 교환</t>
  </si>
  <si>
    <t>2022/10/26</t>
  </si>
  <si>
    <t>2026/05/11</t>
  </si>
  <si>
    <t>2022/10/28</t>
  </si>
  <si>
    <t xml:space="preserve">2161E0164   </t>
  </si>
  <si>
    <t>D15ACG0004260602001</t>
  </si>
  <si>
    <t>KMTG341A2PU113117</t>
  </si>
  <si>
    <t>285302C800</t>
  </si>
  <si>
    <t>[C]Engine lack of power, warning light ON and white smoke coming from exhaust at idling and during driving. [R]Replaced catalyst case assembly and fuel injector cylinder # 4 [T]'We received one IK G70 with engine lack of power, warning light ON and white smoke coming from exhaust at idling and during driving, DTC detected as: P008700: Fuel rail/system pressure - Too low and P225100: O2 sensor reference 'ground circuit/open (Bank 1 Sensor 1). Both are active. After inspecti [L]Evaluated by Mr. Lowell</t>
  </si>
  <si>
    <t>2022/09/27</t>
  </si>
  <si>
    <t>2023/07/30</t>
  </si>
  <si>
    <t>B28AAMS70437609B000</t>
  </si>
  <si>
    <t>KMTG64LA8MU067230</t>
  </si>
  <si>
    <t>[C]MAINTENANCE OR LINE WORK CUSTOMER STATES VEHICLE WILL NOT STAY RUNNING [T]ACCESSED, REMOVED AND REPLACED THE FRONT CATALYST. THE SYSTEM IS OPERATING AS DESIGNED. THE SYSTEM IS RUNNING PROPERLY IN LINE WITH THE SPECIFICATIONS AT THIS TIME. [S]VERIFIED THE CUSTOMERS CONCERN OF RAW FUEL CAUSED CATALYTIC CONVERTOR TO CLOGGED. PERFORMED A VISUAL INSPECTION. PERFORMED A FUEL LEAK ODOR DIAGNOSTIC. FOUND THE FRONT CATALYST IS PLUGGED</t>
  </si>
  <si>
    <t>2020/03/28</t>
  </si>
  <si>
    <t>2024/09/24</t>
  </si>
  <si>
    <t>2020/10/16</t>
  </si>
  <si>
    <t>B28AAFL15496690A000</t>
  </si>
  <si>
    <t>KMHLW4AK3NU007958</t>
  </si>
  <si>
    <t>[C]CUSTOMER STATES ENGINE LIGHT IS ON [R]TECH DUPLICATED CUSTOMERS CONCERN CODE P042000 WAS FOUND AFTER SCANNING VEHICLE AFTER DIAGNOSIS THECATALYST SYSTEM WAS FOUND TO BE OPERATING BELOW THRESHOLD CAUSING A CHECK ENGINE LIGHT TECH REPLACED CATALYST CONVERTER TEST DROVE VEHICLE TO VERIFY ALL REPAIRS VEHICLE IS NOW OPERATING AS DESIGN [T]TECH DUPLICATED CUSTOMERS CONCERN CODE P042000 WAS FOUND AFTER SCANNING VEHICLE AFTER DIAGNOSIS THECATALYST SYSTEM WAS FOUND TO BE OPERATI</t>
  </si>
  <si>
    <t>2022/09/19</t>
  </si>
  <si>
    <t>B28AANJ06358702R000</t>
  </si>
  <si>
    <t>KMHLW4DK3SU031488</t>
  </si>
  <si>
    <t>[C]CUSTOMER STATES CHEMICAL SMELL COMING INSIDE THE CABIN AS WELL AS A LOT OF HEAT COMING FROM THE DASH, LIKE AMONIA. [R]within specification at idle and 2500 RPM. Based on verified abnormal exhaust odor with normal engine operation, catalytic converter determined internally defective. Replaced faulty catalytic convertor. While replacing the cat removed 2 of the 4 studs and attempted to remove third stud using heat an [T]Verified customer concern of excessive ammonia odor from exhaust tailpipe. Compared against identical knowngood vehicle odor confirmed abnormal. No DTCs present. Fuel trimsclosed loop operation wit</t>
  </si>
  <si>
    <t>2025/04/09</t>
  </si>
  <si>
    <t>2025/05/26</t>
  </si>
  <si>
    <t>B28AATX17100494B000</t>
  </si>
  <si>
    <t>KMHLW4DK5SU035428</t>
  </si>
  <si>
    <t>[C]THIS LINE ADDED FOR THE REPLACEMENT OF THE CATALYST. [R]28530R00 1.7 39210R00 .4 39210RQ0 .3 REMOVED AND REPLACED CAT BOTH O2 SENSORS AND ALL ASSOCIATED GASKETS [T]AFTER REPLACEMENT OF TURBO FOUND CAT HAS METAL SLUDGE INSIDE IT AT UPPER O2 PORT NEED TO REMOVE ANDREPLACE CAT AND BOTH O2 SENSORS</t>
  </si>
  <si>
    <t>2025/08/12</t>
  </si>
  <si>
    <t>2025/12/27</t>
  </si>
  <si>
    <t>2025-08</t>
  </si>
  <si>
    <t>B28AAMD01013105B000</t>
  </si>
  <si>
    <t>KM8KH3AC9NU001798</t>
  </si>
  <si>
    <t>[C]CUSTOMER STATES VEHICLES CHECK ENGINE LIGHT ON CHECK AND ADVISE APT MARK 524 [R]REMOVED AND REPLACED VEHICLES CONVERTER AND CLEARED ALL DTC . ALL OKAY AT THIS TIME [T]VERIFIED CUSTOMER CONCERN, SCANNED VEHICLE FOUND CODE P0420. FOUND CONVERTER FAULTY.</t>
  </si>
  <si>
    <t>2021/10/15</t>
  </si>
  <si>
    <t>2026/05/05</t>
  </si>
  <si>
    <t>2021/12/17</t>
  </si>
  <si>
    <t>GK25702026W00133200</t>
  </si>
  <si>
    <t>KNACG811BRT391170</t>
  </si>
  <si>
    <t>[C]1.현상 : 엔진경고등 점등으로 입고됨. 2.점검내용 및 원인 : 1.스캔 점검시 P042000 촉매효율저하 검출/산소센서(S2)교환 후 경고등 재점등 2.촉매 내부 고장에 의한 경고등 점등 판단됨 3.조치내용 : 신품 카탈리틱 컨버터 교환 후 경고등 미점등</t>
  </si>
  <si>
    <t>20240307</t>
  </si>
  <si>
    <t>20260610</t>
  </si>
  <si>
    <t>20240312</t>
  </si>
  <si>
    <t>A02VE84872260000018</t>
  </si>
  <si>
    <t>KNAB3512MNT905963</t>
  </si>
  <si>
    <t>[C]CHECK CAR FOR CHECK ENGINE MANAGEMENT LIGHT ON [R]REQUIRES BOTH OXYGEN SENSORS AND CATALYTIC ASSY. REPLACED BOTH SENSORS AND CATALYTIC ASSY [T]DTC- P017100- SYSTEM TOO LEAN BANK 1. SOFTWARE UP TO DATE. 02 SENSOR BANK 1 DOWNSTREAM NOT NORMAL FLAT 1.13V. [L]Please find attached. [D]please provide the photos of the CAT -AT 20/5/26. PWA OEM Approved.AG-21/5/26.</t>
  </si>
  <si>
    <t>20211203</t>
  </si>
  <si>
    <t>20260519</t>
  </si>
  <si>
    <t>20220207</t>
  </si>
  <si>
    <t>A02VE82201260000186</t>
  </si>
  <si>
    <t>KNAB3512MPT156768</t>
  </si>
  <si>
    <t>[C]Vehicle came in with engine light on dash [R]Requires cat + both O2 sensors due to material deterioration. Please also include replacement of all injectors due to resistance not meeting WSM spec. engine oil flushed and refilled with fresh oil. DHL #3051388 COMPLETED O2 sensors - 9025090005 &amp; 902509000 [T]Checked and confirmed light on dash, checked DTC's and found P227200 set. Checked connections on O2 sensors and found clean and secure, followed DTC guide. Found E159-A2 pin 1 signal wire to have 2.28v specs show to be approx 0.4v, same found on the upstream. Checked Ground pin 2 to ground and found [L]O2 sensors - 9025090005 &amp; 902509000 [D]PWA approved- AT 28/5/26</t>
  </si>
  <si>
    <t>20230623</t>
  </si>
  <si>
    <t>20260527</t>
  </si>
  <si>
    <t>2023-06</t>
  </si>
  <si>
    <t>A02VE83153260000113</t>
  </si>
  <si>
    <t>KNAB2512MRT240426</t>
  </si>
  <si>
    <t>[C]Car cut out while driving, hard to start after that [R]Replaced catalytic converter assembly [T]Inspected and found catalytic converter to have broken down internally</t>
  </si>
  <si>
    <t>D84</t>
  </si>
  <si>
    <t>20240315</t>
  </si>
  <si>
    <t>20240601</t>
  </si>
  <si>
    <t>2050002026W00880700</t>
  </si>
  <si>
    <t>KNAB2518BRT163898</t>
  </si>
  <si>
    <t>[C]1.현상 : 시동 및 주행시 경고등 점등 (엔진 경고등 점등으로 협력사에서 후단 산소 센서 교환했음에도 재점등) 2.점검내용 및 원인 : KDS 진단시 'P003600'(산소센서 히터 제어회로 제어 이상)표출, 컨버터 점검, 머플러 점검, 전 후단 산소센서점검, 배선점검, 란스점검, 시운전 3.조치내용 : 컨버터 어셈블리, 전단 및 후단 산소 센서 교환후 시운전.</t>
  </si>
  <si>
    <t>DRV2050B</t>
  </si>
  <si>
    <t>20230714</t>
  </si>
  <si>
    <t>20230717</t>
  </si>
  <si>
    <t>2080002026W00579200</t>
  </si>
  <si>
    <t>KNAB2518BST346596</t>
  </si>
  <si>
    <t>[C]1.현상 : 악셀 밟으면 엔진, 흡입기쪽 웅웅~ 소음 (소음 부위 확인 어려움) 2.점검내용 및 원인 : 고객동승 시운전확인시 2500rpm부근에서 부~웅 이음 확인 됨 3.조치내용 : 엔진 탈부착/ 흡기/배기 매니폴드 및 EGR 밸브 교환후 이상없음</t>
  </si>
  <si>
    <t>20100R1K</t>
  </si>
  <si>
    <t>20250106</t>
  </si>
  <si>
    <t>20260623</t>
  </si>
  <si>
    <t>20250207</t>
  </si>
  <si>
    <t>208</t>
  </si>
  <si>
    <t>C21VA2340 KM2001083</t>
  </si>
  <si>
    <t>KNAB2511LLT639575</t>
  </si>
  <si>
    <t>2853004GE0</t>
  </si>
  <si>
    <t>[C]CHECK EML O, NO DIFFERENCE IN DRIVING [R]supplied and fitted CATALYST CASE ASSY AND/OR GASKET (KAPPA ENGINE), R&amp;R tested: all ok [T]check EML on, plugged in &amp; confirms eml on due to catalytic converter having a hole in honeycomb dtc -P042000 replacement cat due to internal failure</t>
  </si>
  <si>
    <t>20191226</t>
  </si>
  <si>
    <t>20260521</t>
  </si>
  <si>
    <t>20200320</t>
  </si>
  <si>
    <t>2019-12</t>
  </si>
  <si>
    <t>C07VA2085AKM2000422</t>
  </si>
  <si>
    <t>KNAB2511ALT675885</t>
  </si>
  <si>
    <t>[C]im Rahmen des Austausch Lambdasonde Bank 1 Sonde 1Fassung/Gewinde am Katalysator nicht vorhanden, Lambdasonde kann nicht eingesetzt werden [R]Katalysator ersetzen [T]Gewinde/Fassung nicht vorhanden [L]GAR Ticket 15489 Anfrage ob Garantie? Antwort als W-Antrag einreichen</t>
  </si>
  <si>
    <t>20200327</t>
  </si>
  <si>
    <t>20260601</t>
  </si>
  <si>
    <t>20200629</t>
  </si>
  <si>
    <t>C04VA2275122    000</t>
  </si>
  <si>
    <t>KNAB2511ALT605164</t>
  </si>
  <si>
    <t>[T]Lyser i motorlampe P0420 kat effekt under graense. Kat faldet sammen hul igennem ses paa billede Katalysator skal udskiftes</t>
  </si>
  <si>
    <t>20191028</t>
  </si>
  <si>
    <t>20200128</t>
  </si>
  <si>
    <t>C04</t>
  </si>
  <si>
    <t>DENMARK</t>
  </si>
  <si>
    <t>C07VA2684AKM2000177</t>
  </si>
  <si>
    <t>KNAB2511ALT617788</t>
  </si>
  <si>
    <t>[C]Unterbodengeräusche aus dem Auspuff beim fahren. [R]Katalysator und sämtliche Dichtungen und Schrauben ersetzt. Problem behoben. [T]Kundenbeanstandung bestätigt. Abgaswerte nicht in Ordnung. Gegen den Katalysator geschlagen. Kommen Geräusche vom Kat. Katalysator ausgebaut. Beschädigung im Katalysator. Keramikteile abgebrochen. [L]Bilder im Anhang. [D]10.06. • internal: GWMS Ticket 202606-6 created. The hole sub-section in 28-285A is empty, when I enter the Microcat or the WPC via VIN. Without VIN the sub-section is filled.</t>
  </si>
  <si>
    <t>20191118</t>
  </si>
  <si>
    <t>20200131</t>
  </si>
  <si>
    <t>2060002026W00846500</t>
  </si>
  <si>
    <t>KNANB81BBSS504809</t>
  </si>
  <si>
    <t>28610R0550</t>
  </si>
  <si>
    <t>[C]1.현상 : 주행중 정차시나 P레이지N레인진에 따라 떨림음발생 2.점검내용 및 원인 : 차량 점검결과 프론트 머플러측 떨림 진동발생으로 프론트머플러 교환 판정됨 3.조치내용 : 프론트 머플러 교환후 현상 개선됨</t>
  </si>
  <si>
    <t>99VSTZ0T</t>
  </si>
  <si>
    <t>V75</t>
  </si>
  <si>
    <t>20241010</t>
  </si>
  <si>
    <t>20260612</t>
  </si>
  <si>
    <t>20241016</t>
  </si>
  <si>
    <t>카파(WIA)</t>
  </si>
  <si>
    <t>카파(HMB)</t>
  </si>
  <si>
    <t>(모두)</t>
  </si>
  <si>
    <t>차이</t>
    <phoneticPr fontId="2" type="noConversion"/>
  </si>
  <si>
    <t>개수 : 변제합계</t>
  </si>
  <si>
    <t>현상코드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</si>
</sst>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176" formatCode="#,##0.0"/>
    <numFmt numFmtId="177" formatCode="#,###,###,##0"/>
    <numFmt numFmtId="178" formatCode="#,##0,"/>
  </numFmts>
  <fonts count="12" x14ac:knownFonts="1">
    <font>
      <sz val="11"/>
      <color theme="1"/>
      <name val="맑은 고딕"/>
      <family val="2"/>
      <charset val="129"/>
      <scheme val="minor"/>
    </font>
    <font>
      <sz val="9"/>
      <name val="굴림체"/>
      <family val="3"/>
      <charset val="129"/>
    </font>
    <font>
      <sz val="8"/>
      <name val="맑은 고딕"/>
      <family val="2"/>
      <charset val="129"/>
      <scheme val="minor"/>
    </font>
    <font>
      <sz val="11"/>
      <color theme="1"/>
      <name val="굴림"/>
      <family val="3"/>
      <charset val="129"/>
    </font>
    <font>
      <b/>
      <sz val="11"/>
      <color theme="1"/>
      <name val="맑은 고딕"/>
      <family val="3"/>
      <charset val="129"/>
      <scheme val="minor"/>
    </font>
    <font>
      <sz val="8"/>
      <name val="맑은 고딕"/>
      <family val="3"/>
      <charset val="129"/>
    </font>
    <font>
      <sz val="8"/>
      <name val="맑은 고딕"/>
      <family val="3"/>
      <charset val="129"/>
      <scheme val="minor"/>
    </font>
    <font>
      <sz val="11"/>
      <color indexed="8"/>
      <name val="맑은 고딕"/>
      <family val="2"/>
      <scheme val="minor"/>
    </font>
    <font>
      <sz val="10"/>
      <name val="Arial"/>
      <family val="2"/>
    </font>
    <font>
      <sz val="10"/>
      <color theme="1"/>
      <name val="굴림"/>
      <family val="3"/>
      <charset val="129"/>
    </font>
    <font>
      <sz val="11"/>
      <color theme="1"/>
      <name val="맑은 고딕"/>
      <family val="2"/>
      <charset val="129"/>
      <scheme val="minor"/>
    </font>
    <font>
      <b/>
      <sz val="11"/>
      <color theme="1"/>
      <name val="맑은 고딕"/>
      <family val="2"/>
      <charset val="129"/>
      <scheme val="minor"/>
    </font>
  </fonts>
  <fills count="8">
    <fill>
      <patternFill patternType="none"/>
    </fill>
    <fill>
      <patternFill patternType="gray125"/>
    </fill>
    <fill>
      <patternFill patternType="solid">
        <fgColor indexed="31"/>
      </patternFill>
    </fill>
    <fill>
      <patternFill patternType="solid">
        <fgColor indexed="42"/>
        <bgColor indexed="64"/>
      </patternFill>
    </fill>
    <fill>
      <patternFill patternType="solid">
        <fgColor indexed="9"/>
      </patternFill>
    </fill>
    <fill>
      <patternFill patternType="solid">
        <fgColor rgb="FFFFFF00"/>
        <bgColor indexed="64"/>
      </patternFill>
    </fill>
    <fill>
      <patternFill patternType="solid">
        <fgColor rgb="FFFFFF00"/>
        <bgColor indexed="43"/>
      </patternFill>
    </fill>
    <fill>
      <patternFill patternType="solid">
        <fgColor theme="4" tint="0.79998168889431442"/>
        <bgColor theme="4" tint="0.79998168889431442"/>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s>
  <cellStyleXfs count="10">
    <xf numFmtId="0" fontId="0" fillId="0" borderId="0">
      <alignment vertical="center"/>
    </xf>
    <xf numFmtId="0" fontId="3" fillId="0" borderId="0">
      <alignment vertical="center"/>
    </xf>
    <xf numFmtId="0" fontId="3" fillId="0" borderId="0">
      <alignment vertical="center"/>
    </xf>
    <xf numFmtId="0" fontId="7" fillId="0" borderId="0">
      <alignment vertical="center"/>
    </xf>
    <xf numFmtId="0" fontId="7" fillId="0" borderId="0">
      <alignment vertical="center"/>
    </xf>
    <xf numFmtId="0" fontId="8" fillId="0" borderId="0"/>
    <xf numFmtId="41" fontId="3" fillId="0" borderId="0" applyFont="0" applyFill="0" applyBorder="0" applyAlignment="0" applyProtection="0">
      <alignment vertical="center"/>
    </xf>
    <xf numFmtId="0" fontId="9" fillId="0" borderId="0">
      <alignment vertical="center"/>
    </xf>
    <xf numFmtId="0" fontId="10" fillId="0" borderId="0">
      <alignment vertical="center"/>
    </xf>
    <xf numFmtId="0" fontId="3" fillId="0" borderId="0">
      <alignment vertical="center"/>
    </xf>
  </cellStyleXfs>
  <cellXfs count="28">
    <xf numFmtId="0" fontId="0" fillId="0" borderId="0" xfId="0">
      <alignment vertical="center"/>
    </xf>
    <xf numFmtId="0" fontId="1" fillId="2" borderId="1" xfId="0" applyFont="1" applyFill="1" applyBorder="1" applyAlignment="1">
      <alignment horizontal="center" vertical="center"/>
    </xf>
    <xf numFmtId="0" fontId="4" fillId="3" borderId="0" xfId="1" applyFont="1" applyFill="1" applyAlignment="1"/>
    <xf numFmtId="0" fontId="4" fillId="3" borderId="0" xfId="1" applyFont="1" applyFill="1" applyAlignment="1">
      <alignment horizontal="center"/>
    </xf>
    <xf numFmtId="0" fontId="3" fillId="0" borderId="0" xfId="1">
      <alignment vertical="center"/>
    </xf>
    <xf numFmtId="0" fontId="1" fillId="4" borderId="1" xfId="0" applyFont="1" applyFill="1" applyBorder="1" applyAlignment="1">
      <alignment horizontal="center" vertical="center"/>
    </xf>
    <xf numFmtId="0" fontId="1" fillId="4" borderId="1" xfId="0" applyFont="1" applyFill="1" applyBorder="1" applyAlignment="1">
      <alignment horizontal="left" vertical="center"/>
    </xf>
    <xf numFmtId="3" fontId="1" fillId="4" borderId="1" xfId="0" applyNumberFormat="1" applyFont="1" applyFill="1" applyBorder="1" applyAlignment="1">
      <alignment horizontal="center" vertical="center"/>
    </xf>
    <xf numFmtId="176" fontId="1" fillId="4" borderId="1" xfId="0" applyNumberFormat="1" applyFont="1" applyFill="1" applyBorder="1" applyAlignment="1">
      <alignment horizontal="right" vertical="center"/>
    </xf>
    <xf numFmtId="3" fontId="1" fillId="4" borderId="1" xfId="0" applyNumberFormat="1" applyFont="1" applyFill="1" applyBorder="1" applyAlignment="1">
      <alignment horizontal="right" vertical="center"/>
    </xf>
    <xf numFmtId="4" fontId="1" fillId="4" borderId="1" xfId="0" applyNumberFormat="1" applyFont="1" applyFill="1" applyBorder="1" applyAlignment="1">
      <alignment horizontal="right" vertical="center"/>
    </xf>
    <xf numFmtId="177" fontId="3" fillId="5" borderId="0" xfId="2" applyNumberFormat="1" applyFill="1">
      <alignment vertical="center"/>
    </xf>
    <xf numFmtId="0" fontId="3" fillId="5" borderId="0" xfId="2" applyFill="1">
      <alignment vertical="center"/>
    </xf>
    <xf numFmtId="0" fontId="3" fillId="5" borderId="0" xfId="1" applyFill="1" applyAlignment="1">
      <alignment horizontal="center" vertical="center"/>
    </xf>
    <xf numFmtId="0" fontId="3" fillId="5" borderId="0" xfId="1" applyFill="1">
      <alignment vertical="center"/>
    </xf>
    <xf numFmtId="0" fontId="3" fillId="0" borderId="0" xfId="2">
      <alignment vertical="center"/>
    </xf>
    <xf numFmtId="0" fontId="3" fillId="0" borderId="0" xfId="1" applyAlignment="1">
      <alignment horizontal="center" vertical="center"/>
    </xf>
    <xf numFmtId="0" fontId="3" fillId="5" borderId="0" xfId="9" applyFill="1">
      <alignment vertical="center"/>
    </xf>
    <xf numFmtId="0" fontId="3" fillId="6" borderId="0" xfId="1" applyFill="1">
      <alignment vertical="center"/>
    </xf>
    <xf numFmtId="0" fontId="0" fillId="0" borderId="0" xfId="0" pivotButton="1">
      <alignment vertical="center"/>
    </xf>
    <xf numFmtId="178" fontId="0" fillId="0" borderId="0" xfId="0" applyNumberFormat="1">
      <alignment vertical="center"/>
    </xf>
    <xf numFmtId="0" fontId="1" fillId="0" borderId="1" xfId="0" applyFont="1" applyBorder="1" applyAlignment="1">
      <alignment horizontal="left" vertical="center"/>
    </xf>
    <xf numFmtId="0" fontId="0" fillId="5" borderId="0" xfId="0" applyFill="1">
      <alignment vertical="center"/>
    </xf>
    <xf numFmtId="0" fontId="11" fillId="7" borderId="2" xfId="0" applyFont="1" applyFill="1" applyBorder="1">
      <alignment vertical="center"/>
    </xf>
    <xf numFmtId="0" fontId="11" fillId="0" borderId="0" xfId="0" applyFont="1">
      <alignment vertical="center"/>
    </xf>
    <xf numFmtId="0" fontId="11" fillId="0" borderId="2" xfId="0" applyFont="1" applyBorder="1">
      <alignment vertical="center"/>
    </xf>
    <xf numFmtId="0" fontId="11" fillId="0" borderId="0" xfId="0" applyFont="1" applyBorder="1">
      <alignment vertical="center"/>
    </xf>
    <xf numFmtId="3" fontId="0" fillId="0" borderId="0" xfId="0" applyNumberFormat="1">
      <alignment vertical="center"/>
    </xf>
  </cellXfs>
  <cellStyles count="10">
    <cellStyle name="쉼표 [0] 3" xfId="6" xr:uid="{00000000-0005-0000-0000-000000000000}"/>
    <cellStyle name="표준" xfId="0" builtinId="0"/>
    <cellStyle name="표준 11 2 2" xfId="5" xr:uid="{00000000-0005-0000-0000-000002000000}"/>
    <cellStyle name="표준 2" xfId="3" xr:uid="{00000000-0005-0000-0000-000003000000}"/>
    <cellStyle name="표준 3" xfId="1" xr:uid="{00000000-0005-0000-0000-000004000000}"/>
    <cellStyle name="표준 3 18" xfId="9" xr:uid="{369C2252-9619-4053-8210-F8F66247ED37}"/>
    <cellStyle name="표준 4" xfId="4" xr:uid="{00000000-0005-0000-0000-000005000000}"/>
    <cellStyle name="표준 5" xfId="2" xr:uid="{00000000-0005-0000-0000-000006000000}"/>
    <cellStyle name="표준 6" xfId="7" xr:uid="{00000000-0005-0000-0000-000007000000}"/>
    <cellStyle name="표준 9" xfId="8" xr:uid="{00000000-0005-0000-0000-000008000000}"/>
  </cellStyles>
  <dxfs count="9">
    <dxf>
      <numFmt numFmtId="3" formatCode="#,##0"/>
    </dxf>
    <dxf>
      <numFmt numFmtId="3" formatCode="#,##0"/>
    </dxf>
    <dxf>
      <numFmt numFmtId="3" formatCode="#,##0"/>
    </dxf>
    <dxf>
      <numFmt numFmtId="3" formatCode="#,##0"/>
    </dxf>
    <dxf>
      <numFmt numFmtId="3" formatCode="#,##0"/>
    </dxf>
    <dxf>
      <numFmt numFmtId="3" formatCode="#,##0"/>
    </dxf>
    <dxf>
      <numFmt numFmtId="178" formatCode="#,##0,"/>
    </dxf>
    <dxf>
      <numFmt numFmtId="178" formatCode="#,##0,"/>
    </dxf>
    <dxf>
      <numFmt numFmtId="178"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59.677787962966" createdVersion="8" refreshedVersion="8" minRefreshableVersion="3" recordCount="187" xr:uid="{D9FE6710-E311-4E99-9FBF-23E4441736AD}">
  <cacheSource type="worksheet">
    <worksheetSource ref="A1:AV188" sheet="현대기아HMB(REV1)"/>
  </cacheSource>
  <cacheFields count="48">
    <cacheField name="법인" numFmtId="0">
      <sharedItems count="4">
        <s v="기아"/>
        <s v="현대"/>
        <s v="HMB"/>
        <s v="WIA"/>
      </sharedItems>
    </cacheField>
    <cacheField name="발생구분" numFmtId="0">
      <sharedItems count="2">
        <s v="D"/>
        <s v="E"/>
      </sharedItems>
    </cacheField>
    <cacheField name="통보서" numFmtId="0">
      <sharedItems/>
    </cacheField>
    <cacheField name="H/K" numFmtId="0">
      <sharedItems/>
    </cacheField>
    <cacheField name="업체" numFmtId="0">
      <sharedItems/>
    </cacheField>
    <cacheField name="SEQ" numFmtId="0">
      <sharedItems containsSemiMixedTypes="0" containsString="0" containsNumber="1" containsInteger="1" minValue="1" maxValue="137"/>
    </cacheField>
    <cacheField name="RO년월" numFmtId="0">
      <sharedItems/>
    </cacheField>
    <cacheField name="R/O번호" numFmtId="0">
      <sharedItems/>
    </cacheField>
    <cacheField name="VIN" numFmtId="0">
      <sharedItems/>
    </cacheField>
    <cacheField name="C/TYPE" numFmtId="0">
      <sharedItems/>
    </cacheField>
    <cacheField name="차종" numFmtId="0">
      <sharedItems/>
    </cacheField>
    <cacheField name="원인부품" numFmtId="0">
      <sharedItems/>
    </cacheField>
    <cacheField name="원인품명" numFmtId="0">
      <sharedItems/>
    </cacheField>
    <cacheField name="캠페인Issue" numFmtId="0">
      <sharedItems containsBlank="1"/>
    </cacheField>
    <cacheField name="캠페인 명" numFmtId="0">
      <sharedItems containsBlank="1" longText="1"/>
    </cacheField>
    <cacheField name="주작업코드" numFmtId="0">
      <sharedItems containsBlank="1"/>
    </cacheField>
    <cacheField name="원인" numFmtId="0">
      <sharedItems containsBlank="1"/>
    </cacheField>
    <cacheField name="현상" numFmtId="0">
      <sharedItems/>
    </cacheField>
    <cacheField name="생산일자" numFmtId="0">
      <sharedItems/>
    </cacheField>
    <cacheField name="수리일자" numFmtId="0">
      <sharedItems/>
    </cacheField>
    <cacheField name="판매일자" numFmtId="0">
      <sharedItems/>
    </cacheField>
    <cacheField name="사용개월" numFmtId="176">
      <sharedItems containsSemiMixedTypes="0" containsString="0" containsNumber="1" containsInteger="1" minValue="1" maxValue="95"/>
    </cacheField>
    <cacheField name="주행거리" numFmtId="3">
      <sharedItems containsSemiMixedTypes="0" containsString="0" containsNumber="1" containsInteger="1" minValue="16" maxValue="124411"/>
    </cacheField>
    <cacheField name="PWA" numFmtId="0">
      <sharedItems containsBlank="1"/>
    </cacheField>
    <cacheField name="납입률" numFmtId="4">
      <sharedItems containsSemiMixedTypes="0" containsString="0" containsNumber="1" containsInteger="1" minValue="100" maxValue="100"/>
    </cacheField>
    <cacheField name="분담률" numFmtId="4">
      <sharedItems containsSemiMixedTypes="0" containsString="0" containsNumber="1" minValue="18.18" maxValue="27.72"/>
    </cacheField>
    <cacheField name="적용률" numFmtId="4">
      <sharedItems containsSemiMixedTypes="0" containsString="0" containsNumber="1" minValue="18.18" maxValue="27.72"/>
    </cacheField>
    <cacheField name="부품비" numFmtId="4">
      <sharedItems containsSemiMixedTypes="0" containsString="0" containsNumber="1" containsInteger="1" minValue="0" maxValue="665866"/>
    </cacheField>
    <cacheField name="공임비" numFmtId="4">
      <sharedItems containsSemiMixedTypes="0" containsString="0" containsNumber="1" containsInteger="1" minValue="0" maxValue="382298"/>
    </cacheField>
    <cacheField name="외주비" numFmtId="4">
      <sharedItems containsSemiMixedTypes="0" containsString="0" containsNumber="1" containsInteger="1" minValue="0" maxValue="134140"/>
    </cacheField>
    <cacheField name="변제합계" numFmtId="177">
      <sharedItems containsSemiMixedTypes="0" containsString="0" containsNumber="1" containsInteger="1" minValue="3816" maxValue="938372"/>
    </cacheField>
    <cacheField name="차종명" numFmtId="0">
      <sharedItems/>
    </cacheField>
    <cacheField name="조립월" numFmtId="0">
      <sharedItems/>
    </cacheField>
    <cacheField name="원인코드" numFmtId="0">
      <sharedItems/>
    </cacheField>
    <cacheField name="현상코드" numFmtId="0">
      <sharedItems count="13">
        <s v="냉각수 문제"/>
        <s v="경고등 점등"/>
        <s v="작동불량"/>
        <s v="소음"/>
        <s v="떨림"/>
        <s v="엔진 출력부족"/>
        <s v="조립 불량"/>
        <s v="과열"/>
        <e v="#N/A"/>
        <s v="녹, 부식"/>
        <s v="누기"/>
        <s v="냄새과다"/>
        <s v="외관 불량"/>
      </sharedItems>
    </cacheField>
    <cacheField name="주행거리(만단위)" numFmtId="0">
      <sharedItems containsMixedTypes="1" containsNumber="1" containsInteger="1" minValue="10000" maxValue="100000"/>
    </cacheField>
    <cacheField name="주행거리(오천단위)" numFmtId="0">
      <sharedItems containsMixedTypes="1" containsNumber="1" containsInteger="1" minValue="5000" maxValue="100000"/>
    </cacheField>
    <cacheField name="사용기간(6단위)" numFmtId="0">
      <sharedItems containsMixedTypes="1" containsNumber="1" containsInteger="1" minValue="6" maxValue="60"/>
    </cacheField>
    <cacheField name="사용기간(3단위)" numFmtId="0">
      <sharedItems containsMixedTypes="1" containsNumber="1" containsInteger="1" minValue="3" maxValue="60"/>
    </cacheField>
    <cacheField name="국가명 코드" numFmtId="0">
      <sharedItems/>
    </cacheField>
    <cacheField name="국가명" numFmtId="0">
      <sharedItems/>
    </cacheField>
    <cacheField name="품명구분" numFmtId="0">
      <sharedItems count="8">
        <s v="EHRS"/>
        <s v="SDPF"/>
        <s v="MUFFLER ASSY-CTR"/>
        <s v="MUFFLER ASSY-RR"/>
        <s v="WCC"/>
        <s v="MUFFLER ASSY-TAIL"/>
        <s v="GASKET"/>
        <s v="MUFFLER ASSY-FR"/>
      </sharedItems>
    </cacheField>
    <cacheField name="통보서월" numFmtId="0">
      <sharedItems containsSemiMixedTypes="0" containsString="0" containsNumber="1" containsInteger="1" minValue="202605" maxValue="202606" count="2">
        <n v="202605"/>
        <n v="202606"/>
      </sharedItems>
    </cacheField>
    <cacheField name="품명대구분" numFmtId="0">
      <sharedItems/>
    </cacheField>
    <cacheField name="컨버터 사양" numFmtId="0">
      <sharedItems containsBlank="1"/>
    </cacheField>
    <cacheField name="차종명2" numFmtId="0">
      <sharedItems count="13">
        <s v="SG2 (니로 후속) 21"/>
        <s v="MQ4 20"/>
        <s v="KA4 (YP 카니발 후속) 20"/>
        <s v="JA 17"/>
        <s v="MQ4 20 HEV"/>
        <s v="카니발 상품성개선 하이브리드 24"/>
        <s v="봉고3 1톤/1.4톤"/>
        <s v="쎄타"/>
        <s v="카파(KIA)"/>
        <s v="람다"/>
        <s v="카파(HMB)"/>
        <s v="카파(WIA)"/>
        <s v="레이 11"/>
      </sharedItems>
    </cacheField>
    <cacheField name="년도" numFmtId="0">
      <sharedItems/>
    </cacheField>
    <cacheField name="분기"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7">
  <r>
    <x v="0"/>
    <x v="0"/>
    <s v="2026051WW"/>
    <s v="K"/>
    <s v="R151"/>
    <n v="91"/>
    <s v="2026/05"/>
    <s v="GX94402026W00042700"/>
    <s v="KNACT81EGPA052686"/>
    <s v="W"/>
    <s v="0T"/>
    <s v="28601AT100"/>
    <s v="MUFFLER COMPLETE-CTR &amp; SENSOR"/>
    <s v="          "/>
    <s v="[C]1.현상 : 엔진과열경고등 임시점듬. 부동액 부족 시동 걸거나 끌때 물 흐르는소리 크게남 2.점검내용 및 원인 : KDS 진단점검 고장코드 없음 냉각수 보조통 냉각수량 부족 확인 엔진 및 외관장치 누수없음 머플러 후단 점검시 배기열회수장치 누수 확인 3.조치내용 : 배기열회수장치 교환"/>
    <s v="28610R00"/>
    <m/>
    <s v="L33"/>
    <s v="2022/09/29"/>
    <s v="2026/05/07"/>
    <s v="2022/09/30"/>
    <n v="44"/>
    <n v="70360"/>
    <s v="            "/>
    <n v="100"/>
    <n v="25.44"/>
    <n v="25.44"/>
    <n v="48358"/>
    <n v="9540"/>
    <n v="0"/>
    <n v="57898"/>
    <s v="SG2 (니로 후속) 21"/>
    <s v="2022-09"/>
    <e v="#N/A"/>
    <x v="0"/>
    <n v="80000"/>
    <n v="75000"/>
    <n v="48"/>
    <n v="45"/>
    <s v="GX9"/>
    <s v="한국"/>
    <x v="0"/>
    <x v="0"/>
    <s v="머플러"/>
    <m/>
    <x v="0"/>
    <s v="2026년"/>
    <s v="2분기"/>
  </r>
  <r>
    <x v="0"/>
    <x v="0"/>
    <s v="2026051WW"/>
    <s v="K"/>
    <s v="R151"/>
    <n v="92"/>
    <s v="2026/05"/>
    <s v="GX90402026W00016000"/>
    <s v="KNACR81EGRA087408"/>
    <s v="W"/>
    <s v="0T"/>
    <s v="28601AT100"/>
    <s v="MUFFLER COMPLETE-CTR &amp; SENSOR"/>
    <s v="          "/>
    <s v="[C]1.현상 : 엔진과열 경고등 점등 및 냉각수 없음 2.점검내용 및 원인 : 엔진측 누수 없음, 머플러 점검시 누유 흔적 확인 3.조치내용 : 중간 머플러 교환 및 부동액 보충"/>
    <s v="28607R00"/>
    <m/>
    <s v="L33"/>
    <s v="2023/02/15"/>
    <s v="2026/05/07"/>
    <s v="2023/02/17"/>
    <n v="39"/>
    <n v="59327"/>
    <s v="            "/>
    <n v="100"/>
    <n v="25.44"/>
    <n v="25.44"/>
    <n v="49073"/>
    <n v="13102"/>
    <n v="0"/>
    <n v="62175"/>
    <s v="SG2 (니로 후속) 21"/>
    <s v="2023-02"/>
    <e v="#N/A"/>
    <x v="0"/>
    <n v="60000"/>
    <n v="60000"/>
    <n v="42"/>
    <n v="42"/>
    <s v="GX9"/>
    <s v="한국"/>
    <x v="0"/>
    <x v="0"/>
    <s v="머플러"/>
    <m/>
    <x v="0"/>
    <s v="2026년"/>
    <s v="2분기"/>
  </r>
  <r>
    <x v="0"/>
    <x v="0"/>
    <s v="2026051WW"/>
    <s v="K"/>
    <s v="R151"/>
    <n v="93"/>
    <s v="2026/05"/>
    <s v="MK06502026W00105400"/>
    <s v="KNARK81BHPA176577"/>
    <s v="W"/>
    <s v="GZ"/>
    <s v="28607P2580"/>
    <s v="MUFFLER COMPLETE-CHMBR &amp; CONV"/>
    <s v="          "/>
    <s v="[C]1.현상 : 경고등 점등으로 입고 2.점검내용 및 원인 : 고장코드 점검시 P20EE00 SCR NOx 정화 효율 낮음 확인 DPF 탈거후 확인시 머플러에 그을음 과다 발생 확인 3.조치내용 : 중앙머플러 교환"/>
    <s v="28650R00"/>
    <m/>
    <s v="W11"/>
    <s v="2022/08/24"/>
    <s v="2026/05/07"/>
    <s v="2022/08/25"/>
    <n v="45"/>
    <n v="68902"/>
    <s v="            "/>
    <n v="100"/>
    <n v="25.44"/>
    <n v="25.44"/>
    <n v="100176"/>
    <n v="7785"/>
    <n v="0"/>
    <n v="107961"/>
    <s v="MQ4 20"/>
    <s v="2022-08"/>
    <e v="#N/A"/>
    <x v="1"/>
    <n v="70000"/>
    <n v="70000"/>
    <n v="48"/>
    <n v="48"/>
    <s v="MK0"/>
    <s v="한국"/>
    <x v="1"/>
    <x v="0"/>
    <s v="컨버터"/>
    <s v="MQ4 DPF"/>
    <x v="1"/>
    <s v="2026년"/>
    <s v="2분기"/>
  </r>
  <r>
    <x v="0"/>
    <x v="0"/>
    <s v="2026051WW"/>
    <s v="K"/>
    <s v="R151"/>
    <n v="94"/>
    <s v="2026/05"/>
    <s v="NK05202026W00073200"/>
    <s v="KNARH81BHTA392586"/>
    <s v="W"/>
    <s v="GZ"/>
    <s v="28607P2580"/>
    <s v="MUFFLER COMPLETE-CHMBR &amp; CONV"/>
    <s v="          "/>
    <s v="[C]1.현상 : 경고등 점등, 요소수 시스템 점검 메세지 표출 2.점검내용 및 원인 : 진단결과 P20F500 요소수 소모량 높음 진단시 SCR 처음 노즐 막힘 (11,12 사진) 녹스 센서 쪽 조립 불량 으로 SCR 누설 흑적 보임 (10번 사진) SCR 구동시 아래 노즐 치합이 안맞음 (동영상 첨부)으로 밖으로 누설됨 노즐 및 챔버 치합 부분에 변형으로 인하여 함께 교환함 (1,2 번 사진) 3.조치내용 : 챔버 컨버터 머플러 ,도징노즐, 녹스센서 교환 ① 대여 시작일(5/19 ) ~ 대여 종료일(5/22 ) ② 결품 청구일( 5/19) ~ 결품 조치일(5/22 ) 일반부품 ③ 작업 시작일(5/21 )~ 작업 종료일(5/22 ) ④ 특기사항 05/22(금) 오후에 작업이 완료되어 05/22(금) 고객 차량인도 및 무상대여차 반납"/>
    <s v="29650R00"/>
    <m/>
    <s v="W11"/>
    <s v="2025/11/05"/>
    <s v="2026/05/22"/>
    <s v="2025/11/06"/>
    <n v="7"/>
    <n v="7505"/>
    <s v="            "/>
    <n v="100"/>
    <n v="25.44"/>
    <n v="25.44"/>
    <n v="173724"/>
    <n v="26000"/>
    <n v="0"/>
    <n v="199724"/>
    <s v="MQ4 20"/>
    <s v="2025-11"/>
    <e v="#N/A"/>
    <x v="1"/>
    <n v="10000"/>
    <n v="10000"/>
    <n v="12"/>
    <n v="9"/>
    <s v="NK0"/>
    <s v="한국"/>
    <x v="1"/>
    <x v="0"/>
    <s v="컨버터"/>
    <s v="MQ4 DPF"/>
    <x v="1"/>
    <s v="2026년"/>
    <s v="2분기"/>
  </r>
  <r>
    <x v="0"/>
    <x v="0"/>
    <s v="2026051WW"/>
    <s v="K"/>
    <s v="R151"/>
    <n v="95"/>
    <s v="2026/05"/>
    <s v="LX21502026W00022300"/>
    <s v="KNANE81BBMS016932"/>
    <s v="W"/>
    <s v="HS"/>
    <s v="28607R0500"/>
    <s v="MUFFLER COMPLETE-CHMBR &amp; CONV"/>
    <s v="          "/>
    <s v="[C]1.현상 : 경고등 점등으로 정비의뢰함. 2.점검내용 및 원인 : KDS 진단점검 및 센서출력 점검. SCR P2CEE00 SCR NOX 정화 효율 낮음 경고등 점등됨. DPF SOOT량이 0.39g 표출됨. 3.조치내용 : CPF 강제생 후 출고함."/>
    <s v="28950A00"/>
    <m/>
    <s v="W11"/>
    <s v="2020/09/26"/>
    <s v="2026/05/06"/>
    <s v="2020/10/06"/>
    <n v="68"/>
    <n v="103023"/>
    <s v="            "/>
    <n v="100"/>
    <n v="25.44"/>
    <n v="25.44"/>
    <n v="0"/>
    <n v="6233"/>
    <n v="0"/>
    <n v="6233"/>
    <s v="KA4 (YP 카니발 후속) 20"/>
    <s v="2020-09"/>
    <e v="#N/A"/>
    <x v="1"/>
    <s v="≥100000"/>
    <s v="≥100000"/>
    <s v="≥60"/>
    <s v="≥60"/>
    <s v="LX2"/>
    <s v="한국"/>
    <x v="1"/>
    <x v="0"/>
    <s v="컨버터"/>
    <s v="KA4 DPF"/>
    <x v="2"/>
    <s v="2026년"/>
    <s v="2분기"/>
  </r>
  <r>
    <x v="0"/>
    <x v="0"/>
    <s v="2026051WW"/>
    <s v="K"/>
    <s v="R151"/>
    <n v="96"/>
    <s v="2026/05"/>
    <s v="LX21502026W00023000"/>
    <s v="KNANE81BBMS016932"/>
    <s v="W"/>
    <s v="HS"/>
    <s v="28607R0500"/>
    <s v="MUFFLER COMPLETE-CHMBR &amp; CONV"/>
    <s v="          "/>
    <s v="[C]1.현상 : 경고등 점등으로 정비의뢰함. 2.점검내용 및 원인 : KDS 진단점검 및 센서출력 점검. SCR P2CEE00 SCR NOX 정화 효율 낮음 경고등 점등됨. DPF SOOT량이 0.39g 표출됨. 3.조치내용 : CPF 강제생 후 출고함."/>
    <s v="28620R00"/>
    <m/>
    <s v="W11"/>
    <s v="2020/09/26"/>
    <s v="2026/05/14"/>
    <s v="2020/10/06"/>
    <n v="68"/>
    <n v="103327"/>
    <s v="            "/>
    <n v="100"/>
    <n v="25.44"/>
    <n v="25.44"/>
    <n v="54330"/>
    <n v="6233"/>
    <n v="0"/>
    <n v="60563"/>
    <s v="KA4 (YP 카니발 후속) 20"/>
    <s v="2020-09"/>
    <e v="#N/A"/>
    <x v="1"/>
    <s v="≥100000"/>
    <s v="≥100000"/>
    <s v="≥60"/>
    <s v="≥60"/>
    <s v="LX2"/>
    <s v="한국"/>
    <x v="1"/>
    <x v="0"/>
    <s v="컨버터"/>
    <s v="KA4 DPF"/>
    <x v="2"/>
    <s v="2026년"/>
    <s v="2분기"/>
  </r>
  <r>
    <x v="0"/>
    <x v="0"/>
    <s v="2026051WW"/>
    <s v="K"/>
    <s v="R151"/>
    <n v="97"/>
    <s v="2026/05"/>
    <s v="GK02802026W00138200"/>
    <s v="KNANE81BBMS033421"/>
    <s v="W"/>
    <s v="HS"/>
    <s v="28607R0500"/>
    <s v="MUFFLER COMPLETE-CHMBR &amp; CONV"/>
    <s v="          "/>
    <s v="[C]1.현상 : 주행중 요소수 경고등 점등 발생으로 입고 2.점검내용 및 원인 : 자기진단결과정상 DPF LNT 강제재생시 슈트량1937.89G 발생으로 머플러챔버 컴버터 재질불량으로 인한 내부 이상으로 슈트량 계속 발생으로 간헐적인 경고등 점등됨 3.조치내용 : 센터머플러교환"/>
    <s v="28650R00"/>
    <m/>
    <s v="I12"/>
    <s v="2020/11/06"/>
    <s v="2026/05/13"/>
    <s v="2020/11/12"/>
    <n v="67"/>
    <n v="98743"/>
    <s v="            "/>
    <n v="100"/>
    <n v="25.44"/>
    <n v="25.44"/>
    <n v="53973"/>
    <n v="7734"/>
    <n v="0"/>
    <n v="61707"/>
    <s v="KA4 (YP 카니발 후속) 20"/>
    <s v="2020-11"/>
    <e v="#N/A"/>
    <x v="2"/>
    <n v="100000"/>
    <n v="100000"/>
    <s v="≥60"/>
    <s v="≥60"/>
    <s v="GK0"/>
    <s v="한국"/>
    <x v="1"/>
    <x v="0"/>
    <s v="컨버터"/>
    <s v="KA4 DPF"/>
    <x v="2"/>
    <s v="2026년"/>
    <s v="2분기"/>
  </r>
  <r>
    <x v="0"/>
    <x v="0"/>
    <s v="2026051WW"/>
    <s v="K"/>
    <s v="R151"/>
    <n v="98"/>
    <s v="2026/05"/>
    <s v="GX91802026W00026700"/>
    <s v="KNANB81BBMS044692"/>
    <s v="W"/>
    <s v="HS"/>
    <s v="28607R0500"/>
    <s v="MUFFLER COMPLETE-CHMBR &amp; CONV"/>
    <s v="          "/>
    <s v="[C]1.현상 : 요소수 경고등 및 750km후 시동 안걸림 문구 표출로 입고 2.점검내용 및 원인 : kds 진단 점검시 P229E00 P220F00 후단 녹스 센서 이상 표출되어 시운전시 센서값 확인시 65555으로 후단 센서값 고정확인되 SCR 탈착 후 점검시 균열 발견됨 3.조치내용 : SCR 교체시 배기온도 센서의 고착으로 변형되어 배기온도 센서와 요소수 도징 클램프도 같이 교환함 재 시운전시 정상 작동 확인 후 정상출고 함"/>
    <s v="00999A0F"/>
    <m/>
    <s v="W11"/>
    <s v="2020/12/07"/>
    <s v="2026/05/18"/>
    <s v="2020/12/15"/>
    <n v="66"/>
    <n v="109379"/>
    <s v="            "/>
    <n v="100"/>
    <n v="25.44"/>
    <n v="25.44"/>
    <n v="58511"/>
    <n v="6106"/>
    <n v="0"/>
    <n v="64617"/>
    <s v="KA4 (YP 카니발 후속) 20"/>
    <s v="2020-12"/>
    <e v="#N/A"/>
    <x v="1"/>
    <s v="≥100000"/>
    <s v="≥100000"/>
    <s v="≥60"/>
    <s v="≥60"/>
    <s v="GX9"/>
    <s v="한국"/>
    <x v="1"/>
    <x v="0"/>
    <s v="컨버터"/>
    <s v="KA4 DPF"/>
    <x v="2"/>
    <s v="2026년"/>
    <s v="2분기"/>
  </r>
  <r>
    <x v="0"/>
    <x v="0"/>
    <s v="2026051WW"/>
    <s v="K"/>
    <s v="R151"/>
    <n v="99"/>
    <s v="2026/05"/>
    <s v="KK00202026W00067700"/>
    <s v="KNANB81BBNS163939"/>
    <s v="W"/>
    <s v="HS"/>
    <s v="28607R0500"/>
    <s v="MUFFLER COMPLETE-CHMBR &amp; CONV"/>
    <s v="          "/>
    <s v="[C]1.현상 : 경고등점등 차량 입고 2.점검내용 및 원인 : P20EE00 SCR 정화효율 낮음 경고등 표출 SCR 막힘 확인 3.조치내용 : SCR 교환후 출고"/>
    <s v="28620R00"/>
    <m/>
    <s v="W11"/>
    <s v="2021/12/22"/>
    <s v="2026/04/29"/>
    <s v="2021/12/23"/>
    <n v="53"/>
    <n v="78811"/>
    <s v="            "/>
    <n v="100"/>
    <n v="25.44"/>
    <n v="25.44"/>
    <n v="53973"/>
    <n v="9286"/>
    <n v="0"/>
    <n v="63259"/>
    <s v="KA4 (YP 카니발 후속) 20"/>
    <s v="2021-12"/>
    <e v="#N/A"/>
    <x v="1"/>
    <n v="80000"/>
    <n v="80000"/>
    <n v="54"/>
    <n v="54"/>
    <s v="KK0"/>
    <s v="한국"/>
    <x v="1"/>
    <x v="0"/>
    <s v="컨버터"/>
    <s v="KA4 DPF"/>
    <x v="2"/>
    <s v="2026년"/>
    <s v="2분기"/>
  </r>
  <r>
    <x v="0"/>
    <x v="0"/>
    <s v="2026051WW"/>
    <s v="K"/>
    <s v="R151"/>
    <n v="100"/>
    <s v="2026/05"/>
    <s v="GK23602026W00049900"/>
    <s v="KNANC81BBNS180394"/>
    <s v="W"/>
    <s v="HS"/>
    <s v="28607R0550"/>
    <s v="MUFFLER COMPLETE-CHMBR &amp; CONV"/>
    <s v="          "/>
    <s v="[C]1.현상 : 경고등점등 점검의뢰 2.점검내용 및 원인 : P2C7A00 SCR 경고등확인 3.조치내용 : SCR 교환후 정상출고함"/>
    <s v="28620R00"/>
    <m/>
    <s v="W17"/>
    <s v="2022/02/24"/>
    <s v="2026/05/15"/>
    <s v="2022/02/28"/>
    <n v="51"/>
    <n v="62269"/>
    <s v="            "/>
    <n v="100"/>
    <n v="25.44"/>
    <n v="25.44"/>
    <n v="50073"/>
    <n v="8141"/>
    <n v="0"/>
    <n v="58214"/>
    <s v="KA4 (YP 카니발 후속) 20"/>
    <s v="2022-02"/>
    <e v="#N/A"/>
    <x v="1"/>
    <n v="70000"/>
    <n v="65000"/>
    <n v="54"/>
    <n v="54"/>
    <s v="GK2"/>
    <s v="한국"/>
    <x v="1"/>
    <x v="0"/>
    <s v="컨버터"/>
    <s v="KA4 DPF"/>
    <x v="2"/>
    <s v="2026년"/>
    <s v="2분기"/>
  </r>
  <r>
    <x v="0"/>
    <x v="0"/>
    <s v="2026051WW"/>
    <s v="K"/>
    <s v="R151"/>
    <n v="101"/>
    <s v="2026/05"/>
    <s v="KK37902026W00069200"/>
    <s v="KNARM81FGRA285285"/>
    <s v="W"/>
    <s v="GZ"/>
    <s v="28650P2960"/>
    <s v="MUFFLER ASSY-CTR"/>
    <s v="          "/>
    <s v="[C]1.현상 : 공회전시 머플러에서 드드드드 소음 과다 발생으로 입고. 2.점검내용 및 원인 : 머플러 소음 과다 발생 확인. 점검시 중앙머플러 내부 소음 과다. 3.조치내용 : 중앙 머플러 교환."/>
    <s v="28650R00"/>
    <m/>
    <s v="Q75"/>
    <s v="2024/03/04"/>
    <s v="2026/05/20"/>
    <s v="2024/03/05"/>
    <n v="27"/>
    <n v="48690"/>
    <s v="            "/>
    <n v="100"/>
    <n v="25.44"/>
    <n v="25.44"/>
    <n v="34874"/>
    <n v="4694"/>
    <n v="0"/>
    <n v="39568"/>
    <s v="MQ4 20"/>
    <s v="2024-03"/>
    <e v="#N/A"/>
    <x v="3"/>
    <n v="50000"/>
    <n v="50000"/>
    <n v="30"/>
    <n v="30"/>
    <s v="KK3"/>
    <s v="한국"/>
    <x v="2"/>
    <x v="0"/>
    <s v="머플러"/>
    <m/>
    <x v="1"/>
    <s v="2026년"/>
    <s v="2분기"/>
  </r>
  <r>
    <x v="0"/>
    <x v="0"/>
    <s v="2026051WW"/>
    <s v="K"/>
    <s v="R151"/>
    <n v="102"/>
    <s v="2026/05"/>
    <s v="GX12402026W00045200"/>
    <s v="KNARJ81FGTA414102"/>
    <s v="W"/>
    <s v="GZ"/>
    <s v="28650P2960"/>
    <s v="MUFFLER ASSY-CTR"/>
    <s v="          "/>
    <s v="[C]1.현상 : 공회전및 악셀 작동시 소음발생 입고 2.점검내용 및 원인 : 동일 조건 확인시 중간머플러 소음발생 확인됨 (소음동영상 첨부) 머플러 부품불량으로 인한 공회전및 악셀 작동시 상기소음발생 확인함 3.조치내용 : 중간 머플러교환"/>
    <s v="28650R00"/>
    <m/>
    <s v="Q71"/>
    <s v="2026/03/05"/>
    <s v="2026/05/07"/>
    <s v="2026/04/21"/>
    <n v="1"/>
    <n v="479"/>
    <s v="            "/>
    <n v="100"/>
    <n v="25.44"/>
    <n v="25.44"/>
    <n v="34420"/>
    <n v="4884"/>
    <n v="0"/>
    <n v="39304"/>
    <s v="MQ4 20"/>
    <s v="2026-03"/>
    <e v="#N/A"/>
    <x v="3"/>
    <n v="10000"/>
    <n v="5000"/>
    <n v="6"/>
    <n v="3"/>
    <s v="GX1"/>
    <s v="한국"/>
    <x v="2"/>
    <x v="0"/>
    <s v="머플러"/>
    <m/>
    <x v="1"/>
    <s v="2026년"/>
    <s v="2분기"/>
  </r>
  <r>
    <x v="0"/>
    <x v="0"/>
    <s v="2026051WW"/>
    <s v="K"/>
    <s v="R151"/>
    <n v="103"/>
    <s v="2026/05"/>
    <s v="JK41902026W00175500"/>
    <s v="KNANC81BBPS378595"/>
    <s v="W"/>
    <s v="HS"/>
    <s v="28650R0500"/>
    <s v="MUFFLER ASSY-CTR"/>
    <s v="          "/>
    <s v="[C]1.현상 : 주행하다 보면 후미쪽에서 머플러같은게 풀려서 다닥다닥 거리는 소리나신다고 함. 2.점검내용 및 원인 : 정차후 출발시 타닥타닥 소음문의로, 머플러 및 하체부품 외관 전반적인 점검 진행 함. 고객상담진행시 머플러 열에 의한 소음으로 판단됨. 3.조치내용 : 머플러 열에의한 소음으로 고객설명 후 점검후정상 출고"/>
    <s v="28650ATT"/>
    <m/>
    <s v="Q75"/>
    <s v="2023/08/25"/>
    <s v="2026/05/13"/>
    <s v="2023/09/22"/>
    <n v="32"/>
    <n v="27119"/>
    <s v="            "/>
    <n v="100"/>
    <n v="25.44"/>
    <n v="25.44"/>
    <n v="0"/>
    <n v="3816"/>
    <n v="0"/>
    <n v="3816"/>
    <s v="KA4 (YP 카니발 후속) 20"/>
    <s v="2023-08"/>
    <e v="#N/A"/>
    <x v="3"/>
    <n v="30000"/>
    <n v="30000"/>
    <n v="36"/>
    <n v="33"/>
    <s v="JK4"/>
    <s v="한국"/>
    <x v="2"/>
    <x v="0"/>
    <s v="머플러"/>
    <m/>
    <x v="2"/>
    <s v="2026년"/>
    <s v="2분기"/>
  </r>
  <r>
    <x v="0"/>
    <x v="0"/>
    <s v="2026051WW"/>
    <s v="K"/>
    <s v="R151"/>
    <n v="104"/>
    <s v="2026/05"/>
    <s v="KX90702026W00031200"/>
    <s v="KNARL81FGTA400232"/>
    <s v="W"/>
    <s v="GZ"/>
    <s v="28710C5850-DS"/>
    <s v="MUFFLER ASSY-RR"/>
    <s v="          "/>
    <s v="[C]1.현상 : 소음기 소음 과다로 입고됨 2.점검내용 및 원인 : 점검 시 소음기 내부 이상으로 인한 현상으로 판단 3.조치내용 : 리어 머플러 교환 후 출고함"/>
    <s v="28700R00"/>
    <m/>
    <s v="Q75"/>
    <s v="2025/12/15"/>
    <s v="2026/05/04"/>
    <s v="2026/01/13"/>
    <n v="4"/>
    <n v="2263"/>
    <s v="            "/>
    <n v="100"/>
    <n v="25.44"/>
    <n v="25.44"/>
    <n v="22260"/>
    <n v="3816"/>
    <n v="0"/>
    <n v="26076"/>
    <s v="MQ4 20"/>
    <s v="2025-12"/>
    <e v="#N/A"/>
    <x v="3"/>
    <n v="10000"/>
    <n v="5000"/>
    <n v="6"/>
    <n v="6"/>
    <s v="KX9"/>
    <s v="한국"/>
    <x v="3"/>
    <x v="0"/>
    <s v="머플러"/>
    <m/>
    <x v="1"/>
    <s v="2026년"/>
    <s v="2분기"/>
  </r>
  <r>
    <x v="0"/>
    <x v="0"/>
    <s v="2026051WW"/>
    <s v="K"/>
    <s v="R151"/>
    <n v="105"/>
    <s v="2026/05"/>
    <s v="2050002026W00758700"/>
    <s v="KNAB3518BTT518668"/>
    <s v="W"/>
    <s v="G6"/>
    <s v="28710G6110"/>
    <s v="MUFFLER ASSY-RR"/>
    <s v="          "/>
    <s v="[C]1.현상 : 주행중 변속 레버 R, D 레인지 신호대기 정차중 리어측에서 &quot;두두두&quot; 하는 이음 발생 (N, P단 시는 이음 미발생) 2.점검내용 및 원인 : D단 정차 및 에어컨 가동시 엔진, 미션 부하 가중에 따라 리어 머풀러 공명 떨림 변화 차이 발생 점검, 머플러 장착 상태 점검, 하부 충격 점검, 시운전 3.조치내용 : 리어 머플러 불량으로 교환."/>
    <s v="99NGOZ0T"/>
    <m/>
    <s v="Q75"/>
    <s v="2026/04/09"/>
    <s v="2026/05/07"/>
    <s v="2026/04/15"/>
    <n v="1"/>
    <n v="547"/>
    <s v="            "/>
    <n v="100"/>
    <n v="25.44"/>
    <n v="25.44"/>
    <n v="10970"/>
    <n v="11194"/>
    <n v="0"/>
    <n v="22164"/>
    <s v="JA 17"/>
    <s v="2026-04"/>
    <e v="#N/A"/>
    <x v="3"/>
    <n v="10000"/>
    <n v="5000"/>
    <n v="6"/>
    <n v="3"/>
    <s v="205"/>
    <s v="한국"/>
    <x v="3"/>
    <x v="0"/>
    <s v="머플러"/>
    <m/>
    <x v="3"/>
    <s v="2026년"/>
    <s v="2분기"/>
  </r>
  <r>
    <x v="0"/>
    <x v="0"/>
    <s v="2026051WW"/>
    <s v="K"/>
    <s v="R151"/>
    <n v="106"/>
    <s v="2026/05"/>
    <s v="LX00602026W00016500"/>
    <s v="KNARH81GBTA522199"/>
    <s v="W"/>
    <s v="HC"/>
    <s v="28710P4300"/>
    <s v="MUFFLER ASSY-RR"/>
    <s v="          "/>
    <s v="[C]1.현상 : 차량 고객 인도전 머플러 발청건으로 고객의 차량 인수 거부로 인한 불만 2.점검내용 및 원인 : 리어 머플러 및 머플러 전체 발청으로 인한 신찬 품질불만 제기차량 용접과정 설명하였으나, 납득 못함으로 리어 머플러교환요구. 3.조치내용 : 신품 교환조치후 주재원 고객 면담후 차량 인도 실시함"/>
    <s v="28700R00"/>
    <m/>
    <s v="V82"/>
    <s v="2026/04/20"/>
    <s v="2026/05/16"/>
    <s v="2026/04/27"/>
    <n v="1"/>
    <n v="96"/>
    <s v="            "/>
    <n v="100"/>
    <n v="25.44"/>
    <n v="25.44"/>
    <n v="31354"/>
    <n v="2748"/>
    <n v="0"/>
    <n v="34102"/>
    <s v="MQ4 20 HEV"/>
    <s v="2026-04"/>
    <e v="#N/A"/>
    <x v="4"/>
    <n v="10000"/>
    <n v="5000"/>
    <n v="6"/>
    <n v="3"/>
    <s v="LX0"/>
    <s v="한국"/>
    <x v="3"/>
    <x v="0"/>
    <s v="머플러"/>
    <m/>
    <x v="4"/>
    <s v="2026년"/>
    <s v="2분기"/>
  </r>
  <r>
    <x v="0"/>
    <x v="0"/>
    <s v="2026051WA"/>
    <s v="K"/>
    <s v="R151"/>
    <n v="1"/>
    <s v="2026/03"/>
    <s v="2110002026W00314000"/>
    <s v="KNANC81ABTS160041"/>
    <s v="W"/>
    <s v="8S"/>
    <s v="28600ES100"/>
    <s v="MUFFLER COMPLETE-CTR"/>
    <s v="          "/>
    <s v="[C]1.현상 : 1) 주행을 하거나 시동시 정차중 뒷쪽 하부에서 텅텅거리는 쇳소리 2.점검내용 및 원인 : 점검결과 주행 후 정차중 소음기에서 열팽창 &amp; 수축 소음이 동일차종 대비 딱~딱~ 과다하게 발생함 (동영상 첨부) 3.조치내용 : 고객불만이 과다하고 동일차종 대비 이음이 과다하여 소음기 교환 및 고객설득후 출고.."/>
    <s v="99NSTZ0T"/>
    <m/>
    <s v="Q84"/>
    <s v="2026/01/26"/>
    <s v="2026/03/09"/>
    <s v="2026/01/27"/>
    <n v="2"/>
    <n v="3760"/>
    <s v="            "/>
    <n v="100"/>
    <n v="25.44"/>
    <n v="25.44"/>
    <n v="78151"/>
    <n v="27984"/>
    <n v="0"/>
    <n v="106135"/>
    <s v="카니발 상품성개선 하이브리드 24"/>
    <s v="2026-01"/>
    <e v="#N/A"/>
    <x v="3"/>
    <n v="10000"/>
    <n v="5000"/>
    <n v="6"/>
    <n v="3"/>
    <s v="211"/>
    <s v="한국"/>
    <x v="2"/>
    <x v="0"/>
    <s v="머플러"/>
    <m/>
    <x v="5"/>
    <s v="2026년"/>
    <s v="2분기"/>
  </r>
  <r>
    <x v="0"/>
    <x v="1"/>
    <s v="2026051WW"/>
    <s v="K"/>
    <s v="R151"/>
    <n v="1"/>
    <s v="2026/05"/>
    <s v="D05VA7777734218 000"/>
    <s v="KNCSJZ71AT7874410"/>
    <s v="W"/>
    <s v="HD"/>
    <s v="0K60A40100J"/>
    <s v="M/SILENCER ASSY"/>
    <s v="          "/>
    <s v="[C]CHECK THE LOUD NOISE WHILE DRIVING [R]REPLACED DEFECTIVE PARTS [T]AFTER CHECK FOUND MUFFLER ASSY-MAIN DEFECTIVE"/>
    <s v="28650R00"/>
    <s v="ZZ3"/>
    <s v="Q75"/>
    <s v="2025/07/07"/>
    <s v="2026/05/14"/>
    <s v="2026/01/20"/>
    <n v="4"/>
    <n v="5058"/>
    <s v="            "/>
    <n v="100"/>
    <n v="18.18"/>
    <n v="18.18"/>
    <n v="7690"/>
    <n v="2190"/>
    <n v="0"/>
    <n v="9880"/>
    <s v="봉고3 1톤/1.4톤"/>
    <s v="2025-07"/>
    <s v="단품불량"/>
    <x v="3"/>
    <n v="10000"/>
    <n v="10000"/>
    <n v="6"/>
    <n v="6"/>
    <s v="D05"/>
    <s v="IRAQ"/>
    <x v="3"/>
    <x v="0"/>
    <s v="머플러"/>
    <m/>
    <x v="6"/>
    <s v="2026년"/>
    <s v="2분기"/>
  </r>
  <r>
    <x v="0"/>
    <x v="1"/>
    <s v="2026051WW"/>
    <s v="K"/>
    <s v="R151"/>
    <n v="2"/>
    <s v="2026/05"/>
    <s v="B28VACA198260018001"/>
    <s v="KNDPR3A64J7325641"/>
    <s v="W"/>
    <s v="D9"/>
    <s v="285102G010"/>
    <s v="MODULE ASSY-WCC"/>
    <s v="          "/>
    <s v="[D]CONDITION: CONFIRMED CUSTOMER CONCERN CHECK ENGINE ON. SCANNED FOR CODES FOUND P0420 CATALYST SYSTEM EFFICIENCY BELOW THRESHOLD. LOOKED UP VIA KDS DATA ANALYSIS LISTING UPSTREAM AND DOWNSTREAM OXYGENSENSORS. FOUND ABNORMAL DOWNSTREAM O2 SENSOR MIRRORING ACTIVITY TO UPSTREAM O2 SENSOR DUE TO ABNORMAL CATALYST PERFORMANCE. ADVISE REMOVAL AND REPLACEMENT MANIFOLD CATALYST ASSEMBLY,GASKETS AND NUTS.RECHECK AFTER REPAIRS COMPLETING MONITORS. CORRECTION: 69044 130 CONFIRMED CUSTOMER CONCERN CHECK ENGINE ON. SCANNED FOR CODES FOUND P0420 CATALYST SYSTEM EFFICIENCY BELOW THRESHOLD. LOOKED UP VIA KDS DATA ANALYSIS LISTING UPSTREAM AND DOWNSTREAM OXYGEN SENSORS. FOUND ABNORMAL DOWNSTREAM O2 SENSOR MIRRORING ACTIVITY TO UPSTREAM O2 SENSOR DUE TO ABNORMAL CATALYST PERFORMANCE. REMOVED AND REPLACED MANIFOLD CATALYST ASSEMBLY,GASKETS AND NUTS DUE TO INTERNAL CATALYST DETERIORATION INTERNAL TO CATALYST ELEMENT.NO FURTHER RECOMMENDATIONS FOUND. 28530R1ACatalyst Case Assy (Wa"/>
    <s v="28511RZZ"/>
    <s v="ZZ3"/>
    <s v="W17"/>
    <s v="2017/05/18"/>
    <s v="2026/02/23"/>
    <s v="2018/04/08"/>
    <n v="95"/>
    <n v="110470"/>
    <s v="            "/>
    <n v="100"/>
    <n v="18.18"/>
    <n v="18.18"/>
    <n v="0"/>
    <n v="0"/>
    <n v="123189"/>
    <n v="123189"/>
    <s v="스포티지(후속) 16"/>
    <s v="2017-05"/>
    <s v="단품불량"/>
    <x v="1"/>
    <s v="≥100000"/>
    <s v="≥100000"/>
    <s v="≥60"/>
    <s v="≥60"/>
    <s v="B28"/>
    <s v="U.S.A"/>
    <x v="4"/>
    <x v="0"/>
    <s v="컨버터"/>
    <s v="쎄타"/>
    <x v="7"/>
    <s v="2026년"/>
    <s v="2분기"/>
  </r>
  <r>
    <x v="0"/>
    <x v="1"/>
    <s v="2026051WW"/>
    <s v="K"/>
    <s v="R151"/>
    <n v="3"/>
    <s v="2026/05"/>
    <s v="B28VACA198260018002"/>
    <s v="KNDPR3A64J7325641"/>
    <s v="W"/>
    <s v="D9"/>
    <s v="285102G010"/>
    <s v="MODULE ASSY-WCC"/>
    <s v="          "/>
    <s v="[D]CONDITION: CONFIRMED CUSTOMER CONCERN CHECK ENGINE ON. SCANNED FOR CODES FOUND P0420 CATALYST SYSTEM EFFICIENCY BELOW THRESHOLD. LOOKED UP VIA KDS DATA ANALYSIS LISTING UPSTREAM AND DOWNSTREAM OXYGENSENSORS. FOUND ABNORMAL DOWNSTREAM O2 SENSOR MIRRORING ACTIVITY TO UPSTREAM O2 SENSOR DUE TO ABNORMAL CATALYST PERFORMANCE. ADVISE REMOVAL AND REPLACEMENT MANIFOLD CATALYST ASSEMBLY,GASKETS AND NUTS.RECHECK AFTER REPAIRS COMPLETING MONITORS. CORRECTION: 69044 130 CONFIRMED CUSTOMER CONCERN CHECK ENGINE ON. SCANNED FOR CODES FOUND P0420 CATALYST SYSTEM EFFICIENCY BELOW THRESHOLD. LOOKED UP VIA KDS DATA ANALYSIS LISTING UPSTREAM AND DOWNSTREAM OXYGEN SENSORS. FOUND ABNORMAL DOWNSTREAM O2 SENSOR MIRRORING ACTIVITY TO UPSTREAM O2 SENSOR DUE TO ABNORMAL CATALYST PERFORMANCE. REMOVED AND REPLACED MANIFOLD CATALYST ASSEMBLY,GASKETS AND NUTS DUE TO INTERNAL CATALYST DETERIORATION INTERNAL TO CATALYST ELEMENT.NO FURTHER RECOMMENDATIONS FOUND. 28530R1ACatalyst Case Assy (Wa"/>
    <s v="28511R1A"/>
    <s v="ZZ3"/>
    <s v="W17"/>
    <s v="2017/05/18"/>
    <s v="2026/02/23"/>
    <s v="2018/04/08"/>
    <n v="95"/>
    <n v="110470"/>
    <s v="            "/>
    <n v="100"/>
    <n v="18.18"/>
    <n v="18.18"/>
    <n v="182683"/>
    <n v="59180"/>
    <n v="0"/>
    <n v="241863"/>
    <s v="스포티지(후속) 16"/>
    <s v="2017-05"/>
    <s v="단품불량"/>
    <x v="1"/>
    <s v="≥100000"/>
    <s v="≥100000"/>
    <s v="≥60"/>
    <s v="≥60"/>
    <s v="B28"/>
    <s v="U.S.A"/>
    <x v="4"/>
    <x v="0"/>
    <s v="컨버터"/>
    <s v="쎄타"/>
    <x v="7"/>
    <s v="2026년"/>
    <s v="2분기"/>
  </r>
  <r>
    <x v="0"/>
    <x v="1"/>
    <s v="2026051WW"/>
    <s v="K"/>
    <s v="R151"/>
    <n v="4"/>
    <s v="2026/05"/>
    <s v="B06VA531392671132G "/>
    <s v="KNDPRCA6XJ7476502"/>
    <s v="W"/>
    <s v="D9"/>
    <s v="285102G520"/>
    <s v="MODULE ASSY-WCC"/>
    <s v="          "/>
    <s v="[C]DIAGNOSE CUSTOMER CONCERN: DIAG FEE OF $179.95 PLUS TAX MAY APPLY: C/S CHECK ENGINE LIGHT IS ON [R].replaced primary catalytic converter, studs, nuts and gaskets. replaced bank 1 primary and secondary O2 sensors. cleared codes. reset adaptive values. road tested - all ok. [T]Scanned vehicle for code and get 2 active codes, code 1 P209600 (primary cat) and code 2 P219600 (o2 sensor bank 1). Inspected the cat and tapped it with rubber mallet and it made rattling noise coming from inside the cat. Removed upper o2 sensor found spotting, running rich top and lean in the bott"/>
    <s v="28511R1A"/>
    <s v="ZZ3"/>
    <s v="W17"/>
    <s v="2018/03/07"/>
    <s v="2026/05/01"/>
    <s v="2019/02/14"/>
    <n v="87"/>
    <n v="38651"/>
    <s v="            "/>
    <n v="100"/>
    <n v="18.18"/>
    <n v="18.18"/>
    <n v="143091"/>
    <n v="23496"/>
    <n v="0"/>
    <n v="166587"/>
    <s v="스포티지(후속) 16"/>
    <s v="2018-03"/>
    <s v="단품불량"/>
    <x v="1"/>
    <n v="40000"/>
    <n v="40000"/>
    <s v="≥60"/>
    <s v="≥60"/>
    <s v="B06"/>
    <s v="CANADA"/>
    <x v="4"/>
    <x v="0"/>
    <s v="컨버터"/>
    <s v="쎄타"/>
    <x v="7"/>
    <s v="2026년"/>
    <s v="2분기"/>
  </r>
  <r>
    <x v="0"/>
    <x v="1"/>
    <s v="2026051WW"/>
    <s v="K"/>
    <s v="R151"/>
    <n v="5"/>
    <s v="2026/05"/>
    <s v="B28VANC0412670642-B"/>
    <s v="KNDPRCA63K7566723"/>
    <s v="W"/>
    <s v="D9"/>
    <s v="285102G520"/>
    <s v="MODULE ASSY-WCC"/>
    <s v="          "/>
    <s v="[D]CONDITION: CAR LUNGES AND LOOSES POWER ACCEL AND CKECK ENG LIGHT ON CAUSE: LOW EFFICENCEY CONVERTERCADLITIC CONVERTER COMING APART CORRECTION: REPLACE CAD CONVERTER ."/>
    <s v="28511R1A"/>
    <s v="ZZ3"/>
    <s v="W17"/>
    <s v="2018/09/03"/>
    <s v="2026/04/15"/>
    <s v="2018/11/19"/>
    <n v="89"/>
    <n v="104894"/>
    <s v="            "/>
    <n v="100"/>
    <n v="18.18"/>
    <n v="18.18"/>
    <n v="181016"/>
    <n v="34493"/>
    <n v="0"/>
    <n v="215509"/>
    <s v="스포티지(후속) 16"/>
    <s v="2018-09"/>
    <s v="단품불량"/>
    <x v="1"/>
    <s v="≥100000"/>
    <s v="≥100000"/>
    <s v="≥60"/>
    <s v="≥60"/>
    <s v="B28"/>
    <s v="U.S.A"/>
    <x v="4"/>
    <x v="0"/>
    <s v="컨버터"/>
    <s v="쎄타"/>
    <x v="7"/>
    <s v="2026년"/>
    <s v="2분기"/>
  </r>
  <r>
    <x v="0"/>
    <x v="1"/>
    <s v="2026051WW"/>
    <s v="K"/>
    <s v="R151"/>
    <n v="67"/>
    <s v="2026/05"/>
    <s v="B28VACA3242643417-C"/>
    <s v="KNDCR3LE4R5172558"/>
    <s v="W"/>
    <s v="0T"/>
    <s v="2853008450"/>
    <s v="CONVERTER ASSY-W/UP CATALYTIC"/>
    <s v="          "/>
    <s v="[D]CUSTOMER CONCENED CHECK ENGIEN LIGHT IS ON AND FLAHSING AT TIMES VERIFIED CONCERN. TOOK VEHICLE ON A TEST DRIVE AND I WAS ABLE TO DUPLICATE THE LACK OF POWER OR ACCELERATION. PERFORMED TROUBLE CODE SEARCH USING KDS AND FOUND TROUBLE CODES: P0420 CATALYST SYSTEM, P0301, P0302, P0303, P0304, P0300 FOR RANDOM MISFIRES. REMOVED UPSTREAM O2 SENSOR AND PERFORMED CATALYTIC CONVERTER INSPECTION WITH BORE SCOPE CAMERA AND FOUND CATALYTIC CLOGGED, ALSO FOUND ABNORMAL HOT/BURNT SPOTS AROUND MESH FILTER. ALSO REMOVED EXHAUST FLEX PIPE TO INSPECT LOWER END OF CATALYTIC CONVERTER AND FOUND EXCESSIVE DEBRIS OR PARTICLES CONFIRMING CLOGGED CATALYTIC CONVERTER. THIS CONDITION CAN ALSO CAUSE VEHICLE S CYLINDERS TO MISFIRE. AT THIS TIME RECOMMEND REPLACING CATALYTIC CONVERTER AND CONTINUE WITH DIAGNOSIS. VDN# B28VACA324260416001I"/>
    <s v="28950R00"/>
    <s v="ZZ1"/>
    <s v="W17"/>
    <s v="2024/02/03"/>
    <s v="2026/04/01"/>
    <s v="2024/05/13"/>
    <n v="23"/>
    <n v="51467"/>
    <s v="            "/>
    <n v="100"/>
    <n v="18.18"/>
    <n v="18.18"/>
    <n v="193870"/>
    <n v="66123"/>
    <n v="0"/>
    <n v="259993"/>
    <s v="SG2 (니로 후속) 21"/>
    <s v="2024-02"/>
    <s v="설계문제"/>
    <x v="1"/>
    <n v="60000"/>
    <n v="55000"/>
    <n v="24"/>
    <n v="24"/>
    <s v="B28"/>
    <s v="U.S.A"/>
    <x v="4"/>
    <x v="0"/>
    <s v="컨버터"/>
    <s v="카파(KIA)"/>
    <x v="8"/>
    <s v="2026년"/>
    <s v="2분기"/>
  </r>
  <r>
    <x v="0"/>
    <x v="1"/>
    <s v="2026051WW"/>
    <s v="K"/>
    <s v="R151"/>
    <n v="68"/>
    <s v="2026/05"/>
    <s v="B28VAFL0102659648-A"/>
    <s v="KNDCP3LE6T5319041"/>
    <s v="W"/>
    <s v="0T"/>
    <s v="2853008450"/>
    <s v="CONVERTER ASSY-W/UP CATALYTIC"/>
    <s v="          "/>
    <s v="[D]CONDITION: C/S THAT THE CHECK ENGINE LIGHT IS ON CORRECTION: VERIFIED THE CUSTOMER S CONCERN OF CHECK ENGINE LIGHT. ACCESSED THE DIAGNOSTIC PORT AND PERFORMED A SCAN TO FIND ACTIVE CODE(S) P0420 WHICH IS RELATED TO CATALYST CONVERTER EFFICIENCY BELOW THRESHOLD. FURTHER EXAMINATION FOUND THE BANK 1 CATALYTIC CONVERTER IS PLUGGED AND EXHAUST REDUCTION IS INSUFFICIENT. ACCESSED, REMOVED AND REPLACEDTHE BANK 1 CATALYTIC CONVERTER WITH ALL OTHER RELATED NEW SEALS GASKETS AND/OR NON-REUSABLE HARDWARE AND REINSTALLED ALL COMPONENTS REMOVED FOR REPAIRS IN THE REVERSE ORDER OF REMOVAL. ATTACHED A SCAN REPORT. CLEARED ALL DIAGNOSTIC TROUBLE CODES AND VERIFIED CODES RETURNED. RESET ADAPTION VALUES. ROAD TESTED THE VEHICLE 4 MILES TO VERIFY REPAIRS. THE SYSTEM IS NOW OPERATING AS DESIGNED."/>
    <s v="28950R00"/>
    <s v="ZZ3"/>
    <s v="W17"/>
    <s v="2025/07/22"/>
    <s v="2026/04/07"/>
    <s v="2025/10/01"/>
    <n v="7"/>
    <n v="13310"/>
    <s v="            "/>
    <n v="100"/>
    <n v="18.18"/>
    <n v="18.18"/>
    <n v="195645"/>
    <n v="113088"/>
    <n v="0"/>
    <n v="308733"/>
    <s v="SG2 (니로 후속) 21"/>
    <s v="2025-07"/>
    <s v="단품불량"/>
    <x v="1"/>
    <n v="20000"/>
    <n v="15000"/>
    <n v="12"/>
    <n v="9"/>
    <s v="B28"/>
    <s v="U.S.A"/>
    <x v="4"/>
    <x v="0"/>
    <s v="컨버터"/>
    <s v="카파(KIA)"/>
    <x v="8"/>
    <s v="2026년"/>
    <s v="2분기"/>
  </r>
  <r>
    <x v="0"/>
    <x v="1"/>
    <s v="2026051WW"/>
    <s v="K"/>
    <s v="R151"/>
    <n v="69"/>
    <s v="2026/05"/>
    <s v="B28VATX0182689163-1"/>
    <s v="KNDCP3LE4T5332516"/>
    <s v="W"/>
    <s v="0T"/>
    <s v="2853008450"/>
    <s v="CONVERTER ASSY-W/UP CATALYTIC"/>
    <s v="          "/>
    <s v="[D]CUSTOMER STATES CHECK ENGINE LIGHT IS ACTIVE ON DASH. WILL WANT INSPECTED checked vehicle for codes, vehicle had code P04200, monitored O2 sensor live data and found signal erratic from rear O2 sensor, replaced sensor and cleared codes and adaptations. Test drove vehicle and after test drive code came back, found CAT converter not filtering out correctly. replaced CAT converter. Test drove, all okay at this time. No further action needed"/>
    <s v="28950R00"/>
    <s v="ZZ3"/>
    <s v="W17"/>
    <s v="2025/09/25"/>
    <s v="2026/03/18"/>
    <s v="2025/11/06"/>
    <n v="5"/>
    <n v="13496"/>
    <s v="            "/>
    <n v="100"/>
    <n v="18.18"/>
    <n v="18.18"/>
    <n v="195309"/>
    <n v="60749"/>
    <n v="0"/>
    <n v="256058"/>
    <s v="SG2 (니로 후속) 21"/>
    <s v="2025-09"/>
    <s v="단품불량"/>
    <x v="1"/>
    <n v="20000"/>
    <n v="15000"/>
    <n v="6"/>
    <n v="6"/>
    <s v="B28"/>
    <s v="U.S.A"/>
    <x v="4"/>
    <x v="0"/>
    <s v="컨버터"/>
    <s v="카파(KIA)"/>
    <x v="8"/>
    <s v="2026년"/>
    <s v="2분기"/>
  </r>
  <r>
    <x v="0"/>
    <x v="1"/>
    <s v="2026051WW"/>
    <s v="K"/>
    <s v="R151"/>
    <n v="70"/>
    <s v="2026/05"/>
    <s v="B28VANV0122637679-A"/>
    <s v="KNDCP3LE7T5344028"/>
    <s v="W"/>
    <s v="0T"/>
    <s v="2853008450"/>
    <s v="CONVERTER ASSY-W/UP CATALYTIC"/>
    <s v="          "/>
    <s v="[D]CUSTOMER STATES CHECK ENGINE LIGHT IS ON---CHECK AND ADVISE. NEED PWA BEFORE REPAIR. VERIFIED THE CUSTOMER S CONCERN OF CHECK ENGINE LIGHT. CHECKED KIA GLOBAL INFORMATION SYSTEM FOR RECALLS,TECHNICAL SERVICE BULLETINS, AND WARRANTY EXTENSIONS AND FOUND NO DOCUMENTS RELATED TO THE VEHICLESCONCERN. ACCESSED THE DIAGNOSTIC PORT AND PERFORMED A SCAN TO FIND ACTIVE CODE(S) P04200 WHICH IS RELATED TO CATALYST SYSTEM EFFICIENCY BELOW THRESHOLD. MONITORED RELATED SCAN TOOL DATA OF THE UPSTREAM O2 SENSOR AND DOWNSTREAM 02 SENSOR TO FIND DATA READING WERE THE SAME INDICATING A DEFECTIVE CATALYTIC CONVERTER. FURTHER EXAMINATION FOUND THE BANK 1 CATALYTIC CONVERTER IS INTERNALLY LOOSE. ACCESSED, REMOVED AND REPLACED THE BANK 1 CATALYTIC CONVERTER WITH ALL OTHER RELATED NEW SEALS GASKETS AND/OR NON-REUSABLE HARDWARE AND REINSTALLED ALL COMPONENTS REMOVED FOR REPAIRS IN THE REVERSE ORDER OF REMOVAL. CLEARED ALL DIAGNOSTIC TROUBLE CODES AND VERIFIED CODES DID NOT RETURN. RESET ADAPTION VALUE"/>
    <s v="28950R00"/>
    <s v="ZZ3"/>
    <s v="W17"/>
    <s v="2025/11/26"/>
    <s v="2026/04/17"/>
    <s v="2026/01/14"/>
    <n v="4"/>
    <n v="9514"/>
    <s v="            "/>
    <n v="100"/>
    <n v="18.18"/>
    <n v="18.18"/>
    <n v="192053"/>
    <n v="68187"/>
    <n v="0"/>
    <n v="260240"/>
    <s v="SG2 (니로 후속) 21"/>
    <s v="2025-11"/>
    <s v="단품불량"/>
    <x v="1"/>
    <n v="10000"/>
    <n v="10000"/>
    <n v="6"/>
    <n v="6"/>
    <s v="B28"/>
    <s v="U.S.A"/>
    <x v="4"/>
    <x v="0"/>
    <s v="컨버터"/>
    <s v="카파(KIA)"/>
    <x v="8"/>
    <s v="2026년"/>
    <s v="2분기"/>
  </r>
  <r>
    <x v="0"/>
    <x v="1"/>
    <s v="2026051WW"/>
    <s v="K"/>
    <s v="R151"/>
    <n v="71"/>
    <s v="2026/05"/>
    <s v="D29VA00000202605065"/>
    <s v="KNACR81EGR5108724"/>
    <s v="W"/>
    <s v="0T"/>
    <s v="2853008460"/>
    <s v="CONVERTER ASSY-W/UP CATALYTIC"/>
    <s v="          "/>
    <s v="[C]WARNING LIGHT , CHECK ENGINE [R]REPLACE THE CONVERTER ASSY-WARM [T]P047100 Exhaust Pressure Sensor A Circuit Range/Performance"/>
    <s v="28950R00"/>
    <s v="ZZ3"/>
    <s v="W17"/>
    <s v="2023/05/22"/>
    <s v="2026/05/18"/>
    <s v="2023/08/23"/>
    <n v="33"/>
    <n v="19653"/>
    <s v="            "/>
    <n v="100"/>
    <n v="18.18"/>
    <n v="18.18"/>
    <n v="61827"/>
    <n v="11210"/>
    <n v="0"/>
    <n v="73037"/>
    <s v="SG2 (니로 후속) 21"/>
    <s v="2023-05"/>
    <s v="단품불량"/>
    <x v="1"/>
    <n v="20000"/>
    <n v="20000"/>
    <n v="36"/>
    <n v="36"/>
    <s v="D29"/>
    <s v="PALESTINE"/>
    <x v="4"/>
    <x v="0"/>
    <s v="컨버터"/>
    <s v="카파(KIA)"/>
    <x v="8"/>
    <s v="2026년"/>
    <s v="2분기"/>
  </r>
  <r>
    <x v="0"/>
    <x v="1"/>
    <s v="2026051WW"/>
    <s v="K"/>
    <s v="R151"/>
    <n v="72"/>
    <s v="2026/05"/>
    <s v="C02VB6489AKM2000264"/>
    <s v="KNACR81E9T5332261"/>
    <s v="W"/>
    <s v="0T"/>
    <s v="2853008750"/>
    <s v="CONVERTER ASSY-W/UP CATALYTIC"/>
    <s v="          "/>
    <s v="[C]LE CLIENT SE PLAINT D'UN TEMOIN MOTEUR ALLUME AVEC PERTE DE PUISSANCE [R]REMPLACEMENT DU FAP ESSAI OK [T]CONFIRMATION DE LA PLAINTE DU CLIENT KDS DTC P042033 EFFICACITE DU CATA EN DESSOUS DU SEUIL MISE DE CAMERA DANS FAP : CASSURES INTERNES. DEFAUT INTERNE DE LA PIECE FAP A REMPLACER"/>
    <s v="28950R00"/>
    <s v="ZZ3"/>
    <s v="W17"/>
    <s v="2025/09/24"/>
    <s v="2026/04/20"/>
    <s v="2025/11/28"/>
    <n v="5"/>
    <n v="15577"/>
    <s v="            "/>
    <n v="100"/>
    <n v="18.18"/>
    <n v="18.18"/>
    <n v="454912"/>
    <n v="25374"/>
    <n v="0"/>
    <n v="480286"/>
    <s v="SG2 (니로 후속) 21"/>
    <s v="2025-09"/>
    <s v="단품불량"/>
    <x v="1"/>
    <n v="20000"/>
    <n v="20000"/>
    <n v="6"/>
    <n v="6"/>
    <s v="C02"/>
    <s v="BELGIUM"/>
    <x v="4"/>
    <x v="0"/>
    <s v="컨버터"/>
    <s v="카파(KIA)"/>
    <x v="8"/>
    <s v="2026년"/>
    <s v="2분기"/>
  </r>
  <r>
    <x v="0"/>
    <x v="1"/>
    <s v="2026051WW"/>
    <s v="K"/>
    <s v="R151"/>
    <n v="73"/>
    <s v="2026/05"/>
    <s v="C28VB00000133053000"/>
    <s v="KNAE351ABK6055222"/>
    <s v="W"/>
    <s v="J5"/>
    <s v="285302C270"/>
    <s v="CONVERTER ASSY-W/UP CATALYTIC"/>
    <s v="          "/>
    <s v="[C]MARTOR CHECK APRINS IN BORD [R]NECESAR INLOCUIRE CATALIZATOR [T]TESTARE ELECTRONICA DTC P042000, VERIFICARI CONFORM DTC CERAMICA CATALIZATOR DETERIOATA. DEFECT INTERN."/>
    <s v="28530R1A"/>
    <s v="ZZ3"/>
    <s v="W17"/>
    <s v="2018/11/26"/>
    <s v="2026/01/19"/>
    <s v="2019/02/22"/>
    <n v="83"/>
    <n v="81780"/>
    <s v="            "/>
    <n v="100"/>
    <n v="18.18"/>
    <n v="18.18"/>
    <n v="208829"/>
    <n v="9590"/>
    <n v="0"/>
    <n v="218419"/>
    <s v="CK 17"/>
    <s v="2018-11"/>
    <s v="단품불량"/>
    <x v="1"/>
    <n v="90000"/>
    <n v="85000"/>
    <s v="≥60"/>
    <s v="≥60"/>
    <s v="C28"/>
    <s v="ROMANIA"/>
    <x v="4"/>
    <x v="0"/>
    <s v="컨버터"/>
    <s v="쎄타"/>
    <x v="7"/>
    <s v="2026년"/>
    <s v="2분기"/>
  </r>
  <r>
    <x v="0"/>
    <x v="1"/>
    <s v="2026051WW"/>
    <s v="K"/>
    <s v="R151"/>
    <n v="74"/>
    <s v="2026/05"/>
    <s v="B28VANY1522608045-N"/>
    <s v="KNAE25LA2J6017136"/>
    <s v="W"/>
    <s v="J5"/>
    <s v="285302C910"/>
    <s v="CONVERTER ASSY-W/UP CATALYTIC"/>
    <s v="          "/>
    <s v="[D]CONDITION: C/S THAT THE CHECK ENGINE LIGHT IS ON CAUSE: FAULTY CATALYTIC CONVERTOR CORRECTION: 64363 Confirmed clients concerns. Vehicle arrived with a P0420 code. During catalytic converter replacement, two studs broke off into the turbo and the other two were seized. Heat and penetrating oil wereapplied and allowed to soak overnight, but the converter could not be removed. District parts and service manager approved the Catalytic converter and turbo as subsequent damage. The oxygen sensor was also found melted into the assembly, which had to be removed and replaced. Test drove vehicle and everything is working as intended."/>
    <s v="28530RZZ"/>
    <s v="ZZ3"/>
    <s v="I3T"/>
    <s v="2017/11/20"/>
    <s v="2026/01/30"/>
    <s v="2018/03/17"/>
    <n v="95"/>
    <n v="102981"/>
    <s v="            "/>
    <n v="100"/>
    <n v="18.18"/>
    <n v="18.18"/>
    <n v="0"/>
    <n v="0"/>
    <n v="134140"/>
    <n v="134140"/>
    <s v="CK 17"/>
    <s v="2017-11"/>
    <s v="단품불량"/>
    <x v="1"/>
    <s v="≥100000"/>
    <s v="≥100000"/>
    <s v="≥60"/>
    <s v="≥60"/>
    <s v="B28"/>
    <s v="U.S.A"/>
    <x v="4"/>
    <x v="0"/>
    <s v="컨버터"/>
    <s v="쎄타"/>
    <x v="7"/>
    <s v="2026년"/>
    <s v="2분기"/>
  </r>
  <r>
    <x v="0"/>
    <x v="1"/>
    <s v="2026051WW"/>
    <s v="K"/>
    <s v="R151"/>
    <n v="75"/>
    <s v="2026/05"/>
    <s v="B28VANY1522608045-A"/>
    <s v="KNAE25LA2J6017136"/>
    <s v="W"/>
    <s v="J5"/>
    <s v="285302C910"/>
    <s v="CONVERTER ASSY-W/UP CATALYTIC"/>
    <s v="          "/>
    <s v="[D]CONDITION: C/S THAT THE CHECK ENGINE LIGHT IS ON CAUSE: FAULTY CATALYTIC CONVERTOR CORRECTION: 64363 Confirmed clients concerns. Vehicle arrived with a P0420 code. During catalytic converter replacement, two studs broke off into the turbo and the other two were seized. Heat and penetrating oil wereapplied and allowed to soak overnight, but the converter could not be removed. District parts and service manager approved the Catalytic converter and turbo as subsequent damage. The oxygen sensor was also found melted into the assembly, which had to be removed and replaced. Test drove vehicle and everything is working as intended."/>
    <s v="28530R1A"/>
    <s v="ZZ3"/>
    <s v="I3T"/>
    <s v="2017/11/20"/>
    <s v="2026/01/30"/>
    <s v="2018/03/17"/>
    <n v="95"/>
    <n v="102981"/>
    <s v="            "/>
    <n v="100"/>
    <n v="18.18"/>
    <n v="18.18"/>
    <n v="665866"/>
    <n v="272506"/>
    <n v="0"/>
    <n v="938372"/>
    <s v="CK 17"/>
    <s v="2017-11"/>
    <s v="단품불량"/>
    <x v="1"/>
    <s v="≥100000"/>
    <s v="≥100000"/>
    <s v="≥60"/>
    <s v="≥60"/>
    <s v="B28"/>
    <s v="U.S.A"/>
    <x v="4"/>
    <x v="0"/>
    <s v="컨버터"/>
    <s v="쎄타"/>
    <x v="7"/>
    <s v="2026년"/>
    <s v="2분기"/>
  </r>
  <r>
    <x v="0"/>
    <x v="1"/>
    <s v="2026051WW"/>
    <s v="K"/>
    <s v="R151"/>
    <n v="76"/>
    <s v="2026/05"/>
    <s v="B28VACT0252672577-1"/>
    <s v="KNAE15LA5K6046554"/>
    <s v="W"/>
    <s v="J5"/>
    <s v="285302C910"/>
    <s v="CONVERTER ASSY-W/UP CATALYTIC"/>
    <s v="          "/>
    <s v="[D]CUSTOMER STATES THE CHECK ENGINE LIGHT IS ON. PLEASE CHECK AND ADVISE. MIL IS NOT ON, CHECKED FOR CODES= ENGINE P042000 HISTORY, CHECKED KGIS FOR MESSAGES= NONE, DTC INSP DONE=HISTORY, EXHAUST SYSTEM INSPECTION FOR RESTRICTION= GOOD, 3-WAY CATALYST INSP DONE= GOOD, O2 SENSORINSP DONE/ KDS DATA MONITOR= DOWNSTREAM READING IS A WAVE FORM. REMOVED CAT CONVERTER FROM VEH AND 3 OF 4 EXH MANIFOLD STUDS TO CAT CONV BROKE BELOW THE SURFACE AND 4TH SPUN INSIDE MANIFOLD. ATTEMPTED TO EXTRACT AND REMOVED BROKEN AND SPUN FASTENERS= UNABLE. PER SI, REPLACED CATALYTIC CONVERTER ASSEMBLY AND REPLACED EXHAUST MANIFOLD/ TURBOCHARGER ASSEMBLY, ASSOCIATED HARDWARE AND GASKETS, CLEAREDDTC S, POST REPAIR ROAD TEST DONE, REFILLED, PRESSURE TESTED COOLING SYSTEM AND BLED AIR FROM COOLING SYSTEM."/>
    <s v="28530R4A"/>
    <s v="ZZ3"/>
    <s v="W17"/>
    <s v="2018/08/13"/>
    <s v="2026/01/30"/>
    <s v="2019/03/25"/>
    <n v="83"/>
    <n v="94030"/>
    <s v="            "/>
    <n v="100"/>
    <n v="18.18"/>
    <n v="18.18"/>
    <n v="659644"/>
    <n v="86233"/>
    <n v="0"/>
    <n v="745877"/>
    <s v="CK 17"/>
    <s v="2018-08"/>
    <s v="단품불량"/>
    <x v="1"/>
    <n v="100000"/>
    <n v="95000"/>
    <s v="≥60"/>
    <s v="≥60"/>
    <s v="B28"/>
    <s v="U.S.A"/>
    <x v="4"/>
    <x v="0"/>
    <s v="컨버터"/>
    <s v="쎄타"/>
    <x v="7"/>
    <s v="2026년"/>
    <s v="2분기"/>
  </r>
  <r>
    <x v="0"/>
    <x v="1"/>
    <s v="2026051WW"/>
    <s v="K"/>
    <s v="R151"/>
    <n v="77"/>
    <s v="2026/05"/>
    <s v="B28VATX1322668552-C"/>
    <s v="KNAE15LA4L6073536"/>
    <s v="W"/>
    <s v="J5"/>
    <s v="285302C910"/>
    <s v="CONVERTER ASSY-W/UP CATALYTIC"/>
    <s v="          "/>
    <s v="[D]CONDITION: ADD ON LINE Upon multipoint inspection technician found catalytic converter internal mounting threads stripped, preventing proper fastening of exhaust components. Service Director Cody Kemmerling verified technician findings on 4-13-26. Advised customer of findings on 4-13-26, and customer approved adding warranty line. After customer approved adding warranty line, Service Director Cody Kemmerling approved adding line to replace catalytic converter and gaskets on 4-13-26. CAUSE: Catalytic converter internal mounting threads found stripped, preventing proper installation and securing of exhaust components to specifica CORRECTION: 51181 Catalytic converter internal mounting threadsfound stripped, preventing proper installation and securing of exhaust components to specification.No signs of external influence, condition consistent with internal fault of manufacturer component.. Replaced catalytic converter and associated gaskets per Kia service procedures. Ensured proper torque"/>
    <s v="28530R4A"/>
    <s v="ZZ3"/>
    <s v="I3T"/>
    <s v="2019/08/16"/>
    <s v="2026/04/08"/>
    <s v="2020/05/21"/>
    <n v="71"/>
    <n v="81888"/>
    <s v="            "/>
    <n v="100"/>
    <n v="18.18"/>
    <n v="18.18"/>
    <n v="523094"/>
    <n v="151770"/>
    <n v="0"/>
    <n v="674864"/>
    <s v="CK 17"/>
    <s v="2019-08"/>
    <s v="단품불량"/>
    <x v="1"/>
    <n v="90000"/>
    <n v="85000"/>
    <s v="≥60"/>
    <s v="≥60"/>
    <s v="B28"/>
    <s v="U.S.A"/>
    <x v="4"/>
    <x v="0"/>
    <s v="컨버터"/>
    <s v="쎄타"/>
    <x v="7"/>
    <s v="2026년"/>
    <s v="2분기"/>
  </r>
  <r>
    <x v="0"/>
    <x v="1"/>
    <s v="2026051WW"/>
    <s v="K"/>
    <s v="R151"/>
    <n v="78"/>
    <s v="2026/05"/>
    <s v="B28VACA257261287000"/>
    <s v="KNAE15LA8L6080019"/>
    <s v="W"/>
    <s v="J5"/>
    <s v="285302C910"/>
    <s v="CONVERTER ASSY-W/UP CATALYTIC"/>
    <s v="          "/>
    <s v="[D]CUSTOMER STATES THE CHECK ENGINE LIGHT IS ON. CHECK AND ADVISE. CONFIRMED CUSTOMER S CONCERN OF CHECK ENGINE LIGHT PRESETN. SCANNED FOR DIAGNOSTIC TROUBLE CODES. FOUND HISTORY FAULT CODE P0420 (CATALYST SYSTEM EFFICIENCY / BELOW THRESHOLD, BANK 1). PERFORMED A VISUAL INSPECTION USING BORESCOPE, FOUND CATALYTIC CONVERTER HONEYCOMB INTERNALLY DETERIORATING, CAUSING FAULT CODE PO420. RECOMMEND REPLACING CATALYTIC CONVERTER FOR REPAIR."/>
    <s v="28530R4A"/>
    <s v="ZZ1"/>
    <s v="W17"/>
    <s v="2019/11/25"/>
    <s v="2026/04/17"/>
    <s v="2020/02/15"/>
    <n v="75"/>
    <n v="79654"/>
    <s v="            "/>
    <n v="100"/>
    <n v="18.18"/>
    <n v="18.18"/>
    <n v="522072"/>
    <n v="382298"/>
    <n v="0"/>
    <n v="904370"/>
    <s v="CK 17"/>
    <s v="2019-11"/>
    <s v="설계문제"/>
    <x v="1"/>
    <n v="80000"/>
    <n v="80000"/>
    <s v="≥60"/>
    <s v="≥60"/>
    <s v="B28"/>
    <s v="U.S.A"/>
    <x v="4"/>
    <x v="0"/>
    <s v="컨버터"/>
    <s v="쎄타"/>
    <x v="7"/>
    <s v="2026년"/>
    <s v="2분기"/>
  </r>
  <r>
    <x v="0"/>
    <x v="1"/>
    <s v="2026051WW"/>
    <s v="K"/>
    <s v="R151"/>
    <n v="79"/>
    <s v="2026/05"/>
    <s v="B28VAMD0692604623-N"/>
    <s v="KNAE15LA8M6089904"/>
    <s v="W"/>
    <s v="J5"/>
    <s v="285302C910"/>
    <s v="CONVERTER ASSY-W/UP CATALYTIC"/>
    <s v="          "/>
    <s v="[D]CUSTOMER STATES: CHECK ENGINE LIGHT IS ON vehicle is chugging on the road recently replaced the pigtail and the fuel pump. SCANNED FOR DTCS P017100 HISTORY REMOVED UPSTREAM O2 SENSOR. WITH BORESCOPE FOUND CATALYST CONVERTER CLOGGED. TECH REPLACED THE CATALYTIC CONVERTER AND VERIFIED REPAIR. Lori Breeden on 2026-04-28 6:21 AM with following comments X1 SUBLETFOR FREIGHT CHARGES. TOTAL FREIGHT CHARGES IS $381.62"/>
    <s v="28530RZZ"/>
    <s v="ZZ3"/>
    <s v="W17"/>
    <s v="2020/08/12"/>
    <s v="2026/04/16"/>
    <s v="2021/05/24"/>
    <n v="59"/>
    <n v="91829"/>
    <s v="            "/>
    <n v="100"/>
    <n v="18.18"/>
    <n v="18.18"/>
    <n v="0"/>
    <n v="0"/>
    <n v="81031"/>
    <n v="81031"/>
    <s v="CK 17"/>
    <s v="2020-08"/>
    <s v="단품불량"/>
    <x v="1"/>
    <n v="100000"/>
    <n v="95000"/>
    <n v="60"/>
    <n v="60"/>
    <s v="B28"/>
    <s v="U.S.A"/>
    <x v="4"/>
    <x v="0"/>
    <s v="컨버터"/>
    <s v="쎄타"/>
    <x v="7"/>
    <s v="2026년"/>
    <s v="2분기"/>
  </r>
  <r>
    <x v="0"/>
    <x v="1"/>
    <s v="2026051WW"/>
    <s v="K"/>
    <s v="R151"/>
    <n v="80"/>
    <s v="2026/05"/>
    <s v="B28VAMD0692604623-1"/>
    <s v="KNAE15LA8M6089904"/>
    <s v="W"/>
    <s v="J5"/>
    <s v="285302C910"/>
    <s v="CONVERTER ASSY-W/UP CATALYTIC"/>
    <s v="          "/>
    <s v="[D]CUSTOMER STATES: CHECK ENGINE LIGHT IS ON vehicle is chugging on the road recently replaced the pigtail and the fuel pump. SCANNED FOR DTCS P017100 HISTORY REMOVED UPSTREAM O2 SENSOR. WITH BORESCOPE FOUND CATALYST CONVERTER CLOGGED. TECH REPLACED THE CATALYTIC CONVERTER AND VERIFIED REPAIR. Lori Breeden on 2026-04-28 6:21 AM with following comments X1 SUBLETFOR FREIGHT CHARGES. TOTAL FREIGHT CHARGES IS $381.62"/>
    <s v="28530R1A"/>
    <s v="ZZ3"/>
    <s v="W17"/>
    <s v="2020/08/12"/>
    <s v="2026/04/16"/>
    <s v="2021/05/24"/>
    <n v="59"/>
    <n v="91829"/>
    <s v="            "/>
    <n v="100"/>
    <n v="18.18"/>
    <n v="18.18"/>
    <n v="520450"/>
    <n v="76583"/>
    <n v="49276"/>
    <n v="646309"/>
    <s v="CK 17"/>
    <s v="2020-08"/>
    <s v="단품불량"/>
    <x v="1"/>
    <n v="100000"/>
    <n v="95000"/>
    <n v="60"/>
    <n v="60"/>
    <s v="B28"/>
    <s v="U.S.A"/>
    <x v="4"/>
    <x v="0"/>
    <s v="컨버터"/>
    <s v="쎄타"/>
    <x v="7"/>
    <s v="2026년"/>
    <s v="2분기"/>
  </r>
  <r>
    <x v="0"/>
    <x v="1"/>
    <s v="2026051WW"/>
    <s v="K"/>
    <s v="R151"/>
    <n v="81"/>
    <s v="2026/05"/>
    <s v="B28VANY1532643098-A"/>
    <s v="KNDPR3A65L7710001"/>
    <s v="W"/>
    <s v="D9"/>
    <s v="285302GSG0"/>
    <s v="CONVERTER ASSY-W/UP CATALYTIC"/>
    <s v="          "/>
    <s v="[D]The customer states Check Engine Light is illuminated. Performed an initial inspection of the vehicle upon arrival. Checked KGIS for applicable recalls, Technical Service Bulletins (TSBs), and warranty extensions related to the customer s concern. No applicable recalls, TSBs, or warranty extensions were found for this condition at the time of diagnosis. Connected diagnostic equipment to the vehicle s data link connector (DLC) and performed a full system scan. One activediagnostic trouble code was retrieved: DTC P2096-00 Post Catalyst Fuel Trim System Too Lean (Bank 1). Based on the stored DTC, proceeded with diagnostic testing of the exhaust and catalytic convertersystem in accordance with Kia diagnostic procedures. Examined the catalytic converter and exhaust system. Diagnostic testing and measured catalyst efficiency values indicated the catalyst assembly isnot operating within specification. Test results confirmed that the catalyst system s efficiency has de"/>
    <s v="28530R1A"/>
    <s v="ZZ3"/>
    <s v="W11"/>
    <s v="2019/05/31"/>
    <s v="2026/04/13"/>
    <s v="2019/11/23"/>
    <n v="77"/>
    <n v="99038"/>
    <s v="            "/>
    <n v="100"/>
    <n v="18.18"/>
    <n v="18.18"/>
    <n v="229465"/>
    <n v="80465"/>
    <n v="0"/>
    <n v="309930"/>
    <s v="스포티지(후속) 16"/>
    <s v="2019-05"/>
    <s v="단품불량"/>
    <x v="1"/>
    <n v="100000"/>
    <n v="100000"/>
    <s v="≥60"/>
    <s v="≥60"/>
    <s v="B28"/>
    <s v="U.S.A"/>
    <x v="4"/>
    <x v="0"/>
    <s v="컨버터"/>
    <s v="쎄타"/>
    <x v="7"/>
    <s v="2026년"/>
    <s v="2분기"/>
  </r>
  <r>
    <x v="0"/>
    <x v="1"/>
    <s v="2026051WW"/>
    <s v="K"/>
    <s v="R151"/>
    <n v="82"/>
    <s v="2026/05"/>
    <s v="B28VAAL0152684289-B"/>
    <s v="KNDPR3A69L7807900"/>
    <s v="W"/>
    <s v="D9"/>
    <s v="285302GSG0"/>
    <s v="CONVERTER ASSY-W/UP CATALYTIC"/>
    <s v="          "/>
    <s v="[D]CUSTOMER STATES TURBO HAS LOW BOOST / MULTPLIE MISFIRES CAUSE: TECH FOUND THAT DUE TO THE TURBO CHARGER NOTOPERATING CORRECTLY THE TURBO CHARGER HAD DAMAGED THE WHEEL AND THE CATALYST HIVE WAS DAMAGED ASWELL TECH REPLACED CATALYST / TEST DROVE / OPERATESNORMAL AT THIS TIMEOP CODE 28530R1AOP TIME 1.3"/>
    <s v="28530R1A"/>
    <s v="ZZ3"/>
    <s v="I11"/>
    <s v="2020/01/21"/>
    <s v="2026/04/06"/>
    <s v="2020/03/11"/>
    <n v="73"/>
    <n v="113483"/>
    <s v="            "/>
    <n v="100"/>
    <n v="18.18"/>
    <n v="18.18"/>
    <n v="227224"/>
    <n v="80484"/>
    <n v="0"/>
    <n v="307708"/>
    <s v="스포티지(후속) 16"/>
    <s v="2020-01"/>
    <s v="단품불량"/>
    <x v="2"/>
    <s v="≥100000"/>
    <s v="≥100000"/>
    <s v="≥60"/>
    <s v="≥60"/>
    <s v="B28"/>
    <s v="U.S.A"/>
    <x v="4"/>
    <x v="0"/>
    <s v="컨버터"/>
    <s v="쎄타"/>
    <x v="7"/>
    <s v="2026년"/>
    <s v="2분기"/>
  </r>
  <r>
    <x v="0"/>
    <x v="1"/>
    <s v="2026051WW"/>
    <s v="K"/>
    <s v="R151"/>
    <n v="83"/>
    <s v="2026/05"/>
    <s v="B28VAIL0742632462-N"/>
    <s v="KNDPR3A60L7827274"/>
    <s v="W"/>
    <s v="D9"/>
    <s v="285302GSG0"/>
    <s v="CONVERTER ASSY-W/UP CATALYTIC"/>
    <s v="          "/>
    <s v="[D]CUSTOMER STATES CHECK ENGINE LIGHT IS ONtech went to install downstream o2 sensor and pulled threads out of catalytic converter. tech went to replace catalytic converter and all studs were stripped out. tech replaced turbocharger, catalytic converter, and downstream o2 sensor under emissions warranty. tech test drove vehicle and verified normal operation. repair confirmed."/>
    <s v="28530RZZ"/>
    <s v="ZZ1"/>
    <s v="I3A"/>
    <s v="2020/03/18"/>
    <s v="2026/02/18"/>
    <s v="2020/05/23"/>
    <n v="69"/>
    <n v="121824"/>
    <s v="            "/>
    <n v="100"/>
    <n v="18.18"/>
    <n v="18.18"/>
    <n v="0"/>
    <n v="0"/>
    <n v="134140"/>
    <n v="134140"/>
    <s v="스포티지(후속) 16"/>
    <s v="2020-03"/>
    <s v="설계문제"/>
    <x v="1"/>
    <s v="≥100000"/>
    <s v="≥100000"/>
    <s v="≥60"/>
    <s v="≥60"/>
    <s v="B28"/>
    <s v="U.S.A"/>
    <x v="4"/>
    <x v="0"/>
    <s v="컨버터"/>
    <s v="쎄타"/>
    <x v="7"/>
    <s v="2026년"/>
    <s v="2분기"/>
  </r>
  <r>
    <x v="0"/>
    <x v="1"/>
    <s v="2026051WW"/>
    <s v="K"/>
    <s v="R151"/>
    <n v="84"/>
    <s v="2026/05"/>
    <s v="B28VANJ0142690432-A"/>
    <s v="KNDPRCA62L7675868"/>
    <s v="W"/>
    <s v="D9"/>
    <s v="285302GSH0"/>
    <s v="CONVERTER ASSY-W/UP CATALYTIC"/>
    <s v="          "/>
    <s v="[D]CONDITION: INFORMATION CUSTOMER STATES - check engine light on - vehicle shuts down randomly- scan for codes - $185.96 DIAG fee applies CAUSE: EXHAUST MANIFOLD CORRECTION: 37580 INTERNAL FAILURE WITHIN EXHAUST CATALYTIC CONVERTER SETTING MIL ON WITH P17200 FOR SYSTEM TOO RICH OFF IDLE CONFIRMED HISTORY CEL WITH DTC P017200 FOR SYSTEM TO RICH BANK 1. PERFORMED KDS QUICK CHECK TEST TO FIND BOTH FRONT AND REAR 02 SENSORS FAILED IDLE TEST AND 2K RPMS FOUND INTERNAL RESISTANCE READING OUT OF SPEC. WHEN MONITORING BOTH SENSORS FOUND WHEN DRIVING, REAR 02 SENSOR IS SWITCHING LIKE UPSTREAM SENSOR. REMOVED RELATED COMPONENTS TO ACCESS CATALYTIC CONVERTER ASSY AND REPLACED WITH NEW PART, REPLACED RELATED GASKETS AND HARDWARE. CLEARED RELATED DTC AND CONFIRMED NO ACTIVE OR PENDING CODES OBTAIN PWA NJ0142610110 FROM DPSM"/>
    <s v="28511R1A"/>
    <s v="ZZ1"/>
    <s v="W17"/>
    <s v="2019/03/29"/>
    <s v="2026/04/28"/>
    <s v="2019/07/22"/>
    <n v="82"/>
    <n v="60128"/>
    <s v="            "/>
    <n v="100"/>
    <n v="18.18"/>
    <n v="18.18"/>
    <n v="230733"/>
    <n v="43979"/>
    <n v="0"/>
    <n v="274712"/>
    <s v="스포티지(후속) 16"/>
    <s v="2019-03"/>
    <s v="설계문제"/>
    <x v="1"/>
    <n v="70000"/>
    <n v="65000"/>
    <s v="≥60"/>
    <s v="≥60"/>
    <s v="B28"/>
    <s v="U.S.A"/>
    <x v="4"/>
    <x v="0"/>
    <s v="컨버터"/>
    <s v="쎄타"/>
    <x v="7"/>
    <s v="2026년"/>
    <s v="2분기"/>
  </r>
  <r>
    <x v="0"/>
    <x v="1"/>
    <s v="2026051WW"/>
    <s v="K"/>
    <s v="R151"/>
    <n v="85"/>
    <s v="2026/05"/>
    <s v="B06VA110052669580A "/>
    <s v="KNDPRCA69L7727271"/>
    <s v="W"/>
    <s v="D9"/>
    <s v="285302GSH0"/>
    <s v="CONVERTER ASSY-W/UP CATALYTIC"/>
    <s v="          "/>
    <s v="[C]Cust reports not shifting, needs to manually switch gears, died randomly going uphill, had to stop vehicle when he started again, couldn't not go up a hill at all. Had vehicle towed in. When vehicle came off tow truck, battery was dead. Got a boost from tech at the shop, vehicle started and was driving. Vehicle doesn't always start on first try and has had to be boosted. - Inspect &amp; advise [R]1151- replaced secondary cat convertor, road test all ok 1004 removed primary cat, found inside catalyst fell apart and is clogging exhaust, confirmed issue, reinstalled new cat and tested, works as designed [T]MIL light ON. Errors found P0420 Catalyst Efficiency Below Threshold and Turbocharger Under Boost stored. Oil level within specifications. Monitor turbo charger adaptation value is acceptable range 4.1V (3.8 - 4.1V specs). Perform inspection borescope the system primary internal catalyst is broken [L]Vehicle is currently unsafe and not roadworthy - unreliable power, engine power cuts completed Backordered part - rental required XTT for secondary cat replacement //Rental March 5th-April 30th -- 56 days ///Some how missed copying all notes across [D]11005PC01E - 03/02 - 04/27 Please elaborate the diagnosis for 28600D9500. DTC code P0420 is applicable only for 285302GSH0."/>
    <s v="28530R1A"/>
    <s v="ZZ1"/>
    <s v="DD2"/>
    <s v="2019/07/02"/>
    <s v="2026/03/02"/>
    <s v="2020/02/07"/>
    <n v="73"/>
    <n v="124411"/>
    <s v="            "/>
    <n v="100"/>
    <n v="18.18"/>
    <n v="18.18"/>
    <n v="215140"/>
    <n v="39905"/>
    <n v="24509"/>
    <n v="279554"/>
    <s v="스포티지(후속) 16"/>
    <s v="2019-07"/>
    <s v="설계문제"/>
    <x v="5"/>
    <s v="≥100000"/>
    <s v="≥100000"/>
    <s v="≥60"/>
    <s v="≥60"/>
    <s v="B06"/>
    <s v="CANADA"/>
    <x v="4"/>
    <x v="0"/>
    <s v="컨버터"/>
    <s v="쎄타"/>
    <x v="7"/>
    <s v="2026년"/>
    <s v="2분기"/>
  </r>
  <r>
    <x v="0"/>
    <x v="1"/>
    <s v="2026051WW"/>
    <s v="K"/>
    <s v="R151"/>
    <n v="86"/>
    <s v="2026/05"/>
    <s v="B28VACT0062689062-1"/>
    <s v="KNDPRCA60L7750714"/>
    <s v="W"/>
    <s v="D9"/>
    <s v="285302GSH0"/>
    <s v="CONVERTER ASSY-W/UP CATALYTIC"/>
    <s v="          "/>
    <s v="[D]CONDITION: Driveability Issues - Runs Rough - Please Describe as much as possible - When / What / How oftern [CUSTOMER STATES CEL ON AND VEHICLE HAS TROUBLE STARTING AT TIMES AND RUNS ROUGH. ISSUE COMES AND GOES] SCANNED FOR CODES - P209600 Post Catalyst Fuel Trim System too Lean (Bank 1). INSPECTED VEHICLE AND FOUND CATALYTIC CONVERTER HONEYCOMB TO BE DISINTEGRATED AND IN NEED OF REPLACEMENT. REPLACED CATALYTIC CONVERTER ASSEMBLY AND VERIFIED PROPER OPERATION AT THIS TIMEWITH NO FAULT CODES."/>
    <s v="28530R1A"/>
    <s v="ZZ3"/>
    <s v="W17"/>
    <s v="2019/09/02"/>
    <s v="2026/04/28"/>
    <s v="2020/04/27"/>
    <n v="73"/>
    <n v="106070"/>
    <s v="            "/>
    <n v="100"/>
    <n v="18.18"/>
    <n v="18.18"/>
    <n v="229096"/>
    <n v="55805"/>
    <n v="0"/>
    <n v="284901"/>
    <s v="스포티지(후속) 16"/>
    <s v="2019-09"/>
    <s v="단품불량"/>
    <x v="1"/>
    <s v="≥100000"/>
    <s v="≥100000"/>
    <s v="≥60"/>
    <s v="≥60"/>
    <s v="B28"/>
    <s v="U.S.A"/>
    <x v="4"/>
    <x v="0"/>
    <s v="컨버터"/>
    <s v="쎄타"/>
    <x v="7"/>
    <s v="2026년"/>
    <s v="2분기"/>
  </r>
  <r>
    <x v="0"/>
    <x v="1"/>
    <s v="2026051WW"/>
    <s v="K"/>
    <s v="R151"/>
    <n v="87"/>
    <s v="2026/05"/>
    <s v="B28VANV012263259001"/>
    <s v="KNDPRCA62M7876901"/>
    <s v="W"/>
    <s v="D9"/>
    <s v="285302GSH0"/>
    <s v="CONVERTER ASSY-W/UP CATALYTIC"/>
    <s v="          "/>
    <s v="[D]CONDITION: ADD ON -- WHILE PERFORMING LINE A DIAGNOSIS AND REPAIR, TECHNICIAN FOUND RESIDUAL INTERNAL FAILURE OF CATALYTIC CONVERTOR. CAUSE: . CORRECTION:47964 CHECK ENGINE LIGHT ON 28511R00 28511RQ0 90 AFTER REPAIRING THE ENGINE CODE P0420 IS SETTING INSPECTION FOUND THE CAT HAS IMPLODED INTERNALLY REPLACED THE CAT CLEARED THE CODES AND ROAD TEST VEHICLE RECHECK FOR CODES NO CODES OPERATION OK"/>
    <s v="28511R1A"/>
    <s v="ZZ3"/>
    <s v="I11"/>
    <s v="2020/08/29"/>
    <s v="2026/02/18"/>
    <s v="2021/03/02"/>
    <n v="60"/>
    <n v="76723"/>
    <s v="            "/>
    <n v="100"/>
    <n v="18.18"/>
    <n v="18.18"/>
    <n v="229543"/>
    <n v="47206"/>
    <n v="0"/>
    <n v="276749"/>
    <s v="스포티지(후속) 16"/>
    <s v="2020-08"/>
    <s v="단품불량"/>
    <x v="2"/>
    <n v="80000"/>
    <n v="80000"/>
    <s v="≥60"/>
    <s v="≥60"/>
    <s v="B28"/>
    <s v="U.S.A"/>
    <x v="4"/>
    <x v="0"/>
    <s v="컨버터"/>
    <s v="쎄타"/>
    <x v="7"/>
    <s v="2026년"/>
    <s v="2분기"/>
  </r>
  <r>
    <x v="0"/>
    <x v="1"/>
    <s v="2026051WW"/>
    <s v="K"/>
    <s v="R151"/>
    <n v="91"/>
    <s v="2026/05"/>
    <s v="D26VBTR163KM2000606"/>
    <s v="KNCSJX760R7770166"/>
    <s v="W"/>
    <s v="HD"/>
    <s v="286004E560"/>
    <s v="MUFFLER COMPLETE-CTR"/>
    <s v="          "/>
    <s v="[C]ARAÇ ÇEKİCİ İLE GELDİ TURBO HORTUM KISMINDA ÇIKMIŞ MOTOR KISMI YAĞ OLMUŞ ARAÇ ÇEKİŞ DÜŞÜK KONTROL [R]fakat araç dpf tıkalı olduğu için araç gaz yemememekte ve kara duman olarak atmakta konu ile ilgili dpf veri analizi vermemekte veri analizi alamama sebebimiz araç sürekli çalışmadığı için alınamamaktadır aracın dpf değişmesi gerekmektedir. [T]arac cekiçi ile geldi turbo hortum kısmından çıkmıs motor kısmı yağ olmuş arac çekiş düşük kontrol talebiyle geldi. yapılan kds cihaz kontrollerinde aracın P245500 limitin altında diferansiyel basınç arızası görünmekte olup veri analizinden basınç sensöründen okumadığı görüldü aracın diferansiyel b [D]Claime DPF''in iç,dış ve lot numarası fotoğraflarını ekleyiniz. 1-Arıza kodu DTC bölümüne yazılmalıdır."/>
    <s v="28650R00"/>
    <s v="ZZ3"/>
    <s v="B31"/>
    <s v="2024/01/26"/>
    <s v="2026/05/02"/>
    <s v="2024/03/29"/>
    <n v="26"/>
    <n v="53878"/>
    <s v="            "/>
    <n v="100"/>
    <n v="18.18"/>
    <n v="18.18"/>
    <n v="169186"/>
    <n v="5037"/>
    <n v="0"/>
    <n v="174223"/>
    <s v="봉고3 1톤/1.4톤"/>
    <s v="2024-01"/>
    <s v="단품불량"/>
    <x v="6"/>
    <n v="60000"/>
    <n v="55000"/>
    <n v="30"/>
    <n v="27"/>
    <s v="D26"/>
    <s v="TURKEY"/>
    <x v="2"/>
    <x v="0"/>
    <s v="컨버터"/>
    <s v="PU DPF"/>
    <x v="6"/>
    <s v="2026년"/>
    <s v="2분기"/>
  </r>
  <r>
    <x v="0"/>
    <x v="1"/>
    <s v="2026051WW"/>
    <s v="K"/>
    <s v="R151"/>
    <n v="100"/>
    <s v="2026/05"/>
    <s v="B06VA720362645649A "/>
    <s v="KNDRMDJH0S5387856"/>
    <s v="W"/>
    <s v="HC"/>
    <s v="28600P4740"/>
    <s v="MUFFLER COMPLETE-CTR"/>
    <s v="          "/>
    <s v="[C]customer states that the check engine light is on [R]removed and replace and tested and is now working to design [T]verified concern and found code p0420 for the Catalyst System Efficiency Below Threshold, tested over the system and found that the catalytic converter is not cleaning the exhaust gases effectively, when removed found the honey comb was clogged up not letting the gasses pass thru it [D]Hello, please provide more details on not cleaning properly; was something clogged, leaking, etcs."/>
    <s v="28650R1H"/>
    <s v="ZZ3"/>
    <s v="Q51"/>
    <s v="2025/03/05"/>
    <s v="2026/04/01"/>
    <s v="2025/07/22"/>
    <n v="9"/>
    <n v="26015"/>
    <s v="            "/>
    <n v="100"/>
    <n v="18.18"/>
    <n v="18.18"/>
    <n v="91572"/>
    <n v="22010"/>
    <n v="0"/>
    <n v="113582"/>
    <s v="MQ4 20 HEV"/>
    <s v="2025-03"/>
    <s v="단품불량"/>
    <x v="3"/>
    <n v="30000"/>
    <n v="30000"/>
    <n v="12"/>
    <n v="12"/>
    <s v="B06"/>
    <s v="CANADA"/>
    <x v="2"/>
    <x v="0"/>
    <s v="머플러"/>
    <m/>
    <x v="4"/>
    <s v="2026년"/>
    <s v="2분기"/>
  </r>
  <r>
    <x v="0"/>
    <x v="1"/>
    <s v="2026051WW"/>
    <s v="K"/>
    <s v="R151"/>
    <n v="101"/>
    <s v="2026/05"/>
    <s v="B06VA720512605931A "/>
    <s v="KNDRMDJH6S5402876"/>
    <s v="W"/>
    <s v="HC"/>
    <s v="28600P4740"/>
    <s v="MUFFLER COMPLETE-CTR"/>
    <s v="          "/>
    <s v="[C]MISC - THE CUSTOMER STATES THE VEHICLE IS ALMOST IN A LIMP STATE - CHECK AND REPORT [R]REQUIRES SECONDARY CAT REPLACEMENT [T]PERFORMD TEST DRIVE VEHICLE ACCELERATING AS EXPECTED SCANNED SYSTEM, STORED HISTORY CODE FOR LOW FUEL PRESSURE REVIEWED LIVE DATA OF TEST DRIVE, CONFIRMED FUEL PRESSURE WITHIN SPEC, SENSOR ACCURATE REVIEWED VIDEO OF COMPLAINT NOTED BATTERY POWER LOW IN VIDEO IF BATTERY LOW ACCELERATION WILL NO [L]XTT time for extensive diagnostic. It took several steps and attempts to get to the bottom of the issue. RO, notes and punch times sent to warranty atlantic. Spent 5.86 hours on diag, asking for 5 to cover that. Thank you. took out xtt When initial problem happened the customers were out of town. T [D]Hello, please reduce rental to 1596.00 - invoices received. 72051PD06E - 04/10 - 05/13 = 33 days + 5 days = 1596.00, work shop delays are not applicable Please elaborate your diagnosis and XTT request. Most of these tests were performed during the previous repair - 2504506A. It appears the catalytic converter 285002MAE5 was misdiagnosed as it did not fix the issue."/>
    <s v="28610R00"/>
    <s v="ZZ3"/>
    <s v="B32"/>
    <s v="2025/04/21"/>
    <s v="2026/03/27"/>
    <s v="2025/10/03"/>
    <n v="6"/>
    <n v="16936"/>
    <s v="            "/>
    <n v="100"/>
    <n v="18.18"/>
    <n v="18.18"/>
    <n v="80463"/>
    <n v="11654"/>
    <n v="26609"/>
    <n v="118726"/>
    <s v="MQ4 20 HEV"/>
    <s v="2025-04"/>
    <s v="단품불량"/>
    <x v="6"/>
    <n v="20000"/>
    <n v="20000"/>
    <n v="12"/>
    <n v="9"/>
    <s v="B06"/>
    <s v="CANADA"/>
    <x v="2"/>
    <x v="0"/>
    <s v="머플러"/>
    <m/>
    <x v="4"/>
    <s v="2026년"/>
    <s v="2분기"/>
  </r>
  <r>
    <x v="0"/>
    <x v="1"/>
    <s v="2026051WW"/>
    <s v="K"/>
    <s v="R151"/>
    <n v="103"/>
    <s v="2026/05"/>
    <s v="B28VANJ0512602016-3"/>
    <s v="KNDCR3LE0P5039647"/>
    <s v="W"/>
    <s v="0T"/>
    <s v="28601AT600"/>
    <s v="MUFFLER COMPLETE-CTR &amp; SENSOR"/>
    <s v="          "/>
    <s v="[D]CUSTOMER STATES: CAR OVER HEATED ON ONLY ONE OCCASION. Cause: Verified customer concern. Performed inspection of cooling and exhaust systems. Found coolant present within exhaust components, indicating internal coolant leakage. Further inspection isolated concern to EGR cooler assembly not maintaining proper internal seal and not operating within specification. Correction: Removed and replaced EGR cooler assembly per Kia service procedure. Topped off coolant and performed cooling system bleeding procedure. Reset adaptive values. Performed road test and confirmed normal engine temperature maintained with no overheating condition present. Verified coolant level remains stable and heating system operates properly. Vehicle operating as designed."/>
    <s v="28607R00"/>
    <s v="ZZ1"/>
    <s v="I42"/>
    <s v="2022/07/29"/>
    <s v="2026/04/20"/>
    <s v="2023/01/23"/>
    <n v="39"/>
    <n v="83058"/>
    <s v="            "/>
    <n v="100"/>
    <n v="18.18"/>
    <n v="18.18"/>
    <n v="66920"/>
    <n v="49084"/>
    <n v="0"/>
    <n v="116004"/>
    <s v="SG2 (니로 후속) 21"/>
    <s v="2022-07"/>
    <s v="설계문제"/>
    <x v="7"/>
    <n v="90000"/>
    <n v="85000"/>
    <n v="42"/>
    <n v="42"/>
    <s v="B28"/>
    <s v="U.S.A"/>
    <x v="0"/>
    <x v="0"/>
    <s v="머플러"/>
    <m/>
    <x v="0"/>
    <s v="2026년"/>
    <s v="2분기"/>
  </r>
  <r>
    <x v="0"/>
    <x v="1"/>
    <s v="2026051WW"/>
    <s v="K"/>
    <s v="R151"/>
    <n v="104"/>
    <s v="2026/05"/>
    <s v="B28VA9202 2682688-2"/>
    <s v="KNDCR3LE4P5080198"/>
    <s v="W"/>
    <s v="0T"/>
    <s v="28601AT600"/>
    <s v="MUFFLER COMPLETE-CTR &amp; SENSOR"/>
    <s v="          "/>
    <s v="[D]: CUST STATES COOLANT LEAK , ENGINE OVERHEATING. ADDED COOLANT YESTERDAY AFT ER FINDING RESIVOIR LOW, COOLANT ALREADY LOW AGAI N. CHECK AND ADVIS found exhaust coolant pre heater to be leaking internally causing coolant to be burnt off. recommend to replace. replaced muffler assembly and performed coolant level adjustment and system bleeding REQUESTING STRAIGHT TIME FOR COOLANT ADJUSTMENT , DUE TO CANNOT OVERLAP LABOR OPS"/>
    <m/>
    <s v="C99"/>
    <s v="N99"/>
    <s v="2023/01/11"/>
    <s v="2026/04/23"/>
    <s v="2023/03/28"/>
    <n v="37"/>
    <n v="67262"/>
    <s v="            "/>
    <n v="100"/>
    <n v="18.18"/>
    <n v="18.18"/>
    <n v="0"/>
    <n v="0"/>
    <n v="17367"/>
    <n v="17367"/>
    <s v="SG2 (니로 후속) 21"/>
    <s v="2023-01"/>
    <s v="기타"/>
    <x v="8"/>
    <n v="70000"/>
    <n v="70000"/>
    <n v="42"/>
    <n v="39"/>
    <s v="B28"/>
    <s v="U.S.A"/>
    <x v="0"/>
    <x v="0"/>
    <s v="머플러"/>
    <m/>
    <x v="0"/>
    <s v="2026년"/>
    <s v="2분기"/>
  </r>
  <r>
    <x v="0"/>
    <x v="1"/>
    <s v="2026051WW"/>
    <s v="K"/>
    <s v="R151"/>
    <n v="105"/>
    <s v="2026/05"/>
    <s v="B28VACA2732649889-1"/>
    <s v="KNDCR3LE4P5080198"/>
    <s v="W"/>
    <s v="0T"/>
    <s v="28601AT600"/>
    <s v="MUFFLER COMPLETE-CTR &amp; SENSOR"/>
    <s v="          "/>
    <s v="[D]: CUST STATES COOLANT LEAK , ENGINE OVERHEATING. ADDED COOLANT YESTERDAY AFT ER FINDING RESIVOIR LOW, COOLANT ALREADY LOW AGAI N. CHECK AND ADVIS found exhaust coolant pre heater to be leaking internally causing coolant to be burnt off. recommend to replace. replaced muffler assembly and performed coolant level adjustment and system bleeding REQUESTING STRAIGHT TIME FOR COOLANT ADJUSTMENT , DUE TO CANNOT OVERLAP LABOR OPS"/>
    <s v="28610R00"/>
    <s v="ZZ1"/>
    <s v="L31"/>
    <s v="2023/01/11"/>
    <s v="2026/04/23"/>
    <s v="2023/03/28"/>
    <n v="37"/>
    <n v="67262"/>
    <s v="            "/>
    <n v="100"/>
    <n v="18.18"/>
    <n v="18.18"/>
    <n v="64275"/>
    <n v="70163"/>
    <n v="0"/>
    <n v="134438"/>
    <s v="SG2 (니로 후속) 21"/>
    <s v="2023-01"/>
    <s v="설계문제"/>
    <x v="0"/>
    <n v="70000"/>
    <n v="70000"/>
    <n v="42"/>
    <n v="39"/>
    <s v="B28"/>
    <s v="U.S.A"/>
    <x v="0"/>
    <x v="0"/>
    <s v="머플러"/>
    <m/>
    <x v="0"/>
    <s v="2026년"/>
    <s v="2분기"/>
  </r>
  <r>
    <x v="0"/>
    <x v="1"/>
    <s v="2026051WW"/>
    <s v="K"/>
    <s v="R151"/>
    <n v="106"/>
    <s v="2026/05"/>
    <s v="B28VACA2732649889-N"/>
    <s v="KNDCR3LE4P5080198"/>
    <s v="W"/>
    <s v="0T"/>
    <s v="28601AT600"/>
    <s v="MUFFLER COMPLETE-CTR &amp; SENSOR"/>
    <s v="          "/>
    <s v="[D]: CUST STATES COOLANT LEAK , ENGINE OVERHEATING. ADDED COOLANT YESTERDAY AFT ER FINDING RESIVOIR LOW, COOLANT ALREADY LOW AGAI N. CHECK AND ADVIS found exhaust coolant pre heater to be leaking internally causing coolant to be burnt off. recommend to replace. replaced muffler assembly and performed coolant level adjustment and system bleeding REQUESTING STRAIGHT TIME FOR COOLANT ADJUSTMENT , DUE TO CANNOT OVERLAP LABOR OPS"/>
    <s v="28610RZZ"/>
    <s v="ZZ1"/>
    <s v="L31"/>
    <s v="2023/01/11"/>
    <s v="2026/04/23"/>
    <s v="2023/03/28"/>
    <n v="37"/>
    <n v="67262"/>
    <s v="            "/>
    <n v="100"/>
    <n v="18.18"/>
    <n v="18.18"/>
    <n v="0"/>
    <n v="0"/>
    <n v="80484"/>
    <n v="80484"/>
    <s v="SG2 (니로 후속) 21"/>
    <s v="2023-01"/>
    <s v="설계문제"/>
    <x v="0"/>
    <n v="70000"/>
    <n v="70000"/>
    <n v="42"/>
    <n v="39"/>
    <s v="B28"/>
    <s v="U.S.A"/>
    <x v="0"/>
    <x v="0"/>
    <s v="머플러"/>
    <m/>
    <x v="0"/>
    <s v="2026년"/>
    <s v="2분기"/>
  </r>
  <r>
    <x v="0"/>
    <x v="1"/>
    <s v="2026051WW"/>
    <s v="K"/>
    <s v="R151"/>
    <n v="107"/>
    <s v="2026/05"/>
    <s v="D05VA7777734174 000"/>
    <s v="KNARH81D3S5331030"/>
    <s v="W"/>
    <s v="GZ"/>
    <s v="28650P2840"/>
    <s v="MUFFLER ASSY-CTR"/>
    <s v="          "/>
    <s v="[C]Check the exhaust noise while driving [R]Replaced the center muffler assy. [T]After checking we found the noise from the center muffler Assy."/>
    <s v="28650R00"/>
    <s v="ZZ3"/>
    <s v="Q55"/>
    <s v="2024/11/22"/>
    <s v="2026/05/12"/>
    <s v="2025/03/29"/>
    <n v="14"/>
    <n v="10027"/>
    <s v="            "/>
    <n v="100"/>
    <n v="18.18"/>
    <n v="18.18"/>
    <n v="27418"/>
    <n v="1643"/>
    <n v="0"/>
    <n v="29061"/>
    <s v="MQ4 20"/>
    <s v="2024-11"/>
    <s v="단품불량"/>
    <x v="3"/>
    <n v="20000"/>
    <n v="15000"/>
    <n v="18"/>
    <n v="15"/>
    <s v="D05"/>
    <s v="IRAQ"/>
    <x v="2"/>
    <x v="0"/>
    <s v="머플러"/>
    <m/>
    <x v="1"/>
    <s v="2026년"/>
    <s v="2분기"/>
  </r>
  <r>
    <x v="0"/>
    <x v="1"/>
    <s v="2026051WW"/>
    <s v="K"/>
    <s v="R151"/>
    <n v="124"/>
    <s v="2026/05"/>
    <s v="C24VACZ136KM2600016"/>
    <s v="KNARH81GDP5189668"/>
    <s v="W"/>
    <s v="HC"/>
    <s v="28650P4670"/>
    <s v="MUFFLER ASSY-CTR"/>
    <s v="          "/>
    <e v="#N/A"/>
    <s v="28650R1H"/>
    <s v="ZZ3"/>
    <s v="L31"/>
    <s v="2023/03/31"/>
    <s v="2026/04/20"/>
    <s v="2023/06/23"/>
    <n v="34"/>
    <n v="64058"/>
    <s v="            "/>
    <n v="100"/>
    <n v="18.18"/>
    <n v="18.18"/>
    <n v="51215"/>
    <n v="10107"/>
    <n v="0"/>
    <n v="61322"/>
    <s v="MQ4 20 HEV"/>
    <s v="2023-03"/>
    <s v="단품불량"/>
    <x v="0"/>
    <n v="70000"/>
    <n v="65000"/>
    <n v="36"/>
    <n v="36"/>
    <s v="C24"/>
    <s v="CZECH"/>
    <x v="2"/>
    <x v="0"/>
    <s v="머플러"/>
    <m/>
    <x v="4"/>
    <s v="2026년"/>
    <s v="2분기"/>
  </r>
  <r>
    <x v="0"/>
    <x v="1"/>
    <s v="2026051WW"/>
    <s v="K"/>
    <s v="R151"/>
    <n v="125"/>
    <s v="2026/05"/>
    <s v="E37VASA224KM2000094"/>
    <s v="KNCSHX76LR7803816"/>
    <s v="W"/>
    <s v="HD"/>
    <s v="287004E740"/>
    <s v="MUFFLER ASSY-MAIN"/>
    <s v="          "/>
    <s v="[C]Customer states that there is a blowing noise coming from exhaust [R]Replace front exhaust resonator [T]Check and found material defect with exhaust resonator [L]10 000KM Service v1.0 KNCSHX76LR7803816 10119 2025-08-01 20 000KM Service v1.0 KNCSHX76LR7803816 20062 2025-11-13 30 000KM Service v1.0 KNCSHX76LR7803816 29996 2026-03-25 PWA to be resubmitted, as processor requested change of causal part number"/>
    <s v="28600R00"/>
    <s v="ZZ4"/>
    <s v="Q51"/>
    <s v="2024/06/20"/>
    <s v="2026/04/08"/>
    <s v="2025/01/18"/>
    <n v="15"/>
    <n v="31237"/>
    <s v="            "/>
    <n v="100"/>
    <n v="18.18"/>
    <n v="18.18"/>
    <n v="31271"/>
    <n v="7339"/>
    <n v="0"/>
    <n v="38610"/>
    <s v="봉고3 1톤/1.4톤"/>
    <s v="2024-06"/>
    <s v="재질불량"/>
    <x v="3"/>
    <n v="40000"/>
    <n v="35000"/>
    <n v="18"/>
    <n v="18"/>
    <s v="E37"/>
    <s v="SOUTH AFRICA"/>
    <x v="3"/>
    <x v="0"/>
    <s v="머플러"/>
    <m/>
    <x v="6"/>
    <s v="2026년"/>
    <s v="2분기"/>
  </r>
  <r>
    <x v="0"/>
    <x v="1"/>
    <s v="2026051WW"/>
    <s v="K"/>
    <s v="R151"/>
    <n v="126"/>
    <s v="2026/05"/>
    <s v="E37VASA218KM2000163"/>
    <s v="KNCSHX76LS7814072"/>
    <s v="W"/>
    <s v="HD"/>
    <s v="287004E740"/>
    <s v="MUFFLER ASSY-MAIN"/>
    <s v="          "/>
    <s v="[C]Check blowing noise from exhaust Sumen [R]Removed and replaced exhaust and gasket [T]Blowing noise from exhaust cause due to poor welding on exhaust box seam vdn 260330003i [L]10000km 10423km 20/10/2025 20000km 21245km 10/12/2025 30000km 30273km 21/01/2026 40000km 38945km 26/03/2026"/>
    <s v="28600R00"/>
    <s v="ZZ3"/>
    <s v="Q55"/>
    <s v="2024/08/14"/>
    <s v="2026/03/30"/>
    <s v="2025/07/03"/>
    <n v="9"/>
    <n v="38945"/>
    <s v="            "/>
    <n v="100"/>
    <n v="18.18"/>
    <n v="18.18"/>
    <n v="31528"/>
    <n v="7339"/>
    <n v="0"/>
    <n v="38867"/>
    <s v="봉고3 1톤/1.4톤"/>
    <s v="2024-08"/>
    <s v="단품불량"/>
    <x v="3"/>
    <n v="40000"/>
    <n v="40000"/>
    <n v="12"/>
    <n v="12"/>
    <s v="E37"/>
    <s v="SOUTH AFRICA"/>
    <x v="3"/>
    <x v="0"/>
    <s v="머플러"/>
    <m/>
    <x v="6"/>
    <s v="2026년"/>
    <s v="2분기"/>
  </r>
  <r>
    <x v="0"/>
    <x v="1"/>
    <s v="2026051WW"/>
    <s v="K"/>
    <s v="R151"/>
    <n v="127"/>
    <s v="2026/05"/>
    <s v="E37VASA096KM2000027"/>
    <s v="KNCSHX76LS7818980"/>
    <s v="W"/>
    <s v="HD"/>
    <s v="287004E740"/>
    <s v="MUFFLER ASSY-MAIN"/>
    <s v="          "/>
    <s v="[C]Fransie Marx - Customer complained about the exhaust that cracked. [R]Need to replace muffler. Repair delay: Part was on back order and awaiting customer to come in for fitment. [T]VDN 260330004I - Investigate and found that the muffler cracked. [L]01/14/2026 11087km 05/06/2026 20368km"/>
    <s v="28600R00"/>
    <s v="ZZ4"/>
    <s v="Q71"/>
    <s v="2024/09/06"/>
    <s v="2026/03/30"/>
    <s v="2025/08/04"/>
    <n v="8"/>
    <n v="17962"/>
    <s v="            "/>
    <n v="100"/>
    <n v="18.18"/>
    <n v="18.18"/>
    <n v="31271"/>
    <n v="6359"/>
    <n v="0"/>
    <n v="37630"/>
    <s v="봉고3 1톤/1.4톤"/>
    <s v="2024-09"/>
    <s v="재질불량"/>
    <x v="3"/>
    <n v="20000"/>
    <n v="20000"/>
    <n v="12"/>
    <n v="9"/>
    <s v="E37"/>
    <s v="SOUTH AFRICA"/>
    <x v="3"/>
    <x v="0"/>
    <s v="머플러"/>
    <m/>
    <x v="6"/>
    <s v="2026년"/>
    <s v="2분기"/>
  </r>
  <r>
    <x v="0"/>
    <x v="1"/>
    <s v="2026051WW"/>
    <s v="K"/>
    <s v="R151"/>
    <n v="128"/>
    <s v="2026/05"/>
    <s v="E37VASA219KM2000111"/>
    <s v="KNCSHX76LS7821188"/>
    <s v="W"/>
    <s v="HD"/>
    <s v="287004E740"/>
    <s v="MUFFLER ASSY-MAIN"/>
    <s v="          "/>
    <s v="[C]Customer states noise from exhaust haroun [R]Remove and replace centre silencer &amp; exhaust gasket [T]Checked &amp; found centre exhaust silencer has disintegrate due to inferior material used,side sealing has opened causing exhaust to leak fumes causing noise//vdn260411004i [L]10000km@9955km(27/09/2025)-20000km@19844km(08/11/2025)-30000km@29747km(06/01/2026)-40000km@45619km(11/04/2026) Claim updated with superceded part no.287512P000 -Part no. 287513J000 which was on back order not supplied"/>
    <s v="28600R00"/>
    <s v="ZZ4"/>
    <s v="Q72"/>
    <s v="2024/09/26"/>
    <s v="2026/04/11"/>
    <s v="2025/07/23"/>
    <n v="9"/>
    <n v="45619"/>
    <s v="            "/>
    <n v="100"/>
    <n v="18.18"/>
    <n v="18.18"/>
    <n v="31528"/>
    <n v="7339"/>
    <n v="0"/>
    <n v="38867"/>
    <s v="봉고3 1톤/1.4톤"/>
    <s v="2024-09"/>
    <s v="재질불량"/>
    <x v="3"/>
    <n v="50000"/>
    <n v="50000"/>
    <n v="12"/>
    <n v="12"/>
    <s v="E37"/>
    <s v="SOUTH AFRICA"/>
    <x v="3"/>
    <x v="0"/>
    <s v="머플러"/>
    <m/>
    <x v="6"/>
    <s v="2026년"/>
    <s v="2분기"/>
  </r>
  <r>
    <x v="0"/>
    <x v="1"/>
    <s v="2026051WW"/>
    <s v="K"/>
    <s v="R151"/>
    <n v="129"/>
    <s v="2026/05"/>
    <s v="B06VA611232683902A "/>
    <s v="KNDCR3LE6S5253230"/>
    <s v="W"/>
    <s v="0T"/>
    <s v="28710AT100"/>
    <s v="MUFFLER ASSY-RR"/>
    <s v="          "/>
    <s v="[C]CLIENT MENTIONNE UN BRUIT DE GRONDEMENT [R]replaced muffler and gasket. went on road test, did not hear anymore leak. repair complete. [T]En fesant l'essaie routier, entendu une perte au niveau du silencieux. Il y a une perte au niveau du silencieux. fait estimé pour silencieux et gasket."/>
    <s v="28700R00"/>
    <s v="ZZ3"/>
    <s v="Q55"/>
    <s v="2024/12/06"/>
    <s v="2026/05/04"/>
    <s v="2025/03/17"/>
    <n v="14"/>
    <n v="25145"/>
    <s v="            "/>
    <n v="100"/>
    <n v="18.18"/>
    <n v="18.18"/>
    <n v="22530"/>
    <n v="7241"/>
    <n v="0"/>
    <n v="29771"/>
    <s v="SG2 (니로 후속) 21"/>
    <s v="2024-12"/>
    <s v="단품불량"/>
    <x v="3"/>
    <n v="30000"/>
    <n v="30000"/>
    <n v="18"/>
    <n v="15"/>
    <s v="B06"/>
    <s v="CANADA"/>
    <x v="3"/>
    <x v="0"/>
    <s v="머플러"/>
    <m/>
    <x v="0"/>
    <s v="2026년"/>
    <s v="2분기"/>
  </r>
  <r>
    <x v="0"/>
    <x v="1"/>
    <s v="2026051WW"/>
    <s v="K"/>
    <s v="R151"/>
    <n v="130"/>
    <s v="2026/05"/>
    <s v="A02VE87250260000017"/>
    <s v="KNAB2512MTT501207"/>
    <s v="W"/>
    <s v="G6"/>
    <s v="28710G6BA0"/>
    <s v="MUFFLER ASSY-RR"/>
    <s v="          "/>
    <s v="[C]MUFFLER RUSTED- NOTED AT PD [R]REMOVED AND REPLACED AS REQUIRED. ALL OKAY [T]VERIFIED CONCERN, FOUND BOTH FRONT AND REAR MUFFLER ASSYS TO BE RUSTED,. REQUIRES REPLACEMENT OF FRONT AND REAR MUFFLER INCLUDING SINGLE USE GASKETS ETC."/>
    <s v="28700R00"/>
    <s v="ZZ2"/>
    <s v="A12"/>
    <s v="2026/02/24"/>
    <s v="2026/04/21"/>
    <s v="2026/03/04"/>
    <n v="2"/>
    <n v="16"/>
    <s v="            "/>
    <n v="100"/>
    <n v="18.18"/>
    <n v="18.18"/>
    <n v="35576"/>
    <n v="24638"/>
    <n v="0"/>
    <n v="60214"/>
    <s v="JA 17"/>
    <s v="2026-02"/>
    <s v="파손"/>
    <x v="9"/>
    <n v="10000"/>
    <n v="5000"/>
    <n v="6"/>
    <n v="3"/>
    <s v="A02"/>
    <s v="AUSTRALIA"/>
    <x v="3"/>
    <x v="0"/>
    <s v="머플러"/>
    <m/>
    <x v="3"/>
    <s v="2026년"/>
    <s v="2분기"/>
  </r>
  <r>
    <x v="0"/>
    <x v="1"/>
    <s v="2026051WW"/>
    <s v="K"/>
    <s v="R151"/>
    <n v="135"/>
    <s v="2026/05"/>
    <s v="B21VBMAN0226050112 "/>
    <s v="KNCWJX72AS7766697"/>
    <s v="W"/>
    <s v="HD"/>
    <s v="287504E960"/>
    <s v="MUFFLER ASSY-TAIL"/>
    <s v="          "/>
    <s v="[C]NOISE FROM EXHAUST TUBE END [R]TO REPLACE DEFECTIVE EXHAUST TUBE END [T]DUE CRACKED EXHAUST TUBE"/>
    <s v="40700R00"/>
    <s v="ZZ4"/>
    <s v="Q55"/>
    <s v="2024/01/15"/>
    <s v="2026/05/13"/>
    <s v="2024/05/24"/>
    <n v="24"/>
    <n v="30734"/>
    <s v="            "/>
    <n v="100"/>
    <n v="18.18"/>
    <n v="18.18"/>
    <n v="8194"/>
    <n v="1051"/>
    <n v="0"/>
    <n v="9245"/>
    <s v="봉고3 1톤/1.4톤"/>
    <s v="2024-01"/>
    <s v="재질불량"/>
    <x v="3"/>
    <n v="40000"/>
    <n v="35000"/>
    <n v="30"/>
    <n v="27"/>
    <s v="B21"/>
    <s v="NICARAGUA"/>
    <x v="5"/>
    <x v="0"/>
    <s v="머플러"/>
    <m/>
    <x v="6"/>
    <s v="2026년"/>
    <s v="2분기"/>
  </r>
  <r>
    <x v="0"/>
    <x v="1"/>
    <s v="2026051WW"/>
    <s v="K"/>
    <s v="R151"/>
    <n v="136"/>
    <s v="2026/05"/>
    <s v="B21VBMAN0226050101 "/>
    <s v="KNCWJX72AT7878542"/>
    <s v="W"/>
    <s v="HD"/>
    <s v="287504E960"/>
    <s v="MUFFLER ASSY-TAIL"/>
    <s v="          "/>
    <s v="[C]NOISE FROM EXHAUST TUBE ASSY [R]TO REPLACE DEFECTIVE EXHAUST TUBE ASSY [T]DUE CRACKED EXHAUST TUBE ASSY"/>
    <s v="40700R00"/>
    <s v="ZZ4"/>
    <s v="Q55"/>
    <s v="2025/07/24"/>
    <s v="2026/05/08"/>
    <s v="2025/09/30"/>
    <n v="8"/>
    <n v="20549"/>
    <s v="            "/>
    <n v="100"/>
    <n v="18.18"/>
    <n v="18.18"/>
    <n v="8194"/>
    <n v="1051"/>
    <n v="0"/>
    <n v="9245"/>
    <s v="봉고3 1톤/1.4톤"/>
    <s v="2025-07"/>
    <s v="재질불량"/>
    <x v="3"/>
    <n v="30000"/>
    <n v="25000"/>
    <n v="12"/>
    <n v="9"/>
    <s v="B21"/>
    <s v="NICARAGUA"/>
    <x v="5"/>
    <x v="0"/>
    <s v="머플러"/>
    <m/>
    <x v="6"/>
    <s v="2026년"/>
    <s v="2분기"/>
  </r>
  <r>
    <x v="0"/>
    <x v="1"/>
    <s v="2026051WW"/>
    <s v="K"/>
    <s v="R151"/>
    <n v="137"/>
    <s v="2026/05"/>
    <s v="B28VAMD0492672753-1"/>
    <s v="KNDRKDLG7R5235299"/>
    <s v="W"/>
    <s v="HC"/>
    <s v="287512B650"/>
    <s v="GASKET"/>
    <s v="          "/>
    <e v="#N/A"/>
    <s v="25467R1H"/>
    <s v="ZZ3"/>
    <s v="B24"/>
    <s v="2023/09/06"/>
    <s v="2026/04/10"/>
    <s v="2023/12/29"/>
    <n v="28"/>
    <n v="69696"/>
    <s v="            "/>
    <n v="100"/>
    <n v="18.18"/>
    <n v="18.18"/>
    <n v="53651"/>
    <n v="67322"/>
    <n v="0"/>
    <n v="120973"/>
    <s v="MQ4 20 HEV"/>
    <s v="2023-09"/>
    <s v="단품불량"/>
    <x v="10"/>
    <n v="70000"/>
    <n v="70000"/>
    <n v="30"/>
    <n v="30"/>
    <s v="B28"/>
    <s v="U.S.A"/>
    <x v="6"/>
    <x v="0"/>
    <s v="머플러"/>
    <m/>
    <x v="4"/>
    <s v="2026년"/>
    <s v="2분기"/>
  </r>
  <r>
    <x v="0"/>
    <x v="1"/>
    <s v="2026051WA"/>
    <s v="K"/>
    <s v="R151"/>
    <n v="1"/>
    <s v="2026/04"/>
    <s v="B05VABR464000568978"/>
    <s v="9UWSHX76ASN040482"/>
    <s v="W"/>
    <s v="HD"/>
    <s v="286004E850"/>
    <s v="MUFFLER COMPLETE-CTR"/>
    <s v="          "/>
    <e v="#N/A"/>
    <s v="28650R00"/>
    <s v="ZZ2"/>
    <s v="Q57"/>
    <s v="2024/10/25"/>
    <s v="2026/03/13"/>
    <s v="2024/12/23"/>
    <n v="15"/>
    <n v="10764"/>
    <s v="            "/>
    <n v="100"/>
    <n v="18.18"/>
    <n v="18.18"/>
    <n v="367133"/>
    <n v="2254"/>
    <n v="0"/>
    <n v="369387"/>
    <s v="봉고3 1톤/1.4톤"/>
    <s v="2024-10"/>
    <s v="파손"/>
    <x v="3"/>
    <n v="20000"/>
    <n v="15000"/>
    <n v="18"/>
    <n v="18"/>
    <s v="B05"/>
    <s v="BRAZIL"/>
    <x v="2"/>
    <x v="0"/>
    <s v="컨버터"/>
    <s v="PU DPF"/>
    <x v="6"/>
    <s v="2026년"/>
    <s v="2분기"/>
  </r>
  <r>
    <x v="1"/>
    <x v="0"/>
    <s v="2026051WW"/>
    <s v="H"/>
    <s v="R151"/>
    <n v="1"/>
    <s v="2026/05"/>
    <s v="2520002026W00257900"/>
    <s v="KNAE551CDPS128465"/>
    <s v="W"/>
    <s v="J5"/>
    <s v="285303LVE0"/>
    <s v="CONVERTER ASSY-W/UP CAT,LH"/>
    <s v="          "/>
    <s v="[C]1.현상 : 주행중 엔진경고등 발생 P043000, 촉매 정화능력 저하(뱅크2) 경고등 점등으로 차량 입고함 2.점검내용 및 원인 : KDS 진단 장비 결과 P043000, 촉매 정화능력 저하(뱅크2) 고장 코드 확인됨 3.조치내용 : 해당 부품 교환후 점검시 정상 확인됨, 점검및 정비 내용 고객 설명후 차량 정상 출고함"/>
    <s v="39213R2L"/>
    <m/>
    <s v="W11"/>
    <s v="2022/10/13"/>
    <s v="2026/04/02"/>
    <s v="2022/10/14"/>
    <n v="42"/>
    <n v="26986"/>
    <s v="            "/>
    <n v="100"/>
    <n v="27.72"/>
    <n v="27.72"/>
    <n v="279922"/>
    <n v="108247"/>
    <n v="0"/>
    <n v="388169"/>
    <s v="CK 17"/>
    <s v="2022-10"/>
    <e v="#N/A"/>
    <x v="1"/>
    <n v="30000"/>
    <n v="30000"/>
    <n v="48"/>
    <n v="45"/>
    <s v="252"/>
    <s v="한국"/>
    <x v="4"/>
    <x v="0"/>
    <s v="컨버터"/>
    <s v="람다"/>
    <x v="9"/>
    <s v="2026년"/>
    <s v="2분기"/>
  </r>
  <r>
    <x v="1"/>
    <x v="0"/>
    <s v="2026051WW"/>
    <s v="H"/>
    <s v="R151"/>
    <n v="2"/>
    <s v="2026/05"/>
    <s v="L030002026200363500"/>
    <s v="KMTG641EBSU157930"/>
    <s v="W"/>
    <s v="G9"/>
    <s v="285303LXA0"/>
    <s v="CONVERTER ASSY-W/UP CAT, LH"/>
    <s v="          "/>
    <s v="[C]1.현상 : 냉간사 소음 발생 2.점검내용 및 원인 : 냉간시 후 가속시 휘리릭 하는 이상소음 발생 열간시는 소음미발생됨. 소음발생부위 점검 우측부위 는 가스켓 부위 소음확인되며 좌측부위 도 고정부위 이상으로 소음발생 확인되어 촉매 좌측 교환 조치함 3.조치내용 : 좌측 캐털리스트 케이스 교환 4.요망사항 : 요망사항없음"/>
    <s v="28530R7L"/>
    <m/>
    <s v="Q55"/>
    <s v="2025/01/17"/>
    <s v="2026/05/12"/>
    <s v="2025/02/18"/>
    <n v="15"/>
    <n v="4137"/>
    <s v="            "/>
    <n v="100"/>
    <n v="27.72"/>
    <n v="27.72"/>
    <n v="323325"/>
    <n v="78600"/>
    <n v="0"/>
    <n v="401925"/>
    <s v="G70 17/21/23"/>
    <s v="2025-01"/>
    <e v="#N/A"/>
    <x v="3"/>
    <n v="10000"/>
    <n v="5000"/>
    <n v="18"/>
    <n v="18"/>
    <s v="L03"/>
    <s v="한국"/>
    <x v="4"/>
    <x v="0"/>
    <s v="컨버터"/>
    <s v="람다"/>
    <x v="9"/>
    <s v="2026년"/>
    <s v="2분기"/>
  </r>
  <r>
    <x v="1"/>
    <x v="1"/>
    <s v="2026051WW"/>
    <s v="H"/>
    <s v="R151"/>
    <n v="1"/>
    <s v="2026/05"/>
    <s v="D06AA00018z24582000"/>
    <s v="KMHHC8116SU153814"/>
    <s v="W"/>
    <s v="1Y"/>
    <s v="2853008501"/>
    <s v="CONVERTER ASSY W/UP CATALYTIC"/>
    <s v="          "/>
    <s v="[C]נורת תקלה דולקתרכב לא מגיע ל100 קמ&quot;ש [R]הוחלפה סעפת [T]סעפת סתומה"/>
    <s v="28530R00"/>
    <s v="ZZ2"/>
    <s v="I3A"/>
    <s v="2025/05/22"/>
    <s v="2026/04/19"/>
    <s v="2025/11/10"/>
    <n v="6"/>
    <n v="9740"/>
    <s v="            "/>
    <n v="100"/>
    <n v="19.8"/>
    <n v="19.8"/>
    <n v="65568"/>
    <n v="20047"/>
    <n v="0"/>
    <n v="85615"/>
    <s v="SX2(코나 후속) 하이브리드 23"/>
    <s v="2025-05"/>
    <s v="파손"/>
    <x v="1"/>
    <n v="10000"/>
    <n v="10000"/>
    <n v="12"/>
    <n v="9"/>
    <s v="D06"/>
    <s v="ISRAEL"/>
    <x v="4"/>
    <x v="0"/>
    <s v="컨버터"/>
    <s v="카파(KIA)"/>
    <x v="8"/>
    <s v="2026년"/>
    <s v="2분기"/>
  </r>
  <r>
    <x v="1"/>
    <x v="1"/>
    <s v="2026051WW"/>
    <s v="H"/>
    <s v="R151"/>
    <n v="2"/>
    <s v="2026/05"/>
    <s v="B28AACO03841833A000"/>
    <s v="KMHLW4AK2NU006803"/>
    <s v="W"/>
    <s v="IB"/>
    <s v="285302GLB0"/>
    <s v="CONVERTER ASSY-W/UP CATALYTIC"/>
    <s v="          "/>
    <s v="[C]CUSTOMER STATES THE CHECK ENGGINE LIGHT IS ON AND SEEMS AS IF THE VEHICLE IS UNDER BOOST CHECK AND ADVISE [R]PERFORMED A GLOBAL DIAGNOSTIC SYSTEM SCAN TO FIND ACTIVE CODES PO299 WHICH IS RELATED TO UNDER BOOST TO FIND NO RELEVANT CODES IN HISTORY TO FIND NO RELEVANT PENDING CODES AND THEN CLEARED ALL CODES AND RECONFIRMED ACTIVE DIAGNOSTIC TROUBLE CODES FURTHER EXAMINATION FOUND THE BANK 1 CATALYTIC CONVER [T]VERIFIED THE CUSTOMERS CONCERN OF CHECK ENGINE LIGHT CHECKED FOR APPLICABLE CAMPAIGNS AND TECHNICALSERVICE BULLETINS AND FOUND NO DOCUMENTS RELATED TO THE VEHICLES CONCERN"/>
    <s v="28530R00"/>
    <s v="ZZ1"/>
    <s v="W17"/>
    <s v="2022/05/20"/>
    <s v="2026/02/05"/>
    <s v="2022/07/01"/>
    <n v="44"/>
    <n v="68352"/>
    <s v="            "/>
    <n v="100"/>
    <n v="19.8"/>
    <n v="19.8"/>
    <n v="187860"/>
    <n v="106338"/>
    <n v="0"/>
    <n v="294198"/>
    <s v="CN7 고성능차 21"/>
    <s v="2022-05"/>
    <s v="설계문제"/>
    <x v="1"/>
    <n v="70000"/>
    <n v="70000"/>
    <n v="48"/>
    <n v="45"/>
    <s v="B28"/>
    <s v="U.S.A"/>
    <x v="4"/>
    <x v="0"/>
    <s v="컨버터"/>
    <s v="쎄타"/>
    <x v="7"/>
    <s v="2026년"/>
    <s v="2분기"/>
  </r>
  <r>
    <x v="1"/>
    <x v="1"/>
    <s v="2026051WW"/>
    <s v="H"/>
    <s v="R151"/>
    <n v="3"/>
    <s v="2026/05"/>
    <s v="B28AACA01M73789R000"/>
    <s v="KMHT36AH4NU011896"/>
    <s v="W"/>
    <s v="BU"/>
    <s v="285302GTB0"/>
    <s v="CONVERTER ASSY-W/UP CATALYTIC"/>
    <s v="          "/>
    <s v="[C]CUSTOMER STATES CHECK ENGINE LIGHT ON CHECK AND ADVISE [R]REPLACED CATALYST ASSEMBLY UNDER POWER TRAIN WARRANTY CLEARED DTC SYSTEM OK TEST DROVE MILES OUT 46904 SYSTEM OK DONE CATALYST ASSEMBLY 28530R001.7 ADD DIAGNOSIS 28530RQ0 0.3 [T]VERIFY CUSTOMER CONCERN FOUND DTC P0420 LOW EFFICIENCY CATALYST UPON TEST DRIVE FOUDN VEHICLE POOR ACCELERATION SULFUR SMELL PARTS ORDER"/>
    <s v="SLOANAZZ"/>
    <s v="ZZ3"/>
    <s v="W17"/>
    <s v="2021/06/11"/>
    <s v="2026/02/26"/>
    <s v="2021/10/06"/>
    <n v="53"/>
    <n v="75038"/>
    <s v="            "/>
    <n v="100"/>
    <n v="19.8"/>
    <n v="19.8"/>
    <n v="0"/>
    <n v="0"/>
    <n v="80393"/>
    <n v="80393"/>
    <s v="JS N 18"/>
    <s v="2021-06"/>
    <s v="단품불량"/>
    <x v="1"/>
    <n v="80000"/>
    <n v="80000"/>
    <n v="54"/>
    <n v="54"/>
    <s v="B28"/>
    <s v="U.S.A"/>
    <x v="4"/>
    <x v="0"/>
    <s v="컨버터"/>
    <s v="쎄타"/>
    <x v="7"/>
    <s v="2026년"/>
    <s v="2분기"/>
  </r>
  <r>
    <x v="1"/>
    <x v="1"/>
    <s v="2026051WW"/>
    <s v="H"/>
    <s v="R151"/>
    <n v="4"/>
    <s v="2026/05"/>
    <s v="B28AACA01M73789A000"/>
    <s v="KMHT36AH4NU011896"/>
    <s v="W"/>
    <s v="BU"/>
    <s v="285302GTB0"/>
    <s v="CONVERTER ASSY-W/UP CATALYTIC"/>
    <s v="          "/>
    <s v="[C]CUSTOMER STATES CHECK ENGINE LIGHT ON CHECK AND ADVISE [R]REPLACED CATALYST ASSEMBLY UNDER POWER TRAIN WARRANTY CLEARED DTC SYSTEM OK TEST DROVE MILES OUT 46904 SYSTEM OK DONE CATALYST ASSEMBLY 28530R001.7 ADD DIAGNOSIS 28530RQ0 0.3 [T]VERIFY CUSTOMER CONCERN FOUND DTC P0420 LOW EFFICIENCY CATALYST UPON TEST DRIVE FOUDN VEHICLE POOR ACCELERATION SULFUR SMELL PARTS ORDER"/>
    <s v="28530R00"/>
    <s v="ZZ3"/>
    <s v="W17"/>
    <s v="2021/06/11"/>
    <s v="2026/02/26"/>
    <s v="2021/10/06"/>
    <n v="53"/>
    <n v="75038"/>
    <s v="            "/>
    <n v="100"/>
    <n v="19.8"/>
    <n v="19.8"/>
    <n v="177046"/>
    <n v="120072"/>
    <n v="0"/>
    <n v="297118"/>
    <s v="JS N 18"/>
    <s v="2021-06"/>
    <s v="단품불량"/>
    <x v="1"/>
    <n v="80000"/>
    <n v="80000"/>
    <n v="54"/>
    <n v="54"/>
    <s v="B28"/>
    <s v="U.S.A"/>
    <x v="4"/>
    <x v="0"/>
    <s v="컨버터"/>
    <s v="쎄타"/>
    <x v="7"/>
    <s v="2026년"/>
    <s v="2분기"/>
  </r>
  <r>
    <x v="1"/>
    <x v="1"/>
    <s v="2026051WW"/>
    <s v="H"/>
    <s v="R151"/>
    <n v="5"/>
    <s v="2026/05"/>
    <s v="B28AAMS0434066NB000"/>
    <s v="KM8KH3AC2NU004574"/>
    <s v="W"/>
    <s v="I3"/>
    <s v="285302GXC0"/>
    <s v="CONVERTER ASSY-W/UP CATALYTIC"/>
    <s v="          "/>
    <s v="[C]CUSTOMER STATES CHECK ENGINE LIGHT IS ON DASH [R]REMOVED AND REPLACED CATALYTIC CONVERTER WITH NEW O2 SENSORS CLEARED CODES RESET ADAPTIVES AND TESTDROVE VEHICLE NO FURTHER ISSUES AT THIS TIME [T]UPON INSPECTION FOUND THAT CODE P0420 IS SET FOR CATALYST EFFICIENCY DETERMINED THAT CATALYTIC CONVERTER FAILED AND INEFFICIENCY CAUSED FA"/>
    <s v="28530R00"/>
    <s v="ZZ3"/>
    <s v="W17"/>
    <s v="2022/04/13"/>
    <s v="2026/03/09"/>
    <s v="2022/06/25"/>
    <n v="45"/>
    <n v="77354"/>
    <s v="            "/>
    <n v="100"/>
    <n v="19.8"/>
    <n v="19.8"/>
    <n v="196581"/>
    <n v="103355"/>
    <n v="0"/>
    <n v="299936"/>
    <s v="코나(상품성개선) 고성능차 21"/>
    <s v="2022-04"/>
    <s v="단품불량"/>
    <x v="1"/>
    <n v="80000"/>
    <n v="80000"/>
    <n v="48"/>
    <n v="48"/>
    <s v="B28"/>
    <s v="U.S.A"/>
    <x v="4"/>
    <x v="0"/>
    <s v="컨버터"/>
    <s v="카파(KIA)"/>
    <x v="8"/>
    <s v="2026년"/>
    <s v="2분기"/>
  </r>
  <r>
    <x v="1"/>
    <x v="1"/>
    <s v="2026051WW"/>
    <s v="H"/>
    <s v="R151"/>
    <n v="6"/>
    <s v="2026/05"/>
    <s v="B28AAMS04304066R000"/>
    <s v="KM8KH3AC2NU004574"/>
    <s v="W"/>
    <s v="I3"/>
    <s v="285302GXC0"/>
    <s v="CONVERTER ASSY-W/UP CATALYTIC"/>
    <s v="          "/>
    <s v="[C]CUSTOMER STATES CHECK ENGINE LIGHT IS ON DASH [R]REMOVED AND REPLACED CATALYTIC CONVERTER WITH NEW O2 SENSORS CLEARED CODES RESET ADAPTIVES AND TESTDROVE VEHICLE NO FURTHER ISSUES AT THIS TIME [T]UPON INSPECTION FOUND THAT CODE P0420 IS SET FOR CATALYST EFFICIENCY DETERMINED THAT CATALYTIC CONVERTER FAILED AND INEFFICIENCY CAUSED FA"/>
    <s v="SLOANAZZ"/>
    <s v="ZZ3"/>
    <s v="W17"/>
    <s v="2022/04/13"/>
    <s v="2026/03/09"/>
    <s v="2022/06/25"/>
    <n v="45"/>
    <n v="77354"/>
    <s v="            "/>
    <n v="100"/>
    <n v="19.8"/>
    <n v="19.8"/>
    <n v="0"/>
    <n v="0"/>
    <n v="120590"/>
    <n v="120590"/>
    <s v="코나(상품성개선) 고성능차 21"/>
    <s v="2022-04"/>
    <s v="단품불량"/>
    <x v="1"/>
    <n v="80000"/>
    <n v="80000"/>
    <n v="48"/>
    <n v="48"/>
    <s v="B28"/>
    <s v="U.S.A"/>
    <x v="4"/>
    <x v="0"/>
    <s v="컨버터"/>
    <s v="카파(KIA)"/>
    <x v="8"/>
    <s v="2026년"/>
    <s v="2분기"/>
  </r>
  <r>
    <x v="1"/>
    <x v="1"/>
    <s v="2026051WW"/>
    <s v="H"/>
    <s v="R151"/>
    <n v="7"/>
    <s v="2026/05"/>
    <s v="B06AA22021260401001"/>
    <s v="KM8KH3ACXPU011193"/>
    <s v="W"/>
    <s v="I3"/>
    <s v="285302GXC0"/>
    <s v="CONVERTER ASSY-W/UP CATALYTIC"/>
    <s v="          "/>
    <s v="[C]CUSTOMER STATES THE VEHICLE WENT INTO LYMPH MODE AND CHECK ENGINE LIGHT IS ON [R]will need Cat and all gaskets ,studs, nuts. While replacing cat find 2 bolts has let go off of turbo and one stripped out turbo,. needs new turbo and all gaskets Re and Re all, rechecked and find all ok now [T]checked for car going into limp mode and mil on checked for dtcs found 1 p132600 updated case with hytech, Case # 424229142 was told to get flight record from cold to warm up and checked data and found reading from 02 sensors indicate internal fault with cat. [L]April 22--repair is completed. Thank you April 9-spoke with shop foreman and he states they tried putting on nuts and welding it turned cherry red and did not budge just keep breaking further in [D]JA- approved as per version 3 am 4/9: Please proceed per version 2 Sam 4/9: Can we machine the bolts out and heli coil?"/>
    <s v="28530R00"/>
    <s v="ZZ5"/>
    <s v="W17"/>
    <s v="2023/03/22"/>
    <s v="2026/03/30"/>
    <s v="2023/11/28"/>
    <n v="29"/>
    <n v="38618"/>
    <s v="            "/>
    <n v="100"/>
    <n v="19.8"/>
    <n v="19.8"/>
    <n v="262136"/>
    <n v="260104"/>
    <n v="0"/>
    <n v="522240"/>
    <s v="코나(상품성개선) 고성능차 21"/>
    <s v="2023-03"/>
    <s v="상품성 불만"/>
    <x v="1"/>
    <n v="40000"/>
    <n v="40000"/>
    <n v="30"/>
    <n v="30"/>
    <s v="B06"/>
    <s v="CANADA"/>
    <x v="4"/>
    <x v="0"/>
    <s v="컨버터"/>
    <s v="카파(KIA)"/>
    <x v="8"/>
    <s v="2026년"/>
    <s v="2분기"/>
  </r>
  <r>
    <x v="1"/>
    <x v="1"/>
    <s v="2026051WW"/>
    <s v="H"/>
    <s v="R151"/>
    <n v="8"/>
    <s v="2026/05"/>
    <s v="D15VCS4004W048743C1"/>
    <s v="KNAE551C2P6138012"/>
    <s v="W"/>
    <s v="J5"/>
    <s v="285303LVL0"/>
    <s v="CONVERTER ASSY-W/UP CAT,RH"/>
    <s v="          "/>
    <s v="[C]Check cluster engine light on [R]Performed replaced catalytic converter bank1 [T]Upon inspection check by kds dtc p042000 catalyst system efficiency below threshold banks found catalyst converter faulty due internal failure"/>
    <s v="28530R3L"/>
    <s v="ZZ3"/>
    <s v="W17"/>
    <s v="2023/04/06"/>
    <s v="2026/01/27"/>
    <s v="2024/02/29"/>
    <n v="23"/>
    <n v="81263"/>
    <s v="            "/>
    <n v="100"/>
    <n v="19.8"/>
    <n v="19.8"/>
    <n v="156473"/>
    <n v="80666"/>
    <n v="0"/>
    <n v="237139"/>
    <s v="CK 17"/>
    <s v="2023-04"/>
    <s v="단품불량"/>
    <x v="1"/>
    <n v="90000"/>
    <n v="85000"/>
    <n v="24"/>
    <n v="24"/>
    <s v="D15"/>
    <s v="SAUDI ARA"/>
    <x v="4"/>
    <x v="0"/>
    <s v="컨버터"/>
    <s v="람다"/>
    <x v="9"/>
    <s v="2026년"/>
    <s v="2분기"/>
  </r>
  <r>
    <x v="2"/>
    <x v="1"/>
    <s v="202605CWW"/>
    <s v="H"/>
    <s v="R151"/>
    <n v="1"/>
    <s v="2026/05"/>
    <s v="B05AM26050202050183"/>
    <s v="9BHCU51AANP335644"/>
    <s v="W"/>
    <s v="GH"/>
    <s v="2851004510"/>
    <s v="MANIFOLD CATALYTIC ASSY-EXHAUST"/>
    <s v="          "/>
    <e v="#N/A"/>
    <s v="28511R5T"/>
    <s v="ZZ4"/>
    <s v="W17"/>
    <s v="2022/06/02"/>
    <s v="2026/05/21"/>
    <s v="2022/06/21"/>
    <n v="48"/>
    <n v="99651"/>
    <s v="            "/>
    <n v="100"/>
    <n v="19.8"/>
    <n v="19.8"/>
    <n v="115916"/>
    <n v="40934"/>
    <n v="0"/>
    <n v="156850"/>
    <s v="BR2 19"/>
    <s v="2022-06"/>
    <s v="재질불량"/>
    <x v="1"/>
    <n v="100000"/>
    <n v="100000"/>
    <n v="54"/>
    <n v="51"/>
    <s v="B05"/>
    <s v="한국"/>
    <x v="4"/>
    <x v="0"/>
    <s v="컨버터"/>
    <s v="카파(HMB)"/>
    <x v="10"/>
    <s v="2026년"/>
    <s v="2분기"/>
  </r>
  <r>
    <x v="2"/>
    <x v="1"/>
    <s v="202605CWW"/>
    <s v="H"/>
    <s v="R151"/>
    <n v="2"/>
    <s v="2026/05"/>
    <s v="B05AM05008202050105"/>
    <s v="9BHCP51AAPP370366"/>
    <s v="W"/>
    <s v="GH"/>
    <s v="2851004510"/>
    <s v="MANIFOLD CATALYTIC ASSY-EXHAUST"/>
    <s v="          "/>
    <e v="#N/A"/>
    <s v="28511R5T"/>
    <s v="ZZ4"/>
    <s v="W17"/>
    <s v="2022/08/29"/>
    <s v="2026/05/14"/>
    <s v="2022/12/23"/>
    <n v="41"/>
    <n v="70698"/>
    <s v="            "/>
    <n v="100"/>
    <n v="19.8"/>
    <n v="19.8"/>
    <n v="125522"/>
    <n v="33666"/>
    <n v="0"/>
    <n v="159188"/>
    <s v="BR2 19"/>
    <s v="2022-08"/>
    <s v="재질불량"/>
    <x v="1"/>
    <n v="80000"/>
    <n v="75000"/>
    <n v="42"/>
    <n v="42"/>
    <s v="B05"/>
    <s v="한국"/>
    <x v="4"/>
    <x v="0"/>
    <s v="컨버터"/>
    <s v="카파(HMB)"/>
    <x v="10"/>
    <s v="2026년"/>
    <s v="2분기"/>
  </r>
  <r>
    <x v="3"/>
    <x v="0"/>
    <s v="2026051WW"/>
    <s v="K"/>
    <s v="R151"/>
    <n v="29"/>
    <s v="2026/05"/>
    <s v="GK18902026W00088100"/>
    <s v="KNACH811BPT369042"/>
    <s v="W"/>
    <s v="A3"/>
    <s v="2853004GJ1"/>
    <s v="CONVERTER ASSY-W/UP CATALYTIC"/>
    <m/>
    <m/>
    <s v="28530RQ0"/>
    <s v="ALL"/>
    <s v="W11"/>
    <s v="20230824"/>
    <s v="20260514"/>
    <s v="20230825"/>
    <n v="33"/>
    <n v="38669"/>
    <m/>
    <n v="100"/>
    <n v="25.44"/>
    <n v="25.44"/>
    <n v="197920"/>
    <n v="36977"/>
    <n v="0"/>
    <n v="234897"/>
    <s v="레이 11"/>
    <s v="2023-08"/>
    <e v="#N/A"/>
    <x v="1"/>
    <n v="40000"/>
    <n v="40000"/>
    <n v="36"/>
    <n v="36"/>
    <s v="GK1"/>
    <s v="한국"/>
    <x v="4"/>
    <x v="0"/>
    <s v="컨버터"/>
    <s v="카파(WIA)"/>
    <x v="11"/>
    <s v="2026년"/>
    <s v="2분기"/>
  </r>
  <r>
    <x v="3"/>
    <x v="0"/>
    <s v="2026051WW"/>
    <s v="K"/>
    <s v="R151"/>
    <n v="30"/>
    <s v="2026/05"/>
    <s v="JK41902026W00174500"/>
    <s v="KNACG811BRT410423"/>
    <s v="W"/>
    <s v="A3"/>
    <s v="2853004GJ1"/>
    <s v="CONVERTER ASSY-W/UP CATALYTIC"/>
    <m/>
    <m/>
    <s v="28530RQ0"/>
    <s v="ALL"/>
    <s v="W11"/>
    <s v="20240925"/>
    <s v="20260512"/>
    <s v="20240927"/>
    <n v="20"/>
    <n v="18580"/>
    <m/>
    <n v="100"/>
    <n v="25.44"/>
    <n v="25.44"/>
    <n v="197860"/>
    <n v="36252"/>
    <n v="0"/>
    <n v="234112"/>
    <s v="레이 11"/>
    <s v="2024-09"/>
    <e v="#N/A"/>
    <x v="1"/>
    <n v="20000"/>
    <n v="20000"/>
    <n v="24"/>
    <n v="21"/>
    <s v="JK4"/>
    <s v="한국"/>
    <x v="4"/>
    <x v="0"/>
    <s v="컨버터"/>
    <s v="카파(WIA)"/>
    <x v="11"/>
    <s v="2026년"/>
    <s v="2분기"/>
  </r>
  <r>
    <x v="3"/>
    <x v="0"/>
    <s v="2026051WW"/>
    <s v="K"/>
    <s v="R151"/>
    <n v="31"/>
    <s v="2026/05"/>
    <s v="EX01302026W00090200"/>
    <s v="KNACG811BTT467508"/>
    <s v="W"/>
    <s v="A3"/>
    <s v="2853004GJ1"/>
    <s v="CONVERTER ASSY-W/UP CATALYTIC"/>
    <m/>
    <m/>
    <s v="00999A0F"/>
    <s v="ALL"/>
    <s v="W11"/>
    <s v="20260212"/>
    <s v="20260508"/>
    <s v="20260220"/>
    <n v="3"/>
    <n v="3667"/>
    <m/>
    <n v="100"/>
    <n v="25.44"/>
    <n v="25.44"/>
    <n v="235091"/>
    <n v="38465"/>
    <n v="0"/>
    <n v="273556"/>
    <s v="레이 11"/>
    <s v="2026-02"/>
    <e v="#N/A"/>
    <x v="1"/>
    <n v="10000"/>
    <n v="5000"/>
    <n v="6"/>
    <n v="6"/>
    <s v="EX0"/>
    <s v="한국"/>
    <x v="4"/>
    <x v="0"/>
    <s v="컨버터"/>
    <s v="카파(WIA)"/>
    <x v="11"/>
    <s v="2026년"/>
    <s v="2분기"/>
  </r>
  <r>
    <x v="3"/>
    <x v="1"/>
    <s v="2026051WW"/>
    <s v="K"/>
    <s v="R151"/>
    <n v="79"/>
    <s v="2026/05"/>
    <s v="A02VE85086260500009"/>
    <s v="KNAB2512MLT593583"/>
    <s v="W"/>
    <s v="G6"/>
    <s v="2851003GA1"/>
    <s v="MANIFOLD CATALYTIC ASSY-EXH"/>
    <m/>
    <m/>
    <s v="28511R1K"/>
    <s v="ZZ3"/>
    <s v="W17"/>
    <s v="20191004"/>
    <s v="20260505"/>
    <s v="20191126"/>
    <n v="78"/>
    <n v="64589"/>
    <m/>
    <n v="100"/>
    <n v="18.18"/>
    <n v="18.18"/>
    <n v="176468"/>
    <n v="55017"/>
    <n v="0"/>
    <n v="231485"/>
    <s v="JA 17"/>
    <s v="2019-10"/>
    <s v="단품불량"/>
    <x v="1"/>
    <n v="70000"/>
    <n v="65000"/>
    <s v="≥60"/>
    <s v="≥60"/>
    <s v="A02"/>
    <s v="AUSTRALIA"/>
    <x v="4"/>
    <x v="0"/>
    <s v="컨버터"/>
    <s v="카파(WIA)"/>
    <x v="11"/>
    <s v="2026년"/>
    <s v="2분기"/>
  </r>
  <r>
    <x v="3"/>
    <x v="1"/>
    <s v="2026051WW"/>
    <s v="K"/>
    <s v="R151"/>
    <n v="80"/>
    <s v="2026/05"/>
    <s v="B08VACL00210463 000"/>
    <s v="KNAB2512ATT339854"/>
    <s v="W"/>
    <s v="G6"/>
    <s v="2851003GB1"/>
    <s v="MANIFOLD CATALYTIC ASSY-EXH"/>
    <m/>
    <m/>
    <s v="28530R1K"/>
    <s v="ZZ3"/>
    <s v="Q75"/>
    <s v="20241214"/>
    <s v="20260202"/>
    <s v="20251230"/>
    <n v="2"/>
    <n v="5323"/>
    <m/>
    <n v="100"/>
    <n v="18.18"/>
    <n v="18.18"/>
    <n v="79945"/>
    <n v="4435"/>
    <n v="0"/>
    <n v="84380"/>
    <s v="JA 17"/>
    <s v="2024-12"/>
    <s v="단품불량"/>
    <x v="3"/>
    <n v="10000"/>
    <n v="10000"/>
    <n v="6"/>
    <n v="3"/>
    <s v="B08"/>
    <s v="COLOMBIA"/>
    <x v="4"/>
    <x v="0"/>
    <s v="컨버터"/>
    <s v="카파(WIA)"/>
    <x v="11"/>
    <s v="2026년"/>
    <s v="2분기"/>
  </r>
  <r>
    <x v="3"/>
    <x v="1"/>
    <s v="2026051WW"/>
    <s v="K"/>
    <s v="R151"/>
    <n v="81"/>
    <s v="2026/05"/>
    <s v="C11VC08934KM2000393"/>
    <s v="KNAB3511AKT497592"/>
    <s v="W"/>
    <s v="G6"/>
    <s v="2853004GG2"/>
    <s v="CONVERTER ASSY-W/UP CATALYTIC"/>
    <m/>
    <m/>
    <s v="28530R1K"/>
    <s v="ZZ3"/>
    <s v="W17"/>
    <s v="20190329"/>
    <s v="20260504"/>
    <s v="20190627"/>
    <n v="83"/>
    <n v="97358"/>
    <m/>
    <n v="100"/>
    <n v="18.18"/>
    <n v="18.18"/>
    <n v="157716"/>
    <n v="11632"/>
    <n v="0"/>
    <n v="169348"/>
    <s v="JA 17"/>
    <s v="2019-03"/>
    <s v="단품불량"/>
    <x v="1"/>
    <n v="100000"/>
    <n v="100000"/>
    <s v="≥60"/>
    <s v="≥60"/>
    <s v="C11"/>
    <s v="ITALY"/>
    <x v="4"/>
    <x v="0"/>
    <s v="컨버터"/>
    <s v="카파(WIA)"/>
    <x v="11"/>
    <s v="2026년"/>
    <s v="2분기"/>
  </r>
  <r>
    <x v="3"/>
    <x v="1"/>
    <s v="2026051WA"/>
    <s v="K"/>
    <s v="R151"/>
    <n v="68"/>
    <s v="2026/05"/>
    <s v="C21VA2211 KM2000171"/>
    <s v="KNAB3518LPT138950"/>
    <s v="W"/>
    <s v="G6"/>
    <s v="2853007031"/>
    <s v="CONVERTER ASSY-W/UP CATALYTIC"/>
    <m/>
    <m/>
    <s v="28530R1K"/>
    <s v="ZZ3"/>
    <s v="W17"/>
    <s v="20230519"/>
    <s v="20260409"/>
    <s v="20230830"/>
    <n v="32"/>
    <n v="42038"/>
    <m/>
    <n v="100"/>
    <n v="18.18"/>
    <n v="18.18"/>
    <n v="64290"/>
    <n v="29823"/>
    <n v="0"/>
    <n v="94113"/>
    <s v="JA 17"/>
    <s v="2023-05"/>
    <s v="단품불량"/>
    <x v="1"/>
    <n v="50000"/>
    <n v="45000"/>
    <n v="36"/>
    <n v="33"/>
    <s v="C21"/>
    <s v="UK"/>
    <x v="4"/>
    <x v="0"/>
    <s v="컨버터"/>
    <s v="카파(WIA)"/>
    <x v="11"/>
    <s v="2026년"/>
    <s v="2분기"/>
  </r>
  <r>
    <x v="3"/>
    <x v="1"/>
    <s v="2026051WA"/>
    <s v="K"/>
    <s v="R151"/>
    <n v="69"/>
    <s v="2026/05"/>
    <s v="C10VB3091 KM2000412"/>
    <s v="KNAB3518YPT207110"/>
    <s v="W"/>
    <s v="G6"/>
    <s v="2853007031"/>
    <s v="CONVERTER ASSY-W/UP CATALYTIC"/>
    <m/>
    <m/>
    <s v="28950R1K"/>
    <s v="ZZ3"/>
    <s v="W17"/>
    <s v="20231207"/>
    <s v="20260331"/>
    <s v="20240322"/>
    <n v="25"/>
    <n v="69286"/>
    <m/>
    <n v="100"/>
    <n v="18.18"/>
    <n v="18.18"/>
    <n v="59219"/>
    <n v="16394"/>
    <n v="0"/>
    <n v="75613"/>
    <s v="JA 17"/>
    <s v="2023-12"/>
    <s v="단품불량"/>
    <x v="1"/>
    <n v="70000"/>
    <n v="70000"/>
    <n v="30"/>
    <n v="27"/>
    <s v="C10"/>
    <s v="IRELAND"/>
    <x v="4"/>
    <x v="0"/>
    <s v="컨버터"/>
    <s v="카파(WIA)"/>
    <x v="11"/>
    <s v="2026년"/>
    <s v="2분기"/>
  </r>
  <r>
    <x v="3"/>
    <x v="1"/>
    <s v="2026051WA"/>
    <s v="K"/>
    <s v="R151"/>
    <n v="70"/>
    <s v="2026/05"/>
    <s v="C07VA2649AKM2000092"/>
    <s v="KNAB3518APT217495"/>
    <s v="W"/>
    <s v="G6"/>
    <s v="2853007031"/>
    <s v="CONVERTER ASSY-W/UP CATALYTIC"/>
    <m/>
    <m/>
    <s v="28530R1K"/>
    <s v="ZZ2"/>
    <s v="W17"/>
    <s v="20240110"/>
    <s v="20260225"/>
    <s v="20240328"/>
    <n v="23"/>
    <n v="25087"/>
    <m/>
    <n v="100"/>
    <n v="18.18"/>
    <n v="18.18"/>
    <n v="63335"/>
    <n v="37409"/>
    <n v="0"/>
    <n v="100744"/>
    <s v="JA 17"/>
    <s v="2024-01"/>
    <s v="파손"/>
    <x v="1"/>
    <n v="30000"/>
    <n v="30000"/>
    <n v="24"/>
    <n v="24"/>
    <s v="C07"/>
    <s v="GERMANY"/>
    <x v="4"/>
    <x v="0"/>
    <s v="컨버터"/>
    <s v="카파(WIA)"/>
    <x v="11"/>
    <s v="2026년"/>
    <s v="2분기"/>
  </r>
  <r>
    <x v="3"/>
    <x v="1"/>
    <s v="2026051WA"/>
    <s v="K"/>
    <s v="R151"/>
    <n v="71"/>
    <s v="2026/05"/>
    <s v="C16VCPG069KM2000232"/>
    <s v="KNAB3518JST255500"/>
    <s v="W"/>
    <s v="G6"/>
    <s v="2853007031"/>
    <s v="CONVERTER ASSY-W/UP CATALYTIC"/>
    <m/>
    <m/>
    <s v="28530R1K"/>
    <s v="ZZ3"/>
    <s v="W17"/>
    <s v="20240426"/>
    <s v="20260323"/>
    <s v="20241008"/>
    <n v="18"/>
    <n v="37944"/>
    <m/>
    <n v="100"/>
    <n v="18.18"/>
    <n v="18.18"/>
    <n v="61491"/>
    <n v="12008"/>
    <n v="0"/>
    <n v="73499"/>
    <s v="JA 17"/>
    <s v="2024-04"/>
    <s v="단품불량"/>
    <x v="1"/>
    <n v="40000"/>
    <n v="40000"/>
    <n v="24"/>
    <n v="21"/>
    <s v="C16"/>
    <s v="PORTUGAL"/>
    <x v="4"/>
    <x v="0"/>
    <s v="컨버터"/>
    <s v="카파(WIA)"/>
    <x v="11"/>
    <s v="2026년"/>
    <s v="2분기"/>
  </r>
  <r>
    <x v="3"/>
    <x v="1"/>
    <s v="2026051WA"/>
    <s v="K"/>
    <s v="R151"/>
    <n v="72"/>
    <s v="2026/05"/>
    <s v="C10VB3086 KM2000411"/>
    <s v="KNAB2518LST368319"/>
    <s v="W"/>
    <s v="G6"/>
    <s v="2853007031"/>
    <s v="CONVERTER ASSY-W/UP CATALYTIC"/>
    <m/>
    <m/>
    <s v="28950R1K"/>
    <s v="ZZ3"/>
    <s v="W11"/>
    <s v="20250310"/>
    <s v="20260327"/>
    <s v="20250820"/>
    <n v="8"/>
    <n v="4249"/>
    <m/>
    <n v="100"/>
    <n v="18.18"/>
    <n v="18.18"/>
    <n v="58678"/>
    <n v="15283"/>
    <n v="0"/>
    <n v="73961"/>
    <s v="JA 17"/>
    <s v="2025-03"/>
    <s v="단품불량"/>
    <x v="1"/>
    <n v="10000"/>
    <n v="5000"/>
    <n v="12"/>
    <n v="9"/>
    <s v="C10"/>
    <s v="IRELAND"/>
    <x v="4"/>
    <x v="0"/>
    <s v="컨버터"/>
    <s v="카파(WIA)"/>
    <x v="11"/>
    <s v="2026년"/>
    <s v="2분기"/>
  </r>
  <r>
    <x v="3"/>
    <x v="1"/>
    <s v="2026051WA"/>
    <s v="K"/>
    <s v="R151"/>
    <n v="73"/>
    <s v="2026/05"/>
    <s v="C07VA2841AKM2000267"/>
    <s v="KNAB351AANT978516"/>
    <s v="W"/>
    <s v="G6"/>
    <s v="2853008220"/>
    <s v="CONVERTER ASSY-W/UP CATALYTIC"/>
    <m/>
    <m/>
    <s v="28530R1K"/>
    <s v="ZZ2"/>
    <s v="I11"/>
    <s v="20220531"/>
    <s v="20260302"/>
    <s v="20220831"/>
    <n v="43"/>
    <n v="48860"/>
    <m/>
    <n v="100"/>
    <n v="18.18"/>
    <n v="18.18"/>
    <n v="210866"/>
    <n v="94324"/>
    <n v="0"/>
    <n v="305190"/>
    <s v="JA 17"/>
    <s v="2022-05"/>
    <s v="파손"/>
    <x v="2"/>
    <n v="50000"/>
    <n v="50000"/>
    <n v="48"/>
    <n v="45"/>
    <s v="C07"/>
    <s v="GERMANY"/>
    <x v="4"/>
    <x v="0"/>
    <s v="컨버터"/>
    <s v="카파(WIA)"/>
    <x v="11"/>
    <s v="2026년"/>
    <s v="2분기"/>
  </r>
  <r>
    <x v="3"/>
    <x v="1"/>
    <s v="2026051WA"/>
    <s v="K"/>
    <s v="R151"/>
    <n v="74"/>
    <s v="2026/05"/>
    <s v="C11VC09249KM2000133"/>
    <s v="KNADA818AN6706409"/>
    <s v="W"/>
    <s v="H8"/>
    <s v="2853008220"/>
    <s v="CONVERTER ASSY-W/UP CATALYTIC"/>
    <m/>
    <m/>
    <s v="28950R4K"/>
    <s v="ZZ3"/>
    <s v="Q55"/>
    <s v="20220525"/>
    <s v="20260310"/>
    <s v="20220822"/>
    <n v="43"/>
    <n v="65417"/>
    <m/>
    <n v="100"/>
    <n v="18.18"/>
    <n v="18.18"/>
    <n v="234997"/>
    <n v="39167"/>
    <n v="0"/>
    <n v="274164"/>
    <s v="YB 17"/>
    <s v="2022-05"/>
    <s v="단품불량"/>
    <x v="3"/>
    <n v="70000"/>
    <n v="70000"/>
    <n v="48"/>
    <n v="45"/>
    <s v="C11"/>
    <s v="ITALY"/>
    <x v="4"/>
    <x v="0"/>
    <s v="컨버터"/>
    <s v="카파(WIA)"/>
    <x v="11"/>
    <s v="2026년"/>
    <s v="2분기"/>
  </r>
  <r>
    <x v="3"/>
    <x v="1"/>
    <s v="2026051WA"/>
    <s v="K"/>
    <s v="R151"/>
    <n v="75"/>
    <s v="2026/05"/>
    <s v="C17VC3A604KM2000266"/>
    <s v="KNADB518AP6855614"/>
    <s v="W"/>
    <s v="H8"/>
    <s v="2853008220"/>
    <s v="CONVERTER ASSY-W/UP CATALYTIC"/>
    <m/>
    <m/>
    <s v="28950R4K"/>
    <s v="ZZ2"/>
    <s v="W17"/>
    <s v="20230524"/>
    <s v="20260116"/>
    <s v="20230831"/>
    <n v="29"/>
    <n v="29117"/>
    <m/>
    <n v="100"/>
    <n v="18.18"/>
    <n v="18.18"/>
    <n v="221554"/>
    <n v="47499"/>
    <n v="0"/>
    <n v="269053"/>
    <s v="YB 17"/>
    <s v="2023-05"/>
    <s v="파손"/>
    <x v="1"/>
    <n v="30000"/>
    <n v="30000"/>
    <n v="30"/>
    <n v="30"/>
    <s v="C17"/>
    <s v="SPAIN"/>
    <x v="4"/>
    <x v="0"/>
    <s v="컨버터"/>
    <s v="카파(WIA)"/>
    <x v="11"/>
    <s v="2026년"/>
    <s v="2분기"/>
  </r>
  <r>
    <x v="3"/>
    <x v="1"/>
    <s v="2026051WA"/>
    <s v="K"/>
    <s v="R151"/>
    <n v="76"/>
    <s v="2026/05"/>
    <s v="C16VCPG079KM2000223"/>
    <s v="KNADA818ART921642"/>
    <s v="W"/>
    <s v="H8"/>
    <s v="2853008220"/>
    <s v="CONVERTER ASSY-W/UP CATALYTIC"/>
    <m/>
    <m/>
    <s v="28950R4K"/>
    <s v="ZZ3"/>
    <s v="W11"/>
    <s v="20230925"/>
    <s v="20260420"/>
    <s v="20231219"/>
    <n v="29"/>
    <n v="60590"/>
    <m/>
    <n v="100"/>
    <n v="18.18"/>
    <n v="18.18"/>
    <n v="219284"/>
    <n v="37744"/>
    <n v="0"/>
    <n v="257028"/>
    <s v="YB 17"/>
    <s v="2023-09"/>
    <s v="단품불량"/>
    <x v="1"/>
    <n v="70000"/>
    <n v="65000"/>
    <n v="30"/>
    <n v="30"/>
    <s v="C16"/>
    <s v="PORTUGAL"/>
    <x v="4"/>
    <x v="0"/>
    <s v="컨버터"/>
    <s v="카파(WIA)"/>
    <x v="11"/>
    <s v="2026년"/>
    <s v="2분기"/>
  </r>
  <r>
    <x v="3"/>
    <x v="1"/>
    <s v="2026051WA"/>
    <s v="K"/>
    <s v="R151"/>
    <n v="77"/>
    <s v="2026/05"/>
    <s v="D19VA00008D870248"/>
    <s v="KNAB351AJMT717648"/>
    <s v="W"/>
    <s v="G6"/>
    <s v="2853008250"/>
    <s v="CONVERTER ASSY-W/UP CATALYTIC"/>
    <m/>
    <m/>
    <s v="28530R1K"/>
    <s v="ZZ3"/>
    <s v="W11"/>
    <s v="20200731"/>
    <s v="20250919"/>
    <s v="20201211"/>
    <n v="58"/>
    <n v="74587"/>
    <m/>
    <n v="100"/>
    <n v="18.18"/>
    <n v="18.18"/>
    <n v="39660"/>
    <n v="2416"/>
    <n v="0"/>
    <n v="42076"/>
    <s v="JA 17"/>
    <s v="2020-07"/>
    <s v="단품불량"/>
    <x v="1"/>
    <n v="80000"/>
    <n v="75000"/>
    <n v="60"/>
    <n v="60"/>
    <s v="D19"/>
    <s v="TUNISIA"/>
    <x v="4"/>
    <x v="0"/>
    <s v="컨버터"/>
    <s v="카파(WIA)"/>
    <x v="11"/>
    <s v="2026년"/>
    <s v="2분기"/>
  </r>
  <r>
    <x v="3"/>
    <x v="1"/>
    <s v="2026051WA"/>
    <s v="K"/>
    <s v="R151"/>
    <n v="78"/>
    <s v="2026/05"/>
    <s v="D19VA00001D1178063"/>
    <s v="KNAB351AJMT747425"/>
    <s v="W"/>
    <s v="G6"/>
    <s v="2853008250"/>
    <s v="CONVERTER ASSY-W/UP CATALYTIC"/>
    <m/>
    <m/>
    <s v="28530R1K"/>
    <s v="ZZ3"/>
    <s v="W11"/>
    <s v="20201027"/>
    <s v="20250724"/>
    <s v="20201216"/>
    <n v="56"/>
    <n v="69445"/>
    <m/>
    <n v="100"/>
    <n v="18.18"/>
    <n v="18.18"/>
    <n v="39660"/>
    <n v="2416"/>
    <n v="0"/>
    <n v="42076"/>
    <s v="JA 17"/>
    <s v="2020-10"/>
    <s v="단품불량"/>
    <x v="1"/>
    <n v="70000"/>
    <n v="70000"/>
    <n v="60"/>
    <n v="57"/>
    <s v="D19"/>
    <s v="TUNISIA"/>
    <x v="4"/>
    <x v="0"/>
    <s v="컨버터"/>
    <s v="카파(WIA)"/>
    <x v="11"/>
    <s v="2026년"/>
    <s v="2분기"/>
  </r>
  <r>
    <x v="3"/>
    <x v="1"/>
    <s v="2026051WA"/>
    <s v="K"/>
    <s v="R151"/>
    <n v="79"/>
    <s v="2026/05"/>
    <s v="D19VA00020D2061155"/>
    <s v="KNAB251AJMT752635"/>
    <s v="W"/>
    <s v="G6"/>
    <s v="2853008250"/>
    <s v="CONVERTER ASSY-W/UP CATALYTIC"/>
    <m/>
    <m/>
    <s v="28950R1K"/>
    <s v="ZZ3"/>
    <s v="W11"/>
    <s v="20201106"/>
    <s v="20251014"/>
    <s v="20210203"/>
    <n v="57"/>
    <n v="89173"/>
    <m/>
    <n v="100"/>
    <n v="18.18"/>
    <n v="18.18"/>
    <n v="39660"/>
    <n v="1074"/>
    <n v="0"/>
    <n v="40734"/>
    <s v="JA 17"/>
    <s v="2020-11"/>
    <s v="단품불량"/>
    <x v="1"/>
    <n v="90000"/>
    <n v="90000"/>
    <n v="60"/>
    <n v="60"/>
    <s v="D19"/>
    <s v="TUNISIA"/>
    <x v="4"/>
    <x v="0"/>
    <s v="컨버터"/>
    <s v="카파(WIA)"/>
    <x v="11"/>
    <s v="2026년"/>
    <s v="2분기"/>
  </r>
  <r>
    <x v="3"/>
    <x v="1"/>
    <s v="2026051WA"/>
    <s v="K"/>
    <s v="R151"/>
    <n v="80"/>
    <s v="2026/05"/>
    <s v="D19VA00017D1721065"/>
    <s v="KNAB351AJMT755482"/>
    <s v="W"/>
    <s v="G6"/>
    <s v="2853008250"/>
    <s v="CONVERTER ASSY-W/UP CATALYTIC"/>
    <m/>
    <m/>
    <s v="28530R1K"/>
    <s v="ZZ3"/>
    <s v="W17"/>
    <s v="20201112"/>
    <s v="20260113"/>
    <s v="20210215"/>
    <n v="59"/>
    <n v="81757"/>
    <m/>
    <n v="100"/>
    <n v="18.18"/>
    <n v="18.18"/>
    <n v="39660"/>
    <n v="2416"/>
    <n v="0"/>
    <n v="42076"/>
    <s v="JA 17"/>
    <s v="2020-11"/>
    <s v="단품불량"/>
    <x v="1"/>
    <n v="90000"/>
    <n v="85000"/>
    <n v="60"/>
    <n v="60"/>
    <s v="D19"/>
    <s v="TUNISIA"/>
    <x v="4"/>
    <x v="0"/>
    <s v="컨버터"/>
    <s v="카파(WIA)"/>
    <x v="11"/>
    <s v="2026년"/>
    <s v="2분기"/>
  </r>
  <r>
    <x v="3"/>
    <x v="1"/>
    <s v="2026051WA"/>
    <s v="K"/>
    <s v="R151"/>
    <n v="81"/>
    <s v="2026/05"/>
    <s v="D19VA00001D1177838"/>
    <s v="KNAB251AAMT819443"/>
    <s v="W"/>
    <s v="G6"/>
    <s v="2853008250"/>
    <s v="CONVERTER ASSY-W/UP CATALYTIC"/>
    <m/>
    <m/>
    <s v="28530R1K"/>
    <s v="ZZ3"/>
    <s v="W11"/>
    <s v="20210429"/>
    <s v="20260419"/>
    <s v="20210727"/>
    <n v="57"/>
    <n v="56723"/>
    <m/>
    <n v="100"/>
    <n v="18.18"/>
    <n v="18.18"/>
    <n v="39660"/>
    <n v="2416"/>
    <n v="0"/>
    <n v="42076"/>
    <s v="JA 17"/>
    <s v="2021-04"/>
    <s v="단품불량"/>
    <x v="1"/>
    <n v="60000"/>
    <n v="60000"/>
    <n v="60"/>
    <n v="60"/>
    <s v="D19"/>
    <s v="TUNISIA"/>
    <x v="4"/>
    <x v="0"/>
    <s v="컨버터"/>
    <s v="카파(WIA)"/>
    <x v="11"/>
    <s v="2026년"/>
    <s v="2분기"/>
  </r>
  <r>
    <x v="3"/>
    <x v="1"/>
    <s v="2026051WA"/>
    <s v="K"/>
    <s v="R151"/>
    <n v="82"/>
    <s v="2026/05"/>
    <s v="D19VA00017D1721276"/>
    <s v="KNAB251AJMT827035"/>
    <s v="W"/>
    <s v="G6"/>
    <s v="2853008250"/>
    <s v="CONVERTER ASSY-W/UP CATALYTIC"/>
    <m/>
    <m/>
    <s v="28530R1K"/>
    <s v="ZZ3"/>
    <s v="W17"/>
    <s v="20210521"/>
    <s v="20251125"/>
    <s v="20210824"/>
    <n v="52"/>
    <n v="96003"/>
    <m/>
    <n v="100"/>
    <n v="18.18"/>
    <n v="18.18"/>
    <n v="39660"/>
    <n v="2416"/>
    <n v="0"/>
    <n v="42076"/>
    <s v="JA 17"/>
    <s v="2021-05"/>
    <s v="단품불량"/>
    <x v="1"/>
    <n v="100000"/>
    <n v="100000"/>
    <n v="54"/>
    <n v="54"/>
    <s v="D19"/>
    <s v="TUNISIA"/>
    <x v="4"/>
    <x v="0"/>
    <s v="컨버터"/>
    <s v="카파(WIA)"/>
    <x v="11"/>
    <s v="2026년"/>
    <s v="2분기"/>
  </r>
  <r>
    <x v="3"/>
    <x v="1"/>
    <s v="2026051WA"/>
    <s v="K"/>
    <s v="R151"/>
    <n v="83"/>
    <s v="2026/05"/>
    <s v="D19VA00017D1718133"/>
    <s v="KNAB351AJNT852131"/>
    <s v="W"/>
    <s v="G6"/>
    <s v="2853008250"/>
    <s v="CONVERTER ASSY-W/UP CATALYTIC"/>
    <m/>
    <m/>
    <s v="28530R1K"/>
    <s v="ZZ3"/>
    <s v="W17"/>
    <s v="20210714"/>
    <s v="20260330"/>
    <s v="20211013"/>
    <n v="54"/>
    <n v="56584"/>
    <m/>
    <n v="100"/>
    <n v="18.18"/>
    <n v="18.18"/>
    <n v="39660"/>
    <n v="2416"/>
    <n v="0"/>
    <n v="42076"/>
    <s v="JA 17"/>
    <s v="2021-07"/>
    <s v="단품불량"/>
    <x v="1"/>
    <n v="60000"/>
    <n v="60000"/>
    <n v="60"/>
    <n v="57"/>
    <s v="D19"/>
    <s v="TUNISIA"/>
    <x v="4"/>
    <x v="0"/>
    <s v="컨버터"/>
    <s v="카파(WIA)"/>
    <x v="11"/>
    <s v="2026년"/>
    <s v="2분기"/>
  </r>
  <r>
    <x v="3"/>
    <x v="1"/>
    <s v="2026051WA"/>
    <s v="K"/>
    <s v="R151"/>
    <n v="84"/>
    <s v="2026/05"/>
    <s v="D19VA00001D1176464"/>
    <s v="KNAB251AANT955882"/>
    <s v="W"/>
    <s v="G6"/>
    <s v="2853008250"/>
    <s v="CONVERTER ASSY-W/UP CATALYTIC"/>
    <m/>
    <m/>
    <s v="28530R1K"/>
    <s v="ZZ3"/>
    <s v="W11"/>
    <s v="20220331"/>
    <s v="20260414"/>
    <s v="20220624"/>
    <n v="46"/>
    <n v="54504"/>
    <m/>
    <n v="100"/>
    <n v="18.18"/>
    <n v="18.18"/>
    <n v="39660"/>
    <n v="2416"/>
    <n v="0"/>
    <n v="42076"/>
    <s v="JA 17"/>
    <s v="2022-03"/>
    <s v="단품불량"/>
    <x v="1"/>
    <n v="60000"/>
    <n v="55000"/>
    <n v="48"/>
    <n v="48"/>
    <s v="D19"/>
    <s v="TUNISIA"/>
    <x v="4"/>
    <x v="0"/>
    <s v="컨버터"/>
    <s v="카파(WIA)"/>
    <x v="11"/>
    <s v="2026년"/>
    <s v="2분기"/>
  </r>
  <r>
    <x v="3"/>
    <x v="1"/>
    <s v="2026051WA"/>
    <s v="K"/>
    <s v="R151"/>
    <n v="85"/>
    <s v="2026/05"/>
    <s v="D19VA00001D1176565"/>
    <s v="KNAB251AANT955878"/>
    <s v="W"/>
    <s v="G6"/>
    <s v="2853008250"/>
    <s v="CONVERTER ASSY-W/UP CATALYTIC"/>
    <m/>
    <m/>
    <s v="28530R1K"/>
    <s v="ZZ3"/>
    <s v="W11"/>
    <s v="20220331"/>
    <s v="20260426"/>
    <s v="20220621"/>
    <n v="47"/>
    <n v="98701"/>
    <m/>
    <n v="100"/>
    <n v="18.18"/>
    <n v="18.18"/>
    <n v="39660"/>
    <n v="2416"/>
    <n v="0"/>
    <n v="42076"/>
    <s v="JA 17"/>
    <s v="2022-03"/>
    <s v="단품불량"/>
    <x v="1"/>
    <n v="100000"/>
    <n v="100000"/>
    <n v="48"/>
    <n v="48"/>
    <s v="D19"/>
    <s v="TUNISIA"/>
    <x v="4"/>
    <x v="0"/>
    <s v="컨버터"/>
    <s v="카파(WIA)"/>
    <x v="11"/>
    <s v="2026년"/>
    <s v="2분기"/>
  </r>
  <r>
    <x v="3"/>
    <x v="1"/>
    <s v="2026051WA"/>
    <s v="K"/>
    <s v="R151"/>
    <n v="86"/>
    <s v="2026/05"/>
    <s v="D19VA00001D1177747"/>
    <s v="KNAB351AJPT023788"/>
    <s v="W"/>
    <s v="G6"/>
    <s v="2853008250"/>
    <s v="CONVERTER ASSY-W/UP CATALYTIC"/>
    <m/>
    <m/>
    <s v="28530R1K"/>
    <s v="ZZ3"/>
    <s v="W11"/>
    <s v="20220921"/>
    <s v="20260417"/>
    <s v="20221206"/>
    <n v="41"/>
    <n v="86149"/>
    <m/>
    <n v="100"/>
    <n v="18.18"/>
    <n v="18.18"/>
    <n v="39660"/>
    <n v="2416"/>
    <n v="0"/>
    <n v="42076"/>
    <s v="JA 17"/>
    <s v="2022-09"/>
    <s v="단품불량"/>
    <x v="1"/>
    <n v="90000"/>
    <n v="90000"/>
    <n v="42"/>
    <n v="42"/>
    <s v="D19"/>
    <s v="TUNISIA"/>
    <x v="4"/>
    <x v="0"/>
    <s v="컨버터"/>
    <s v="카파(WIA)"/>
    <x v="11"/>
    <s v="2026년"/>
    <s v="2분기"/>
  </r>
  <r>
    <x v="3"/>
    <x v="1"/>
    <s v="2026051WA"/>
    <s v="K"/>
    <s v="R151"/>
    <n v="87"/>
    <s v="2026/05"/>
    <s v="D19VA00002D280837"/>
    <s v="KNAB251AAPT135195"/>
    <s v="W"/>
    <s v="G6"/>
    <s v="2853008250"/>
    <s v="CONVERTER ASSY-W/UP CATALYTIC"/>
    <m/>
    <m/>
    <s v="28530R1K"/>
    <s v="ZZ3"/>
    <s v="W11"/>
    <s v="20230512"/>
    <s v="20260323"/>
    <s v="20230719"/>
    <n v="33"/>
    <n v="99907"/>
    <m/>
    <n v="100"/>
    <n v="18.18"/>
    <n v="18.18"/>
    <n v="39660"/>
    <n v="2416"/>
    <n v="0"/>
    <n v="42076"/>
    <s v="JA 17"/>
    <s v="2023-05"/>
    <s v="단품불량"/>
    <x v="1"/>
    <n v="100000"/>
    <n v="100000"/>
    <n v="36"/>
    <n v="36"/>
    <s v="D19"/>
    <s v="TUNISIA"/>
    <x v="4"/>
    <x v="0"/>
    <s v="컨버터"/>
    <s v="카파(WIA)"/>
    <x v="11"/>
    <s v="2026년"/>
    <s v="2분기"/>
  </r>
  <r>
    <x v="3"/>
    <x v="1"/>
    <s v="2026051WA"/>
    <s v="K"/>
    <s v="R151"/>
    <n v="88"/>
    <s v="2026/05"/>
    <s v="D19VA00001D1176597"/>
    <s v="KNAB351AJPT208962"/>
    <s v="W"/>
    <s v="G6"/>
    <s v="2853008250"/>
    <s v="CONVERTER ASSY-W/UP CATALYTIC"/>
    <m/>
    <m/>
    <s v="28530R1K"/>
    <s v="ZZ3"/>
    <s v="W11"/>
    <s v="20231213"/>
    <s v="20260425"/>
    <s v="20240314"/>
    <n v="26"/>
    <n v="51494"/>
    <m/>
    <n v="100"/>
    <n v="18.18"/>
    <n v="18.18"/>
    <n v="39660"/>
    <n v="2416"/>
    <n v="0"/>
    <n v="42076"/>
    <s v="JA 17"/>
    <s v="2023-12"/>
    <s v="단품불량"/>
    <x v="1"/>
    <n v="60000"/>
    <n v="55000"/>
    <n v="30"/>
    <n v="27"/>
    <s v="D19"/>
    <s v="TUNISIA"/>
    <x v="4"/>
    <x v="0"/>
    <s v="컨버터"/>
    <s v="카파(WIA)"/>
    <x v="11"/>
    <s v="2026년"/>
    <s v="2분기"/>
  </r>
  <r>
    <x v="3"/>
    <x v="1"/>
    <s v="2026051WA"/>
    <s v="K"/>
    <s v="R151"/>
    <n v="89"/>
    <s v="2026/05"/>
    <s v="D19VA00001D1176529"/>
    <s v="KNAB251AAST268851"/>
    <s v="W"/>
    <s v="G6"/>
    <s v="2853008250"/>
    <s v="CONVERTER ASSY-W/UP CATALYTIC"/>
    <m/>
    <m/>
    <s v="28530R1K"/>
    <s v="ZZ3"/>
    <s v="W11"/>
    <s v="20240603"/>
    <s v="20260426"/>
    <s v="20240814"/>
    <n v="21"/>
    <n v="69583"/>
    <m/>
    <n v="100"/>
    <n v="18.18"/>
    <n v="18.18"/>
    <n v="39660"/>
    <n v="2416"/>
    <n v="0"/>
    <n v="42076"/>
    <s v="JA 17"/>
    <s v="2024-06"/>
    <s v="단품불량"/>
    <x v="1"/>
    <n v="70000"/>
    <n v="70000"/>
    <n v="24"/>
    <n v="24"/>
    <s v="D19"/>
    <s v="TUNISIA"/>
    <x v="4"/>
    <x v="0"/>
    <s v="컨버터"/>
    <s v="카파(WIA)"/>
    <x v="11"/>
    <s v="2026년"/>
    <s v="2분기"/>
  </r>
  <r>
    <x v="3"/>
    <x v="1"/>
    <s v="2026051WA"/>
    <s v="K"/>
    <s v="R151"/>
    <n v="90"/>
    <s v="2026/05"/>
    <s v="D19VA00001D1176525"/>
    <s v="KNAB251AAST269796"/>
    <s v="W"/>
    <s v="G6"/>
    <s v="2853008250"/>
    <s v="CONVERTER ASSY-W/UP CATALYTIC"/>
    <m/>
    <m/>
    <s v="28530R1K"/>
    <s v="ZZ1"/>
    <s v="W11"/>
    <s v="20240605"/>
    <s v="20260426"/>
    <s v="20240819"/>
    <n v="21"/>
    <n v="43492"/>
    <m/>
    <n v="100"/>
    <n v="18.18"/>
    <n v="18.18"/>
    <n v="39660"/>
    <n v="2416"/>
    <n v="0"/>
    <n v="42076"/>
    <s v="JA 17"/>
    <s v="2024-06"/>
    <s v="설계문제"/>
    <x v="1"/>
    <n v="50000"/>
    <n v="45000"/>
    <n v="24"/>
    <n v="24"/>
    <s v="D19"/>
    <s v="TUNISIA"/>
    <x v="4"/>
    <x v="0"/>
    <s v="컨버터"/>
    <s v="카파(WIA)"/>
    <x v="11"/>
    <s v="2026년"/>
    <s v="2분기"/>
  </r>
  <r>
    <x v="3"/>
    <x v="1"/>
    <s v="2026051WA"/>
    <s v="K"/>
    <s v="R151"/>
    <n v="91"/>
    <s v="2026/05"/>
    <s v="D19VA00001D1170213"/>
    <s v="KNAB251AAST306621"/>
    <s v="W"/>
    <s v="G6"/>
    <s v="2853008250"/>
    <s v="CONVERTER ASSY-W/UP CATALYTIC"/>
    <m/>
    <m/>
    <s v="28530R1K"/>
    <s v="ZZ3"/>
    <s v="W11"/>
    <s v="20240924"/>
    <s v="20260401"/>
    <s v="20241127"/>
    <n v="17"/>
    <n v="70085"/>
    <m/>
    <n v="100"/>
    <n v="18.18"/>
    <n v="18.18"/>
    <n v="39660"/>
    <n v="2416"/>
    <n v="0"/>
    <n v="42076"/>
    <s v="JA 17"/>
    <s v="2024-09"/>
    <s v="단품불량"/>
    <x v="1"/>
    <n v="80000"/>
    <n v="75000"/>
    <n v="18"/>
    <n v="18"/>
    <s v="D19"/>
    <s v="TUNISIA"/>
    <x v="4"/>
    <x v="0"/>
    <s v="컨버터"/>
    <s v="카파(WIA)"/>
    <x v="11"/>
    <s v="2026년"/>
    <s v="2분기"/>
  </r>
  <r>
    <x v="3"/>
    <x v="1"/>
    <s v="2026051WA"/>
    <s v="K"/>
    <s v="R151"/>
    <n v="92"/>
    <s v="2026/05"/>
    <s v="D19VA00001D1176485"/>
    <s v="KNADC518AM6475143"/>
    <s v="W"/>
    <s v="H8"/>
    <s v="2853008250"/>
    <s v="CONVERTER ASSY-W/UP CATALYTIC"/>
    <m/>
    <m/>
    <s v="28530R1K"/>
    <s v="ZZ3"/>
    <s v="W11"/>
    <s v="20200811"/>
    <s v="20250723"/>
    <s v="20201127"/>
    <n v="56"/>
    <n v="80335"/>
    <m/>
    <n v="100"/>
    <n v="18.18"/>
    <n v="18.18"/>
    <n v="39660"/>
    <n v="3488"/>
    <n v="0"/>
    <n v="43148"/>
    <s v="YB 17"/>
    <s v="2020-08"/>
    <s v="단품불량"/>
    <x v="1"/>
    <n v="90000"/>
    <n v="85000"/>
    <n v="60"/>
    <n v="57"/>
    <s v="D19"/>
    <s v="TUNISIA"/>
    <x v="4"/>
    <x v="0"/>
    <s v="컨버터"/>
    <s v="카파(WIA)"/>
    <x v="11"/>
    <s v="2026년"/>
    <s v="2분기"/>
  </r>
  <r>
    <x v="3"/>
    <x v="1"/>
    <s v="2026051WA"/>
    <s v="K"/>
    <s v="R151"/>
    <n v="93"/>
    <s v="2026/05"/>
    <s v="D19VA00001D1172804"/>
    <s v="KNADE518AM6525279"/>
    <s v="W"/>
    <s v="H8"/>
    <s v="2853008250"/>
    <s v="CONVERTER ASSY-W/UP CATALYTIC"/>
    <m/>
    <m/>
    <s v="28530R1K"/>
    <s v="ZZ3"/>
    <s v="W11"/>
    <s v="20210106"/>
    <s v="20250625"/>
    <s v="20210303"/>
    <n v="52"/>
    <n v="79514"/>
    <m/>
    <n v="100"/>
    <n v="18.18"/>
    <n v="18.18"/>
    <n v="39660"/>
    <n v="3488"/>
    <n v="0"/>
    <n v="43148"/>
    <s v="YB 17"/>
    <s v="2021-01"/>
    <s v="단품불량"/>
    <x v="1"/>
    <n v="80000"/>
    <n v="80000"/>
    <n v="54"/>
    <n v="54"/>
    <s v="D19"/>
    <s v="TUNISIA"/>
    <x v="4"/>
    <x v="0"/>
    <s v="컨버터"/>
    <s v="카파(WIA)"/>
    <x v="11"/>
    <s v="2026년"/>
    <s v="2분기"/>
  </r>
  <r>
    <x v="3"/>
    <x v="1"/>
    <s v="2026051WA"/>
    <s v="K"/>
    <s v="R151"/>
    <n v="94"/>
    <s v="2026/05"/>
    <s v="D19VA00008D868619"/>
    <s v="KNADC518AM6533521"/>
    <s v="W"/>
    <s v="H8"/>
    <s v="2853008250"/>
    <s v="CONVERTER ASSY-W/UP CATALYTIC"/>
    <m/>
    <m/>
    <s v="28530R1K"/>
    <s v="ZZ3"/>
    <s v="W11"/>
    <s v="20210126"/>
    <s v="20260330"/>
    <s v="20210331"/>
    <n v="60"/>
    <n v="55516"/>
    <m/>
    <n v="100"/>
    <n v="18.18"/>
    <n v="18.18"/>
    <n v="39660"/>
    <n v="3488"/>
    <n v="0"/>
    <n v="43148"/>
    <s v="YB 17"/>
    <s v="2021-01"/>
    <s v="단품불량"/>
    <x v="1"/>
    <n v="60000"/>
    <n v="60000"/>
    <s v="≥60"/>
    <s v="≥60"/>
    <s v="D19"/>
    <s v="TUNISIA"/>
    <x v="4"/>
    <x v="0"/>
    <s v="컨버터"/>
    <s v="카파(WIA)"/>
    <x v="11"/>
    <s v="2026년"/>
    <s v="2분기"/>
  </r>
  <r>
    <x v="3"/>
    <x v="1"/>
    <s v="2026051WA"/>
    <s v="K"/>
    <s v="R151"/>
    <n v="95"/>
    <s v="2026/05"/>
    <s v="D19VA00011D1116696"/>
    <s v="KNADC518AM6534689"/>
    <s v="W"/>
    <s v="H8"/>
    <s v="2853008250"/>
    <s v="CONVERTER ASSY-W/UP CATALYTIC"/>
    <m/>
    <m/>
    <s v="28530R1K"/>
    <s v="ZZ3"/>
    <s v="W11"/>
    <s v="20210128"/>
    <s v="20260116"/>
    <s v="20210518"/>
    <n v="56"/>
    <n v="75279"/>
    <m/>
    <n v="100"/>
    <n v="18.18"/>
    <n v="18.18"/>
    <n v="39660"/>
    <n v="3488"/>
    <n v="0"/>
    <n v="43148"/>
    <s v="YB 17"/>
    <s v="2021-01"/>
    <s v="단품불량"/>
    <x v="1"/>
    <n v="80000"/>
    <n v="80000"/>
    <n v="60"/>
    <n v="57"/>
    <s v="D19"/>
    <s v="TUNISIA"/>
    <x v="4"/>
    <x v="0"/>
    <s v="컨버터"/>
    <s v="카파(WIA)"/>
    <x v="11"/>
    <s v="2026년"/>
    <s v="2분기"/>
  </r>
  <r>
    <x v="3"/>
    <x v="1"/>
    <s v="2026051WA"/>
    <s v="K"/>
    <s v="R151"/>
    <n v="96"/>
    <s v="2026/05"/>
    <s v="D19VA00002D27751000"/>
    <s v="KNADC518AM6552783"/>
    <s v="W"/>
    <s v="H8"/>
    <s v="2853008250"/>
    <s v="CONVERTER ASSY-W/UP CATALYTIC"/>
    <m/>
    <m/>
    <s v="28530R1K"/>
    <s v="ZZ3"/>
    <s v="W17"/>
    <s v="20210313"/>
    <s v="20251218"/>
    <s v="20210603"/>
    <n v="55"/>
    <n v="84091"/>
    <m/>
    <n v="100"/>
    <n v="18.18"/>
    <n v="18.18"/>
    <n v="39660"/>
    <n v="3488"/>
    <n v="0"/>
    <n v="43148"/>
    <s v="YB 17"/>
    <s v="2021-03"/>
    <s v="단품불량"/>
    <x v="1"/>
    <n v="90000"/>
    <n v="85000"/>
    <n v="60"/>
    <n v="57"/>
    <s v="D19"/>
    <s v="TUNISIA"/>
    <x v="4"/>
    <x v="0"/>
    <s v="컨버터"/>
    <s v="카파(WIA)"/>
    <x v="11"/>
    <s v="2026년"/>
    <s v="2분기"/>
  </r>
  <r>
    <x v="3"/>
    <x v="1"/>
    <s v="2026051WA"/>
    <s v="K"/>
    <s v="R151"/>
    <n v="97"/>
    <s v="2026/05"/>
    <s v="D19VA00011D1118004"/>
    <s v="KNADE518AN6621961"/>
    <s v="W"/>
    <s v="H8"/>
    <s v="2853008250"/>
    <s v="CONVERTER ASSY-W/UP CATALYTIC"/>
    <m/>
    <m/>
    <s v="28530R1K"/>
    <s v="ZZ3"/>
    <s v="W11"/>
    <s v="20210928"/>
    <s v="20250721"/>
    <s v="20211209"/>
    <n v="44"/>
    <n v="90770"/>
    <m/>
    <n v="100"/>
    <n v="18.18"/>
    <n v="18.18"/>
    <n v="39660"/>
    <n v="3488"/>
    <n v="0"/>
    <n v="43148"/>
    <s v="YB 17"/>
    <s v="2021-09"/>
    <s v="단품불량"/>
    <x v="1"/>
    <n v="100000"/>
    <n v="95000"/>
    <n v="48"/>
    <n v="45"/>
    <s v="D19"/>
    <s v="TUNISIA"/>
    <x v="4"/>
    <x v="0"/>
    <s v="컨버터"/>
    <s v="카파(WIA)"/>
    <x v="11"/>
    <s v="2026년"/>
    <s v="2분기"/>
  </r>
  <r>
    <x v="3"/>
    <x v="1"/>
    <s v="2026051WA"/>
    <s v="K"/>
    <s v="R151"/>
    <n v="98"/>
    <s v="2026/05"/>
    <s v="D19VA00001D1178040"/>
    <s v="KNADC518AN6632748"/>
    <s v="W"/>
    <s v="H8"/>
    <s v="2853008250"/>
    <s v="CONVERTER ASSY-W/UP CATALYTIC"/>
    <m/>
    <m/>
    <s v="28530R1K"/>
    <s v="ZZ3"/>
    <s v="W11"/>
    <s v="20211110"/>
    <s v="20260418"/>
    <s v="20220104"/>
    <n v="52"/>
    <n v="98185"/>
    <m/>
    <n v="100"/>
    <n v="18.18"/>
    <n v="18.18"/>
    <n v="39660"/>
    <n v="3488"/>
    <n v="0"/>
    <n v="43148"/>
    <s v="YB 17"/>
    <s v="2021-11"/>
    <s v="단품불량"/>
    <x v="1"/>
    <n v="100000"/>
    <n v="100000"/>
    <n v="54"/>
    <n v="54"/>
    <s v="D19"/>
    <s v="TUNISIA"/>
    <x v="4"/>
    <x v="0"/>
    <s v="컨버터"/>
    <s v="카파(WIA)"/>
    <x v="11"/>
    <s v="2026년"/>
    <s v="2분기"/>
  </r>
  <r>
    <x v="3"/>
    <x v="1"/>
    <s v="2026051WA"/>
    <s v="K"/>
    <s v="R151"/>
    <n v="99"/>
    <s v="2026/05"/>
    <s v="D19VA00001D1176353"/>
    <s v="KNADE518AN6670458"/>
    <s v="W"/>
    <s v="H8"/>
    <s v="2853008250"/>
    <s v="CONVERTER ASSY-W/UP CATALYTIC"/>
    <m/>
    <m/>
    <s v="28530R1K"/>
    <s v="ZZ3"/>
    <s v="W11"/>
    <s v="20220224"/>
    <s v="20260420"/>
    <s v="20220427"/>
    <n v="48"/>
    <n v="74613"/>
    <m/>
    <n v="100"/>
    <n v="18.18"/>
    <n v="18.18"/>
    <n v="39660"/>
    <n v="3488"/>
    <n v="0"/>
    <n v="43148"/>
    <s v="YB 17"/>
    <s v="2022-02"/>
    <s v="단품불량"/>
    <x v="1"/>
    <n v="80000"/>
    <n v="75000"/>
    <n v="54"/>
    <n v="51"/>
    <s v="D19"/>
    <s v="TUNISIA"/>
    <x v="4"/>
    <x v="0"/>
    <s v="컨버터"/>
    <s v="카파(WIA)"/>
    <x v="11"/>
    <s v="2026년"/>
    <s v="2분기"/>
  </r>
  <r>
    <x v="3"/>
    <x v="1"/>
    <s v="2026051WA"/>
    <s v="K"/>
    <s v="R151"/>
    <n v="100"/>
    <s v="2026/05"/>
    <s v="D19VA00020D2060950"/>
    <s v="KNADC518AN6674917"/>
    <s v="W"/>
    <s v="H8"/>
    <s v="2853008250"/>
    <s v="CONVERTER ASSY-W/UP CATALYTIC"/>
    <m/>
    <m/>
    <s v="28530R1K"/>
    <s v="ZZ3"/>
    <s v="W11"/>
    <s v="20220308"/>
    <s v="20251112"/>
    <s v="20220519"/>
    <n v="42"/>
    <n v="86022"/>
    <m/>
    <n v="100"/>
    <n v="18.18"/>
    <n v="18.18"/>
    <n v="39660"/>
    <n v="3488"/>
    <n v="0"/>
    <n v="43148"/>
    <s v="YB 17"/>
    <s v="2022-03"/>
    <s v="단품불량"/>
    <x v="1"/>
    <n v="90000"/>
    <n v="90000"/>
    <n v="48"/>
    <n v="45"/>
    <s v="D19"/>
    <s v="TUNISIA"/>
    <x v="4"/>
    <x v="0"/>
    <s v="컨버터"/>
    <s v="카파(WIA)"/>
    <x v="11"/>
    <s v="2026년"/>
    <s v="2분기"/>
  </r>
  <r>
    <x v="3"/>
    <x v="1"/>
    <s v="2026051WA"/>
    <s v="K"/>
    <s v="R151"/>
    <n v="101"/>
    <s v="2026/05"/>
    <s v="D19VA00008D868545"/>
    <s v="KNADC518AN6722252"/>
    <s v="W"/>
    <s v="H8"/>
    <s v="2853008250"/>
    <s v="CONVERTER ASSY-W/UP CATALYTIC"/>
    <m/>
    <m/>
    <s v="28530R1K"/>
    <s v="ZZ3"/>
    <s v="W11"/>
    <s v="20220701"/>
    <s v="20250526"/>
    <s v="20220824"/>
    <n v="34"/>
    <n v="90450"/>
    <m/>
    <n v="100"/>
    <n v="18.18"/>
    <n v="18.18"/>
    <n v="39660"/>
    <n v="3488"/>
    <n v="0"/>
    <n v="43148"/>
    <s v="YB 17"/>
    <s v="2022-07"/>
    <s v="단품불량"/>
    <x v="1"/>
    <n v="100000"/>
    <n v="95000"/>
    <n v="36"/>
    <n v="36"/>
    <s v="D19"/>
    <s v="TUNISIA"/>
    <x v="4"/>
    <x v="0"/>
    <s v="컨버터"/>
    <s v="카파(WIA)"/>
    <x v="11"/>
    <s v="2026년"/>
    <s v="2분기"/>
  </r>
  <r>
    <x v="3"/>
    <x v="1"/>
    <s v="2026051WA"/>
    <s v="K"/>
    <s v="R151"/>
    <n v="102"/>
    <s v="2026/05"/>
    <s v="D19VA00001D1176570"/>
    <s v="KNADC518AN6722810"/>
    <s v="W"/>
    <s v="H8"/>
    <s v="2853008250"/>
    <s v="CONVERTER ASSY-W/UP CATALYTIC"/>
    <m/>
    <m/>
    <s v="28530R1K"/>
    <s v="ZZ3"/>
    <s v="W11"/>
    <s v="20220725"/>
    <s v="20260425"/>
    <s v="20221115"/>
    <n v="42"/>
    <n v="86526"/>
    <m/>
    <n v="100"/>
    <n v="18.18"/>
    <n v="18.18"/>
    <n v="39660"/>
    <n v="3488"/>
    <n v="0"/>
    <n v="43148"/>
    <s v="YB 17"/>
    <s v="2022-07"/>
    <s v="단품불량"/>
    <x v="1"/>
    <n v="90000"/>
    <n v="90000"/>
    <n v="48"/>
    <n v="45"/>
    <s v="D19"/>
    <s v="TUNISIA"/>
    <x v="4"/>
    <x v="0"/>
    <s v="컨버터"/>
    <s v="카파(WIA)"/>
    <x v="11"/>
    <s v="2026년"/>
    <s v="2분기"/>
  </r>
  <r>
    <x v="3"/>
    <x v="1"/>
    <s v="2026051WA"/>
    <s v="K"/>
    <s v="R151"/>
    <n v="103"/>
    <s v="2026/05"/>
    <s v="D19VA00001D1176586"/>
    <s v="KNADC518AN6738463"/>
    <s v="W"/>
    <s v="H8"/>
    <s v="2853008250"/>
    <s v="CONVERTER ASSY-W/UP CATALYTIC"/>
    <m/>
    <m/>
    <s v="28530R1K"/>
    <s v="ZZ3"/>
    <s v="W11"/>
    <s v="20220817"/>
    <s v="20260417"/>
    <s v="20221026"/>
    <n v="42"/>
    <n v="75770"/>
    <m/>
    <n v="100"/>
    <n v="18.18"/>
    <n v="18.18"/>
    <n v="39660"/>
    <n v="3488"/>
    <n v="0"/>
    <n v="43148"/>
    <s v="YB 17"/>
    <s v="2022-08"/>
    <s v="단품불량"/>
    <x v="1"/>
    <n v="80000"/>
    <n v="80000"/>
    <n v="48"/>
    <n v="45"/>
    <s v="D19"/>
    <s v="TUNISIA"/>
    <x v="4"/>
    <x v="0"/>
    <s v="컨버터"/>
    <s v="카파(WIA)"/>
    <x v="11"/>
    <s v="2026년"/>
    <s v="2분기"/>
  </r>
  <r>
    <x v="3"/>
    <x v="1"/>
    <s v="2026051WA"/>
    <s v="K"/>
    <s v="R151"/>
    <n v="104"/>
    <s v="2026/05"/>
    <s v="D19VA00017D1719846"/>
    <s v="KNADE518AN6747320"/>
    <s v="W"/>
    <s v="H8"/>
    <s v="2853008250"/>
    <s v="CONVERTER ASSY-W/UP CATALYTIC"/>
    <m/>
    <m/>
    <s v="28530R1K"/>
    <s v="ZZ3"/>
    <s v="W17"/>
    <s v="20220908"/>
    <s v="20251129"/>
    <s v="20221201"/>
    <n v="36"/>
    <n v="98427"/>
    <m/>
    <n v="100"/>
    <n v="18.18"/>
    <n v="18.18"/>
    <n v="39660"/>
    <n v="3488"/>
    <n v="0"/>
    <n v="43148"/>
    <s v="YB 17"/>
    <s v="2022-09"/>
    <s v="단품불량"/>
    <x v="1"/>
    <n v="100000"/>
    <n v="100000"/>
    <n v="42"/>
    <n v="39"/>
    <s v="D19"/>
    <s v="TUNISIA"/>
    <x v="4"/>
    <x v="0"/>
    <s v="컨버터"/>
    <s v="카파(WIA)"/>
    <x v="11"/>
    <s v="2026년"/>
    <s v="2분기"/>
  </r>
  <r>
    <x v="3"/>
    <x v="1"/>
    <s v="2026051WA"/>
    <s v="K"/>
    <s v="R151"/>
    <n v="105"/>
    <s v="2026/05"/>
    <s v="D19VA00001D1176534"/>
    <s v="KNADC518AN6749890"/>
    <s v="W"/>
    <s v="H8"/>
    <s v="2853008250"/>
    <s v="CONVERTER ASSY-W/UP CATALYTIC"/>
    <m/>
    <m/>
    <s v="28530R1K"/>
    <s v="ZZ3"/>
    <s v="W11"/>
    <s v="20220919"/>
    <s v="20260426"/>
    <s v="20221109"/>
    <n v="42"/>
    <n v="84889"/>
    <m/>
    <n v="100"/>
    <n v="18.18"/>
    <n v="18.18"/>
    <n v="39660"/>
    <n v="3488"/>
    <n v="0"/>
    <n v="43148"/>
    <s v="YB 17"/>
    <s v="2022-09"/>
    <s v="단품불량"/>
    <x v="1"/>
    <n v="90000"/>
    <n v="85000"/>
    <n v="48"/>
    <n v="45"/>
    <s v="D19"/>
    <s v="TUNISIA"/>
    <x v="4"/>
    <x v="0"/>
    <s v="컨버터"/>
    <s v="카파(WIA)"/>
    <x v="11"/>
    <s v="2026년"/>
    <s v="2분기"/>
  </r>
  <r>
    <x v="3"/>
    <x v="1"/>
    <s v="2026051WA"/>
    <s v="K"/>
    <s v="R151"/>
    <n v="106"/>
    <s v="2026/05"/>
    <s v="D19VA00001D1178178"/>
    <s v="KNADC518AN6758420"/>
    <s v="W"/>
    <s v="H8"/>
    <s v="2853008250"/>
    <s v="CONVERTER ASSY-W/UP CATALYTIC"/>
    <m/>
    <m/>
    <s v="28530R1K"/>
    <s v="ZZ3"/>
    <s v="W11"/>
    <s v="20221012"/>
    <s v="20260425"/>
    <s v="20230110"/>
    <n v="40"/>
    <n v="95173"/>
    <m/>
    <n v="100"/>
    <n v="18.18"/>
    <n v="18.18"/>
    <n v="39660"/>
    <n v="3488"/>
    <n v="0"/>
    <n v="43148"/>
    <s v="YB 17"/>
    <s v="2022-10"/>
    <s v="단품불량"/>
    <x v="1"/>
    <n v="100000"/>
    <n v="100000"/>
    <n v="42"/>
    <n v="42"/>
    <s v="D19"/>
    <s v="TUNISIA"/>
    <x v="4"/>
    <x v="0"/>
    <s v="컨버터"/>
    <s v="카파(WIA)"/>
    <x v="11"/>
    <s v="2026년"/>
    <s v="2분기"/>
  </r>
  <r>
    <x v="3"/>
    <x v="1"/>
    <s v="2026051WA"/>
    <s v="K"/>
    <s v="R151"/>
    <n v="107"/>
    <s v="2026/05"/>
    <s v="D19VA00001D1178385"/>
    <s v="KNADC518AN6758416"/>
    <s v="W"/>
    <s v="H8"/>
    <s v="2853008250"/>
    <s v="CONVERTER ASSY-W/UP CATALYTIC"/>
    <m/>
    <m/>
    <s v="28530R1K"/>
    <s v="ZZ3"/>
    <s v="W11"/>
    <s v="20221012"/>
    <s v="20260425"/>
    <s v="20230111"/>
    <n v="40"/>
    <n v="42718"/>
    <m/>
    <n v="100"/>
    <n v="18.18"/>
    <n v="18.18"/>
    <n v="39660"/>
    <n v="3488"/>
    <n v="0"/>
    <n v="43148"/>
    <s v="YB 17"/>
    <s v="2022-10"/>
    <s v="단품불량"/>
    <x v="1"/>
    <n v="50000"/>
    <n v="45000"/>
    <n v="42"/>
    <n v="42"/>
    <s v="D19"/>
    <s v="TUNISIA"/>
    <x v="4"/>
    <x v="0"/>
    <s v="컨버터"/>
    <s v="카파(WIA)"/>
    <x v="11"/>
    <s v="2026년"/>
    <s v="2분기"/>
  </r>
  <r>
    <x v="3"/>
    <x v="1"/>
    <s v="2026051WA"/>
    <s v="K"/>
    <s v="R151"/>
    <n v="108"/>
    <s v="2026/05"/>
    <s v="D19VA00020D2061290"/>
    <s v="KNADE518AN6759644"/>
    <s v="W"/>
    <s v="H8"/>
    <s v="2853008250"/>
    <s v="CONVERTER ASSY-W/UP CATALYTIC"/>
    <m/>
    <m/>
    <s v="28950R1K"/>
    <s v="ZZ3"/>
    <s v="W11"/>
    <s v="20221014"/>
    <s v="20260417"/>
    <s v="20230102"/>
    <n v="40"/>
    <n v="44331"/>
    <m/>
    <n v="100"/>
    <n v="18.18"/>
    <n v="18.18"/>
    <n v="39660"/>
    <n v="1074"/>
    <n v="0"/>
    <n v="40734"/>
    <s v="YB 17"/>
    <s v="2022-10"/>
    <s v="단품불량"/>
    <x v="1"/>
    <n v="50000"/>
    <n v="45000"/>
    <n v="42"/>
    <n v="42"/>
    <s v="D19"/>
    <s v="TUNISIA"/>
    <x v="4"/>
    <x v="0"/>
    <s v="컨버터"/>
    <s v="카파(WIA)"/>
    <x v="11"/>
    <s v="2026년"/>
    <s v="2분기"/>
  </r>
  <r>
    <x v="3"/>
    <x v="1"/>
    <s v="2026051WA"/>
    <s v="K"/>
    <s v="R151"/>
    <n v="109"/>
    <s v="2026/05"/>
    <s v="D19VA00003D368554"/>
    <s v="KNADE518AN6775472"/>
    <s v="W"/>
    <s v="H8"/>
    <s v="2853008250"/>
    <s v="CONVERTER ASSY-W/UP CATALYTIC"/>
    <m/>
    <m/>
    <s v="28950R1K"/>
    <s v="ZZ3"/>
    <s v="W11"/>
    <s v="20221122"/>
    <s v="20260408"/>
    <s v="20230208"/>
    <n v="39"/>
    <n v="60324"/>
    <m/>
    <n v="100"/>
    <n v="18.18"/>
    <n v="18.18"/>
    <n v="39660"/>
    <n v="1074"/>
    <n v="0"/>
    <n v="40734"/>
    <s v="YB 17"/>
    <s v="2022-11"/>
    <s v="단품불량"/>
    <x v="1"/>
    <n v="70000"/>
    <n v="65000"/>
    <n v="42"/>
    <n v="42"/>
    <s v="D19"/>
    <s v="TUNISIA"/>
    <x v="4"/>
    <x v="0"/>
    <s v="컨버터"/>
    <s v="카파(WIA)"/>
    <x v="11"/>
    <s v="2026년"/>
    <s v="2분기"/>
  </r>
  <r>
    <x v="3"/>
    <x v="1"/>
    <s v="2026051WA"/>
    <s v="K"/>
    <s v="R151"/>
    <n v="110"/>
    <s v="2026/05"/>
    <s v="D19VA00001D1178016"/>
    <s v="KNADC518AP6781189"/>
    <s v="W"/>
    <s v="H8"/>
    <s v="2853008250"/>
    <s v="CONVERTER ASSY-W/UP CATALYTIC"/>
    <m/>
    <m/>
    <s v="28530R1K"/>
    <s v="ZZ3"/>
    <s v="W11"/>
    <s v="20221206"/>
    <s v="20260418"/>
    <s v="20230428"/>
    <n v="36"/>
    <n v="96323"/>
    <m/>
    <n v="100"/>
    <n v="18.18"/>
    <n v="18.18"/>
    <n v="39660"/>
    <n v="3488"/>
    <n v="0"/>
    <n v="43148"/>
    <s v="YB 17"/>
    <s v="2022-12"/>
    <s v="단품불량"/>
    <x v="1"/>
    <n v="100000"/>
    <n v="100000"/>
    <n v="42"/>
    <n v="39"/>
    <s v="D19"/>
    <s v="TUNISIA"/>
    <x v="4"/>
    <x v="0"/>
    <s v="컨버터"/>
    <s v="카파(WIA)"/>
    <x v="11"/>
    <s v="2026년"/>
    <s v="2분기"/>
  </r>
  <r>
    <x v="3"/>
    <x v="1"/>
    <s v="2026051WA"/>
    <s v="K"/>
    <s v="R151"/>
    <n v="111"/>
    <s v="2026/05"/>
    <s v="D19VA00001D1176490"/>
    <s v="KNADC518AP6803346"/>
    <s v="W"/>
    <s v="H8"/>
    <s v="2853008250"/>
    <s v="CONVERTER ASSY-W/UP CATALYTIC"/>
    <m/>
    <m/>
    <s v="28530R1K"/>
    <s v="ZZ3"/>
    <s v="W11"/>
    <s v="20230130"/>
    <s v="20260428"/>
    <s v="20230417"/>
    <n v="37"/>
    <n v="68126"/>
    <m/>
    <n v="100"/>
    <n v="18.18"/>
    <n v="18.18"/>
    <n v="39660"/>
    <n v="3488"/>
    <n v="0"/>
    <n v="43148"/>
    <s v="YB 17"/>
    <s v="2023-01"/>
    <s v="단품불량"/>
    <x v="1"/>
    <n v="70000"/>
    <n v="70000"/>
    <n v="42"/>
    <n v="39"/>
    <s v="D19"/>
    <s v="TUNISIA"/>
    <x v="4"/>
    <x v="0"/>
    <s v="컨버터"/>
    <s v="카파(WIA)"/>
    <x v="11"/>
    <s v="2026년"/>
    <s v="2분기"/>
  </r>
  <r>
    <x v="0"/>
    <x v="0"/>
    <s v="2026061WW"/>
    <s v="K"/>
    <s v="R151"/>
    <n v="1"/>
    <s v="2026/06"/>
    <s v="MX02502026W00029400"/>
    <s v="KNACP81EGVA383934"/>
    <s v="W"/>
    <s v="0T"/>
    <s v="2853008520"/>
    <s v="CONVERTER ASSY-W/UP CATALYTIC"/>
    <s v="          "/>
    <e v="#N/A"/>
    <s v="28530RQ0"/>
    <m/>
    <s v="W17"/>
    <s v="2026/05/22"/>
    <s v="2026/06/23"/>
    <s v="2026/06/05"/>
    <n v="1"/>
    <n v="326"/>
    <s v="            "/>
    <n v="100"/>
    <n v="25.44"/>
    <n v="25.44"/>
    <n v="92665"/>
    <n v="18698"/>
    <n v="0"/>
    <n v="111363"/>
    <s v="SG2 (니로 후속) 21"/>
    <s v="2026-05"/>
    <e v="#N/A"/>
    <x v="1"/>
    <n v="10000"/>
    <n v="5000"/>
    <n v="6"/>
    <n v="3"/>
    <s v="MX0"/>
    <s v="한국"/>
    <x v="4"/>
    <x v="1"/>
    <s v="컨버터"/>
    <s v="카파(KIA)"/>
    <x v="8"/>
    <s v="2026년"/>
    <s v="2분기"/>
  </r>
  <r>
    <x v="0"/>
    <x v="0"/>
    <s v="2026061WW"/>
    <s v="K"/>
    <s v="R151"/>
    <n v="2"/>
    <s v="2026/06"/>
    <s v="2150002026W00601500"/>
    <s v="KNAEB811GTK002496"/>
    <s v="W"/>
    <s v="1S"/>
    <s v="2853008520"/>
    <s v="CONVERTER ASSY-W/UP CATALYTIC"/>
    <s v="          "/>
    <e v="#N/A"/>
    <s v="99STAZ0T"/>
    <m/>
    <s v="DD1"/>
    <s v="2026/02/09"/>
    <s v="2026/06/18"/>
    <s v="2026/02/25"/>
    <n v="4"/>
    <n v="2342"/>
    <s v="            "/>
    <n v="100"/>
    <n v="25.44"/>
    <n v="25.44"/>
    <n v="92229"/>
    <n v="34980"/>
    <n v="0"/>
    <n v="127209"/>
    <s v="SP3 25"/>
    <s v="2026-02"/>
    <e v="#N/A"/>
    <x v="5"/>
    <n v="10000"/>
    <n v="5000"/>
    <n v="6"/>
    <n v="6"/>
    <s v="215"/>
    <s v="한국"/>
    <x v="4"/>
    <x v="1"/>
    <s v="컨버터"/>
    <s v="카파(KIA)"/>
    <x v="8"/>
    <s v="2026년"/>
    <s v="2분기"/>
  </r>
  <r>
    <x v="0"/>
    <x v="0"/>
    <s v="2026061WW"/>
    <s v="K"/>
    <s v="R151"/>
    <n v="107"/>
    <s v="2026/06"/>
    <s v="MX25302026W00020400"/>
    <s v="KNACT81EGNA010016"/>
    <s v="W"/>
    <s v="0T"/>
    <s v="28601AT100"/>
    <s v="MUFFLER COMPLETE-CTR &amp; SENSOR"/>
    <s v="          "/>
    <s v="[C]1.현상 : 부동액 부족으로 입고 2.점검내용 및 원인 : 챔버 컨버터 머플러 폐기열 회수장치에서 부동액 누수됨 3.조치내용 : 챔버 컨버터 컴플리터 교환 조치함"/>
    <s v="28607R00"/>
    <m/>
    <s v="L33"/>
    <s v="2022/04/12"/>
    <s v="2026/06/19"/>
    <s v="2022/04/18"/>
    <n v="51"/>
    <n v="38381"/>
    <s v="            "/>
    <n v="100"/>
    <n v="25.44"/>
    <n v="25.44"/>
    <n v="48358"/>
    <n v="10303"/>
    <n v="0"/>
    <n v="58661"/>
    <s v="SG2 (니로 후속) 21"/>
    <s v="2022-04"/>
    <e v="#N/A"/>
    <x v="0"/>
    <n v="40000"/>
    <n v="40000"/>
    <n v="54"/>
    <n v="54"/>
    <s v="MX2"/>
    <s v="한국"/>
    <x v="0"/>
    <x v="1"/>
    <s v="머플러"/>
    <m/>
    <x v="0"/>
    <s v="2026년"/>
    <s v="2분기"/>
  </r>
  <r>
    <x v="0"/>
    <x v="0"/>
    <s v="2026061WW"/>
    <s v="K"/>
    <s v="R151"/>
    <n v="108"/>
    <s v="2026/06"/>
    <s v="DK02602026W00180200"/>
    <s v="KNACR81EGRA085629"/>
    <s v="W"/>
    <s v="0T"/>
    <s v="28601AT100"/>
    <s v="MUFFLER COMPLETE-CTR &amp; SENSOR"/>
    <s v="          "/>
    <s v="[C]1.현상 : 주행중 엔진과열 경고등 점등으로 차량 입고 2.점검내용 및 원인 : 점검시 챔버&amp;컴버터 머플러 내부에서 부동액 비정상 소실로 엔진 경고등 점등 발생 판단 3.조치내용 : CC 머플러 교환 및 부동액 보충 후 차량 출고"/>
    <s v="28607R00"/>
    <m/>
    <s v="I42"/>
    <s v="2023/02/09"/>
    <s v="2026/06/05"/>
    <s v="2023/02/10"/>
    <n v="40"/>
    <n v="107056"/>
    <s v="            "/>
    <n v="100"/>
    <n v="25.44"/>
    <n v="25.44"/>
    <n v="48358"/>
    <n v="19334"/>
    <n v="0"/>
    <n v="67692"/>
    <s v="SG2 (니로 후속) 21"/>
    <s v="2023-02"/>
    <e v="#N/A"/>
    <x v="7"/>
    <s v="≥100000"/>
    <s v="≥100000"/>
    <n v="42"/>
    <n v="42"/>
    <s v="DK0"/>
    <s v="한국"/>
    <x v="0"/>
    <x v="1"/>
    <s v="머플러"/>
    <m/>
    <x v="0"/>
    <s v="2026년"/>
    <s v="2분기"/>
  </r>
  <r>
    <x v="0"/>
    <x v="0"/>
    <s v="2026061WW"/>
    <s v="K"/>
    <s v="R151"/>
    <n v="109"/>
    <s v="2026/06"/>
    <s v="MX01202026W00030800"/>
    <s v="KNARL81BGMA097823"/>
    <s v="W"/>
    <s v="GZ"/>
    <s v="28607P2570"/>
    <s v="MUFFLER COMPLETE-CHMBR &amp; CONV"/>
    <s v="          "/>
    <s v="[C]1.현상 : 경고등 점등 점검 2.점검내용 및 원인 : P20EE00 SCR NOX 정화효율저하 내부 불량으로 정화효율 불량 3.조치내용 : SCR 교환 작업"/>
    <s v="28620R00"/>
    <m/>
    <s v="W11"/>
    <s v="2021/04/12"/>
    <s v="2026/05/29"/>
    <s v="2021/04/14"/>
    <n v="62"/>
    <n v="42342"/>
    <s v="            "/>
    <n v="100"/>
    <n v="25.44"/>
    <n v="25.44"/>
    <n v="56151"/>
    <n v="6614"/>
    <n v="0"/>
    <n v="62765"/>
    <s v="MQ4 20"/>
    <s v="2021-04"/>
    <e v="#N/A"/>
    <x v="1"/>
    <n v="50000"/>
    <n v="45000"/>
    <s v="≥60"/>
    <s v="≥60"/>
    <s v="MX0"/>
    <s v="한국"/>
    <x v="1"/>
    <x v="1"/>
    <s v="컨버터"/>
    <s v="MQ4 DPF"/>
    <x v="1"/>
    <s v="2026년"/>
    <s v="2분기"/>
  </r>
  <r>
    <x v="0"/>
    <x v="0"/>
    <s v="2026061WW"/>
    <s v="K"/>
    <s v="R151"/>
    <n v="110"/>
    <s v="2026/06"/>
    <s v="GK22702026W00067800"/>
    <s v="KNARG81BGPA239102"/>
    <s v="W"/>
    <s v="GZ"/>
    <s v="28607P2580"/>
    <s v="MUFFLER COMPLETE-CHMBR &amp; CONV"/>
    <s v="          "/>
    <s v="[C]1.현상 : 요소수 부족 경고등 점등으로 차량 입고 2.점검내용 및 원인 : P20C900 DCU로부터 MIL점등 요청 요소수 인젝터 탈거하여 점검 결과 컨버터 어셈블리 내부 막힘 발생함 컨버터 내부 막히며 분사 불량 발생하며 요소수 부족 경고등 지속 표출됨 3.조치내용 : 챔버 컨버터 머플러 컴플리트 교환"/>
    <s v="28620R00"/>
    <m/>
    <s v="W11"/>
    <s v="2023/07/18"/>
    <s v="2026/06/10"/>
    <s v="2023/07/26"/>
    <n v="35"/>
    <n v="93164"/>
    <s v="            "/>
    <n v="100"/>
    <n v="25.44"/>
    <n v="25.44"/>
    <n v="99718"/>
    <n v="6996"/>
    <n v="0"/>
    <n v="106714"/>
    <s v="MQ4 20"/>
    <s v="2023-07"/>
    <e v="#N/A"/>
    <x v="1"/>
    <n v="100000"/>
    <n v="95000"/>
    <n v="36"/>
    <n v="36"/>
    <s v="GK2"/>
    <s v="한국"/>
    <x v="1"/>
    <x v="1"/>
    <s v="컨버터"/>
    <s v="MQ4 DPF"/>
    <x v="1"/>
    <s v="2026년"/>
    <s v="2분기"/>
  </r>
  <r>
    <x v="0"/>
    <x v="0"/>
    <s v="2026061WW"/>
    <s v="K"/>
    <s v="R151"/>
    <n v="111"/>
    <s v="2026/06"/>
    <s v="GX97602026W00039000"/>
    <s v="KNARG81BHRA315577"/>
    <s v="W"/>
    <s v="GZ"/>
    <s v="28607P2580"/>
    <s v="MUFFLER COMPLETE-CHMBR &amp; CONV"/>
    <s v="          "/>
    <s v="[C]1.현상 : 주행중 엔진경고등 점등 2.점검내용 및 원인 : 카탈리틱 컨버터 어셈블리 3.조치내용 : 카탈리틱 컨버터 어셈블리 교환"/>
    <s v="28950RQ0"/>
    <m/>
    <s v="W11"/>
    <s v="2024/08/23"/>
    <s v="2026/06/16"/>
    <s v="2024/08/26"/>
    <n v="22"/>
    <n v="13210"/>
    <s v="            "/>
    <n v="100"/>
    <n v="25.44"/>
    <n v="25.44"/>
    <n v="100176"/>
    <n v="38058"/>
    <n v="0"/>
    <n v="138234"/>
    <s v="MQ4 20"/>
    <s v="2024-08"/>
    <e v="#N/A"/>
    <x v="1"/>
    <n v="20000"/>
    <n v="15000"/>
    <n v="24"/>
    <n v="24"/>
    <s v="GX9"/>
    <s v="한국"/>
    <x v="1"/>
    <x v="1"/>
    <s v="컨버터"/>
    <s v="MQ4 DPF"/>
    <x v="1"/>
    <s v="2026년"/>
    <s v="2분기"/>
  </r>
  <r>
    <x v="0"/>
    <x v="0"/>
    <s v="2026061WW"/>
    <s v="K"/>
    <s v="R151"/>
    <n v="112"/>
    <s v="2026/06"/>
    <s v="NK05802026W00133500"/>
    <s v="KNANE81BBMS106834"/>
    <s v="W"/>
    <s v="HS"/>
    <s v="28607R0500"/>
    <s v="MUFFLER COMPLETE-CHMBR &amp; CONV"/>
    <s v="          "/>
    <s v="[C]1.현상 : 현차량은 주행중 경고등 점등으로 인하여 입고 2.점검내용 및 원인 : 점검시 SCR 촉매 경고등 점등 되며 센서는 이상 없음 확인 3.조치내용 : SCR 촉매 교환 세팅 재생 후 출고"/>
    <s v="28620R00"/>
    <m/>
    <s v="W11"/>
    <s v="2021/05/18"/>
    <s v="2026/06/25"/>
    <s v="2021/05/21"/>
    <n v="62"/>
    <n v="85504"/>
    <s v="            "/>
    <n v="100"/>
    <n v="25.44"/>
    <n v="25.44"/>
    <n v="54167"/>
    <n v="9667"/>
    <n v="0"/>
    <n v="63834"/>
    <s v="KA4 (YP 카니발 후속) 20"/>
    <s v="2021-05"/>
    <e v="#N/A"/>
    <x v="1"/>
    <n v="90000"/>
    <n v="90000"/>
    <s v="≥60"/>
    <s v="≥60"/>
    <s v="NK0"/>
    <s v="한국"/>
    <x v="1"/>
    <x v="1"/>
    <s v="컨버터"/>
    <s v="KA4 DPF"/>
    <x v="2"/>
    <s v="2026년"/>
    <s v="2분기"/>
  </r>
  <r>
    <x v="0"/>
    <x v="0"/>
    <s v="2026061WW"/>
    <s v="K"/>
    <s v="R151"/>
    <n v="113"/>
    <s v="2026/06"/>
    <s v="JK41902026W00209600"/>
    <s v="KNANC81BBMS128196"/>
    <s v="W"/>
    <s v="HS"/>
    <s v="28607R0500"/>
    <s v="MUFFLER COMPLETE-CHMBR &amp; CONV"/>
    <s v="          "/>
    <s v="[C]1.현상 : 고장코드 표출 . 2.점검내용 및 원인 : P20EE00 P200300 DPF 효율저하 DPF내부 불량으로 경고등표출 3.조치내용 : DPF 교환"/>
    <s v="28650R00"/>
    <m/>
    <s v="W11"/>
    <s v="2021/07/08"/>
    <s v="2026/06/15"/>
    <s v="2021/07/12"/>
    <n v="60"/>
    <n v="73651"/>
    <s v="            "/>
    <n v="100"/>
    <n v="25.44"/>
    <n v="25.44"/>
    <n v="54462"/>
    <n v="7632"/>
    <n v="0"/>
    <n v="62094"/>
    <s v="KA4 (YP 카니발 후속) 20"/>
    <s v="2021-07"/>
    <e v="#N/A"/>
    <x v="1"/>
    <n v="80000"/>
    <n v="75000"/>
    <s v="≥60"/>
    <s v="≥60"/>
    <s v="JK4"/>
    <s v="한국"/>
    <x v="1"/>
    <x v="1"/>
    <s v="컨버터"/>
    <s v="KA4 DPF"/>
    <x v="2"/>
    <s v="2026년"/>
    <s v="2분기"/>
  </r>
  <r>
    <x v="0"/>
    <x v="0"/>
    <s v="2026061WW"/>
    <s v="K"/>
    <s v="R151"/>
    <n v="114"/>
    <s v="2026/06"/>
    <s v="RK01702026W00022700"/>
    <s v="KNANE81BBPS193446"/>
    <s v="W"/>
    <s v="HS"/>
    <s v="28607R0550"/>
    <s v="MUFFLER COMPLETE-CHMBR &amp; CONV"/>
    <s v="          "/>
    <s v="[C]1.현상 : 엔진 경고등 점등으로 입고함. 2.점검내용 및 원인 : 스캔툴 점검시 Nox로 경고등 점등 되었으며 DPF강제재생시 녹스량이 많이 쌓여 있음 컴버터 탈거 후 육안상으로 확인시 컴버터 내부 소손 된거 확인되어 컴버터부터 교환 진행함. 3.조치내용 : 컴버터 교환 후 DPF강제재생 후 출고함."/>
    <s v="28950A00"/>
    <m/>
    <s v="W11"/>
    <s v="2022/04/11"/>
    <s v="2026/06/18"/>
    <s v="2022/04/11"/>
    <n v="51"/>
    <n v="73032"/>
    <s v="            "/>
    <n v="100"/>
    <n v="25.44"/>
    <n v="25.44"/>
    <n v="50073"/>
    <n v="10990"/>
    <n v="0"/>
    <n v="61063"/>
    <s v="KA4 (YP 카니발 후속) 20"/>
    <s v="2022-04"/>
    <e v="#N/A"/>
    <x v="1"/>
    <n v="80000"/>
    <n v="75000"/>
    <n v="54"/>
    <n v="54"/>
    <s v="RK0"/>
    <s v="한국"/>
    <x v="1"/>
    <x v="1"/>
    <s v="컨버터"/>
    <s v="KA4 DPF"/>
    <x v="2"/>
    <s v="2026년"/>
    <s v="2분기"/>
  </r>
  <r>
    <x v="0"/>
    <x v="0"/>
    <s v="2026061WW"/>
    <s v="K"/>
    <s v="R151"/>
    <n v="115"/>
    <s v="2026/06"/>
    <s v="KK38102026W00087400"/>
    <s v="KNANC81BBSS553868"/>
    <s v="W"/>
    <s v="HS"/>
    <s v="28607R0550"/>
    <s v="MUFFLER COMPLETE-CHMBR &amp; CONV"/>
    <s v="          "/>
    <s v="[C]1.현상 : 요소수 경고등 점등 2.점검내용 및 원인 : KDS 고장코드 P20EE00 SCR 정화효율낮음 확인됨 SCR 컨버터 외형 점검 및 손상점검 이상없음 컨버터 내부 필터 이상으로 인한 경고등 점등으로 판단됨 3.조치내용 : 머플러 컴플리트 챔버 교환"/>
    <s v="28650R00"/>
    <m/>
    <s v="W11"/>
    <s v="2025/04/10"/>
    <s v="2026/06/25"/>
    <s v="2025/04/11"/>
    <n v="15"/>
    <n v="6972"/>
    <s v="            "/>
    <n v="100"/>
    <n v="25.44"/>
    <n v="25.44"/>
    <n v="50305"/>
    <n v="4986"/>
    <n v="0"/>
    <n v="55291"/>
    <s v="KA4 (YP 카니발 후속) 20"/>
    <s v="2025-04"/>
    <e v="#N/A"/>
    <x v="1"/>
    <n v="10000"/>
    <n v="10000"/>
    <n v="18"/>
    <n v="18"/>
    <s v="KK3"/>
    <s v="한국"/>
    <x v="1"/>
    <x v="1"/>
    <s v="컨버터"/>
    <s v="KA4 DPF"/>
    <x v="2"/>
    <s v="2026년"/>
    <s v="2분기"/>
  </r>
  <r>
    <x v="0"/>
    <x v="0"/>
    <s v="2026061WW"/>
    <s v="K"/>
    <s v="R151"/>
    <n v="116"/>
    <s v="2026/06"/>
    <s v="MX91502026W00073800"/>
    <s v="KNACF911BTT448870"/>
    <s v="W"/>
    <s v="A3"/>
    <s v="28650A3550"/>
    <s v="MUFFLER ASSY-CTR"/>
    <s v="          "/>
    <s v="[C]1.현상 : 주행중 배기음 과다로 입고 2.점검내용 및 원인 : 점검결과 센터 및 리어 배기 파이프 부분 변형으로 압력 새어나옴 3.조치내용 : 센터 및 리어머 머플러 교환 클램프 부대품으로 교환함"/>
    <s v="28650R00"/>
    <m/>
    <s v="Q72"/>
    <s v="2025/09/08"/>
    <s v="2026/06/17"/>
    <s v="2025/09/29"/>
    <n v="9"/>
    <n v="34361"/>
    <s v="            "/>
    <n v="100"/>
    <n v="25.44"/>
    <n v="25.44"/>
    <n v="48559"/>
    <n v="6411"/>
    <n v="0"/>
    <n v="54970"/>
    <s v="레이 11"/>
    <s v="2025-09"/>
    <e v="#N/A"/>
    <x v="3"/>
    <n v="40000"/>
    <n v="35000"/>
    <n v="12"/>
    <n v="12"/>
    <s v="MX9"/>
    <s v="한국"/>
    <x v="2"/>
    <x v="1"/>
    <s v="머플러"/>
    <m/>
    <x v="12"/>
    <s v="2026년"/>
    <s v="2분기"/>
  </r>
  <r>
    <x v="0"/>
    <x v="0"/>
    <s v="2026061WW"/>
    <s v="K"/>
    <s v="R151"/>
    <n v="118"/>
    <s v="2026/06"/>
    <s v="2060002026W00880200"/>
    <s v="KNARH81FGTA395806"/>
    <s v="W"/>
    <s v="GZ"/>
    <s v="28650P2960"/>
    <s v="MUFFLER ASSY-CTR"/>
    <s v="          "/>
    <s v="[C]1.현상 : 1.주행시 소음.(1500rpm 부근에서 발생함.) 2.점검내용 및 원인 : 고객 동승 주행 확인 시운전하니 저속에서 가속시 소음 발생하여 차량을 리프트에 올려 하체에 점검하니 중간 머플러 내부에서 소음 확인함. 3.조치내용 : 중간 머플러 교체후 주행 확인함."/>
    <s v="99NGOZ0T"/>
    <m/>
    <s v="Q85"/>
    <s v="2025/11/19"/>
    <s v="2026/06/22"/>
    <s v="2025/11/21"/>
    <n v="8"/>
    <n v="11734"/>
    <s v="            "/>
    <n v="100"/>
    <n v="25.44"/>
    <n v="25.44"/>
    <n v="34420"/>
    <n v="25186"/>
    <n v="0"/>
    <n v="59606"/>
    <s v="MQ4 20"/>
    <s v="2025-11"/>
    <e v="#N/A"/>
    <x v="3"/>
    <n v="20000"/>
    <n v="15000"/>
    <n v="12"/>
    <n v="9"/>
    <s v="206"/>
    <s v="한국"/>
    <x v="2"/>
    <x v="1"/>
    <s v="머플러"/>
    <m/>
    <x v="1"/>
    <s v="2026년"/>
    <s v="2분기"/>
  </r>
  <r>
    <x v="0"/>
    <x v="0"/>
    <s v="2026061WW"/>
    <s v="K"/>
    <s v="R151"/>
    <n v="119"/>
    <s v="2026/06"/>
    <s v="2060002026W00790400"/>
    <s v="KNACH811BRT397991"/>
    <s v="W"/>
    <s v="A3"/>
    <s v="28710A3550"/>
    <s v="MUFFLER ASSY-RR"/>
    <s v="          "/>
    <s v="[C]1.현상 : 주행중 하체 소음 발생의뢰함 2.점검내용 및 원인 : 요철주행중 다다닥 딕딕 소음발생으로50키로속도 잔잔한도로주행시 머플러 내부떨어짐으로 교체후 차체볼트 재조임 3.조치내용 : 시운전 진행시 하체소음발생확인 동영상참조"/>
    <s v="99NGOZ0T"/>
    <m/>
    <s v="Q83"/>
    <s v="2024/05/13"/>
    <s v="2026/06/02"/>
    <s v="2024/05/14"/>
    <n v="25"/>
    <n v="16854"/>
    <s v="            "/>
    <n v="100"/>
    <n v="25.44"/>
    <n v="25.44"/>
    <n v="19790"/>
    <n v="19589"/>
    <n v="0"/>
    <n v="39379"/>
    <s v="레이 11"/>
    <s v="2024-05"/>
    <e v="#N/A"/>
    <x v="3"/>
    <n v="20000"/>
    <n v="20000"/>
    <n v="30"/>
    <n v="27"/>
    <s v="206"/>
    <s v="한국"/>
    <x v="3"/>
    <x v="1"/>
    <s v="머플러"/>
    <m/>
    <x v="12"/>
    <s v="2026년"/>
    <s v="2분기"/>
  </r>
  <r>
    <x v="0"/>
    <x v="0"/>
    <s v="2026061WW"/>
    <s v="K"/>
    <s v="R151"/>
    <n v="120"/>
    <s v="2026/06"/>
    <s v="2090002026W01353900"/>
    <s v="KNACH811BTT454637"/>
    <s v="W"/>
    <s v="A3"/>
    <s v="28710A3550"/>
    <s v="MUFFLER ASSY-RR"/>
    <s v="          "/>
    <s v="[C]1.현상 : 1.운전석 정차중 엔진이음 소음기에서 벙벙벙 소음 들어옴 으로 입고수리요청 2.점검내용 및 원인 : 고객상담후 동승 소음확인 연세가잇는데도 소음이확인되어 상담후설명 소음기교환후 정상인도 3.조치내용 : 정상인도함"/>
    <s v="99NSTZ0T"/>
    <m/>
    <s v="I13"/>
    <s v="2025/11/11"/>
    <s v="2026/06/12"/>
    <s v="2025/11/11"/>
    <n v="8"/>
    <n v="7442"/>
    <s v="            "/>
    <n v="100"/>
    <n v="25.44"/>
    <n v="25.44"/>
    <n v="20353"/>
    <n v="15391"/>
    <n v="0"/>
    <n v="35744"/>
    <s v="레이 11"/>
    <s v="2025-11"/>
    <e v="#N/A"/>
    <x v="2"/>
    <n v="10000"/>
    <n v="10000"/>
    <n v="12"/>
    <n v="9"/>
    <s v="209"/>
    <s v="한국"/>
    <x v="3"/>
    <x v="1"/>
    <s v="머플러"/>
    <m/>
    <x v="12"/>
    <s v="2026년"/>
    <s v="2분기"/>
  </r>
  <r>
    <x v="0"/>
    <x v="0"/>
    <s v="2026061WA"/>
    <s v="K"/>
    <s v="R151"/>
    <n v="1"/>
    <s v="2026/04"/>
    <s v="2090002026W00843300"/>
    <s v="KNANC81ABTS151223"/>
    <s v="W"/>
    <s v="8S"/>
    <s v="28600ES100"/>
    <s v="MUFFLER COMPLETE-CTR"/>
    <s v="          "/>
    <s v="[C]1.현상 : 주행 하며는 리어 하체 뚝 이음 2.점검내용 및 원인 : 시운전에서 히트 프로텍터 판넬 교환 후에도 이음 재발생. 센터 머플러 내부에 이음 확인 3.조치내용 : 센터머플러 교환"/>
    <s v="99NGOZ0T"/>
    <m/>
    <s v="Q75"/>
    <s v="2025/12/26"/>
    <s v="2026/04/10"/>
    <s v="2025/12/30"/>
    <n v="4"/>
    <n v="4021"/>
    <s v="            "/>
    <n v="100"/>
    <n v="25.44"/>
    <n v="25.44"/>
    <n v="78578"/>
    <n v="20988"/>
    <n v="0"/>
    <n v="99566"/>
    <s v="카니발 상품성개선 하이브리드 24"/>
    <s v="2025-12"/>
    <e v="#N/A"/>
    <x v="3"/>
    <n v="10000"/>
    <n v="5000"/>
    <n v="6"/>
    <n v="6"/>
    <s v="209"/>
    <s v="한국"/>
    <x v="2"/>
    <x v="1"/>
    <s v="머플러"/>
    <m/>
    <x v="5"/>
    <s v="2026년"/>
    <s v="2분기"/>
  </r>
  <r>
    <x v="0"/>
    <x v="1"/>
    <s v="2026061WW"/>
    <s v="K"/>
    <s v="R151"/>
    <n v="27"/>
    <s v="2026/06"/>
    <s v="B06VA611232684199A "/>
    <s v="KNDCR3LE6S5253230"/>
    <s v="W"/>
    <s v="0T"/>
    <s v="2853008450"/>
    <s v="CONVERTER ASSY-W/UP CATALYTIC"/>
    <s v="          "/>
    <s v="[C]CLIENT MENTIONNE UN BRUIT DE GRONDEMENT [R]replaced muffler and gasket. went on road test, did not hear anymore leak. repair complete. [T]En fesant l'essaie routier, entendu une perte au niveau du silencieux. Il y a une perte au niveau du silencieux. fait estimé pour silencieux et gasket."/>
    <s v="28950R00"/>
    <s v="ZZ3"/>
    <s v="Q55"/>
    <s v="2024/12/06"/>
    <s v="2026/05/12"/>
    <s v="2025/03/17"/>
    <n v="14"/>
    <n v="25465"/>
    <s v="            "/>
    <n v="100"/>
    <n v="18.18"/>
    <n v="18.18"/>
    <n v="145982"/>
    <n v="80952"/>
    <n v="0"/>
    <n v="226934"/>
    <s v="SG2 (니로 후속) 21"/>
    <s v="2024-12"/>
    <s v="단품불량"/>
    <x v="3"/>
    <n v="30000"/>
    <n v="30000"/>
    <n v="18"/>
    <n v="15"/>
    <s v="B06"/>
    <s v="CANADA"/>
    <x v="4"/>
    <x v="1"/>
    <s v="컨버터"/>
    <s v="카파(KIA)"/>
    <x v="8"/>
    <s v="2026년"/>
    <s v="2분기"/>
  </r>
  <r>
    <x v="0"/>
    <x v="1"/>
    <s v="2026061WW"/>
    <s v="K"/>
    <s v="R151"/>
    <n v="28"/>
    <s v="2026/06"/>
    <s v="C21VA2103 KM2000824"/>
    <s v="KNACP81EVS5221914"/>
    <s v="W"/>
    <s v="0T"/>
    <s v="2853008461"/>
    <s v="CONVERTER ASSY-W/UP CATALYTIC"/>
    <s v="          "/>
    <s v="[C]Customer reports Investigate eml on dash [R]Replaced catalyst and gaskets [T]Investigated customers complaint confirmed fault checked for fault codes and found P042000 logged engine control catalyst efficiency below threshold, removed exhaust flexi and inspected catalyst found that it had cracked, new catalyst and gaskets required"/>
    <s v="28950R00"/>
    <s v="ZZ3"/>
    <s v="W17"/>
    <s v="2024/08/14"/>
    <s v="2026/06/09"/>
    <s v="2024/10/18"/>
    <n v="20"/>
    <n v="4714"/>
    <s v="            "/>
    <n v="100"/>
    <n v="18.18"/>
    <n v="18.18"/>
    <n v="48028"/>
    <n v="57705"/>
    <n v="0"/>
    <n v="105733"/>
    <s v="SG2 (니로 후속) 21"/>
    <s v="2024-08"/>
    <s v="단품불량"/>
    <x v="1"/>
    <n v="10000"/>
    <n v="5000"/>
    <n v="24"/>
    <n v="21"/>
    <s v="C21"/>
    <s v="UK"/>
    <x v="4"/>
    <x v="1"/>
    <s v="컨버터"/>
    <s v="카파(KIA)"/>
    <x v="8"/>
    <s v="2026년"/>
    <s v="2분기"/>
  </r>
  <r>
    <x v="0"/>
    <x v="1"/>
    <s v="2026061WW"/>
    <s v="K"/>
    <s v="R151"/>
    <n v="29"/>
    <s v="2026/06"/>
    <s v="D26VBTR123KM2600067"/>
    <s v="KNCSJX762R7765244"/>
    <s v="W"/>
    <s v="HD"/>
    <s v="286004E560"/>
    <s v="MUFFLER COMPLETE-CTR"/>
    <s v="          "/>
    <s v="[C]MOTOR ARIZA LAMBASI YANIYOR [R]DPF in değişmesi gerekiyor [T]Şikayet üzerine araç kds cihazına bağlandı. Arıza kodu taramasında P200300 arızası verdiği görüldü. Araca jenerasyon yapılmak istendiğinde jenerasyona geçmedi. Veri analizi kayıtları alındıktan sonra araç ile yol testleri yapıldı. 30 dk manuel modda 3000 devir ile kullanılarak test yapıldı. Pm sensö [D]DPF in içö dış +lot no fotoğrafı eklenmesi unutulmamalıdır"/>
    <s v="28650R00"/>
    <s v="ZZ3"/>
    <s v="W17"/>
    <s v="2024/01/10"/>
    <s v="2026/06/10"/>
    <s v="2024/03/29"/>
    <n v="27"/>
    <n v="39881"/>
    <s v="            "/>
    <n v="100"/>
    <n v="18.18"/>
    <n v="18.18"/>
    <n v="169186"/>
    <n v="5157"/>
    <n v="0"/>
    <n v="174343"/>
    <s v="봉고3 1톤/1.4톤"/>
    <s v="2024-01"/>
    <s v="단품불량"/>
    <x v="1"/>
    <n v="40000"/>
    <n v="40000"/>
    <n v="30"/>
    <n v="30"/>
    <s v="D26"/>
    <s v="TURKEY"/>
    <x v="2"/>
    <x v="1"/>
    <s v="컨버터"/>
    <s v="PU DPF"/>
    <x v="6"/>
    <s v="2026년"/>
    <s v="2분기"/>
  </r>
  <r>
    <x v="0"/>
    <x v="1"/>
    <s v="2026061WW"/>
    <s v="K"/>
    <s v="R151"/>
    <n v="30"/>
    <s v="2026/06"/>
    <s v="D26VBTR030KM2600048"/>
    <s v="KNCSJX766R7779812"/>
    <s v="W"/>
    <s v="HD"/>
    <s v="286004E560"/>
    <s v="MUFFLER COMPLETE-CTR"/>
    <s v="          "/>
    <s v="[C]motor arıza lambası yanıyor egzoz sarı püskürtme lambası yanıyor [R]Araç müşteri şikayeti doğrultusunda kds cihazına bağlandı.P200300 Dpf arızası verdi. Dpf kaçak testi yapıldı. Test sonucunda aracın dpfinde kaçak tespit edildi. Dpf değiştirildi. Yol testi yapıldı. Sorun giderildi. [T]Motor arıza lambası yanıyor şikayeti ile ilgili araç kds cihazına bağlandı P200300 arızası olduğu görüldü. Arıza silinip teste çıkıldığında aracın 25-30 km'de bir arızayı tekrarladığı tespit edildi. Pm sensörü ve tesisatı kontrol edildi. Herhangi bir sorun görülmedi. Araca yapılan DPF kaçak testin [D]Claime DPF''in iç ve dış kısmının + lot numarasının fotoğrafı eklenmelidir."/>
    <s v="28650R00"/>
    <s v="ZZ3"/>
    <s v="B31"/>
    <s v="2024/03/11"/>
    <s v="2026/05/13"/>
    <s v="2024/06/12"/>
    <n v="24"/>
    <n v="27029"/>
    <s v="            "/>
    <n v="100"/>
    <n v="18.18"/>
    <n v="18.18"/>
    <n v="169186"/>
    <n v="5157"/>
    <n v="0"/>
    <n v="174343"/>
    <s v="봉고3 1톤/1.4톤"/>
    <s v="2024-03"/>
    <s v="단품불량"/>
    <x v="6"/>
    <n v="30000"/>
    <n v="30000"/>
    <n v="30"/>
    <n v="27"/>
    <s v="D26"/>
    <s v="TURKEY"/>
    <x v="2"/>
    <x v="1"/>
    <s v="컨버터"/>
    <s v="PU DPF"/>
    <x v="6"/>
    <s v="2026년"/>
    <s v="2분기"/>
  </r>
  <r>
    <x v="0"/>
    <x v="1"/>
    <s v="2026061WW"/>
    <s v="K"/>
    <s v="R151"/>
    <n v="36"/>
    <s v="2026/06"/>
    <s v="B06VA611472663661A "/>
    <s v="KNDRJDJH9S5400192"/>
    <s v="W"/>
    <s v="HC"/>
    <s v="28600P4740"/>
    <s v="MUFFLER COMPLETE-CTR"/>
    <s v="          "/>
    <s v="[C]CLIENT MENTIONNE QUE LE MOTEUR A GAS NE FONCTIONNE PLUS, FON CTIONNE JUST SUR LA BATTERIE. DIT AVOIR SENTI UNE ODEUR DE C HAUFFER. AVANT DE TOMBER EN DEFAUT AVAIT DE LA MISERE DE SWI TCHER ENTRE GAS ET ELECTRIC [R]remplacé les 2 catalyseurs, retiré egr et enlevé tout les mck de catalyseur pris dans egr ok remplacé 1 stud de turbo car à strippé en dévissant 1 bolt de flange, remonté le tout, fait reset des valeurs adaptatives, effacé codes et retesté: moteur thermique démarre et fonctionne bien, aucun témoin n [T]brisé ert ur thermique démarre et roule 3-4minutes et s'éteint lentmen t pas de check enginne allummé semble manquer d'essence mais niveau est au 1/4, huile est belle et niveau est correct aucune fuite de liquide, aucune trace de dommages visibles n i impact, redémarré véhicule et démarre très bien [L]docs envoyes besoin de remplacer middle pipe doc envoye, location piece 28600p4740 bo, location 8 au 22 mai bt envoye. défait midpipe et enlevé mcx cassés pour déboucher exhaust, 2 eme catalyseur est aussi bouché, récupéré mcx ok, flexpipe et bas du catalyseur, des mcx bouchent l'accès au coo [D]SVP envoyer des photos avec les catalyseurs et expliquer la cause. Veuillez réduire montant location a $2,378; 41 jours X $58/jour (8/04-14/05 + 2 jours pour installer). Veuillez expliquer le diagnostic et la cause fondamentale de la défaillance pour chaque convertisseur catalytique, et détailler pourquoi les deux convertisseurs doivent être remplacés. Les codes DTC ne sont pas liés aux convertisseurs catalytiques. Veuillez également expliquer le délai, puisque la pièce a été reçue le 14 mai."/>
    <s v="28650R1H"/>
    <s v="ZZ4"/>
    <s v="B33"/>
    <s v="2025/04/11"/>
    <s v="2026/04/02"/>
    <s v="2025/06/06"/>
    <n v="10"/>
    <n v="11048"/>
    <s v="            "/>
    <n v="100"/>
    <n v="18.18"/>
    <n v="18.18"/>
    <n v="239361"/>
    <n v="112485"/>
    <n v="38466"/>
    <n v="390312"/>
    <s v="MQ4 20 HEV"/>
    <s v="2025-04"/>
    <s v="재질불량"/>
    <x v="10"/>
    <n v="20000"/>
    <n v="15000"/>
    <n v="12"/>
    <n v="12"/>
    <s v="B06"/>
    <s v="CANADA"/>
    <x v="2"/>
    <x v="1"/>
    <s v="머플러"/>
    <m/>
    <x v="4"/>
    <s v="2026년"/>
    <s v="2분기"/>
  </r>
  <r>
    <x v="0"/>
    <x v="1"/>
    <s v="2026061WW"/>
    <s v="K"/>
    <s v="R151"/>
    <n v="38"/>
    <s v="2026/06"/>
    <s v="A02VE83121250000039"/>
    <s v="KNANB813MM6100187"/>
    <s v="W"/>
    <s v="HS"/>
    <s v="28600R0130"/>
    <s v="MUFFLER COMPLETE-CTR"/>
    <s v="          "/>
    <e v="#N/A"/>
    <s v="28650R00"/>
    <s v="ZZ3"/>
    <s v="Q57"/>
    <s v="2021/04/30"/>
    <s v="2024/01/25"/>
    <s v="2021/07/08"/>
    <n v="31"/>
    <n v="57258"/>
    <s v="A02VE2620082"/>
    <n v="100"/>
    <n v="18.18"/>
    <n v="18.18"/>
    <n v="98862"/>
    <n v="9996"/>
    <n v="0"/>
    <n v="108858"/>
    <s v="KA4 (YP 카니발 후속) 20"/>
    <s v="2021-04"/>
    <s v="단품불량"/>
    <x v="3"/>
    <n v="60000"/>
    <n v="60000"/>
    <n v="36"/>
    <n v="33"/>
    <s v="A02"/>
    <s v="AUSTRALIA"/>
    <x v="2"/>
    <x v="1"/>
    <s v="머플러"/>
    <m/>
    <x v="2"/>
    <s v="2026년"/>
    <s v="2분기"/>
  </r>
  <r>
    <x v="0"/>
    <x v="1"/>
    <s v="2026061WW"/>
    <s v="K"/>
    <s v="R151"/>
    <n v="39"/>
    <s v="2026/06"/>
    <s v="C26VAHG603KM2000471"/>
    <s v="KNARH81B0S5298647"/>
    <s v="W"/>
    <s v="GZ"/>
    <s v="28607P2580"/>
    <s v="MUFFLER COMPLETE-CHMBR &amp; CONV"/>
    <s v="          "/>
    <s v="[C]Hibaüzenetet ír az autó. [R]Katalizátor és hozzá tartozó alkatrészek cseréje szükséges. [T]Karbamid rendszer hibaüzenetet jelez. SCR P2C7A00 DTC van jelen. 45 km megtétele után újra és újra visszadobja a hibát. A hibakód alapján az SCR katalizátornak belső hibája van. [L]Hozzá kellett adnom az N- pwa típust. SzN Az autón további javítások is voltak, Ákos is jelen volt. Ezt követően a gépkocsi újra érkezett vissza érkezett a szervizbe más hibával, ahol szintén kint volt Ákos 06.09-én. SzN0610 [D]ok.HG0414 NEm értem miért csak most küldöd be a PWA-t március óta ott van? Mire vártatok mennyi most a km , hol az autó.A KDS diag csak áprilisi"/>
    <s v="28620R00"/>
    <s v="ZZ3"/>
    <s v="W17"/>
    <s v="2024/05/09"/>
    <s v="2026/03/09"/>
    <s v="2024/12/04"/>
    <n v="16"/>
    <n v="51491"/>
    <s v="            "/>
    <n v="100"/>
    <n v="18.18"/>
    <n v="18.18"/>
    <n v="93919"/>
    <n v="9085"/>
    <n v="0"/>
    <n v="103004"/>
    <s v="MQ4 20"/>
    <s v="2024-05"/>
    <s v="단품불량"/>
    <x v="1"/>
    <n v="60000"/>
    <n v="55000"/>
    <n v="18"/>
    <n v="18"/>
    <s v="C26"/>
    <s v="HUNGARY"/>
    <x v="1"/>
    <x v="1"/>
    <s v="컨버터"/>
    <s v="MQ4 DPF"/>
    <x v="1"/>
    <s v="2026년"/>
    <s v="2분기"/>
  </r>
  <r>
    <x v="0"/>
    <x v="1"/>
    <s v="2026061WW"/>
    <s v="K"/>
    <s v="R151"/>
    <n v="40"/>
    <s v="2026/06"/>
    <s v="B19VCMB193489923000"/>
    <s v="KNAB2511MPT057207"/>
    <s v="W"/>
    <s v="G6"/>
    <s v="28610G6150"/>
    <s v="MUFFLER ASSY-FR"/>
    <s v="          "/>
    <s v="[C]Vehicle muffler sounds unusual. [R]Remove and replace catalyst test drive, tested ok. [T]Confirm customer complain, carried out checks and found catalyst damage."/>
    <s v="28610R00"/>
    <s v="ZZ3"/>
    <s v="Q52"/>
    <s v="2022/12/06"/>
    <s v="2026/05/06"/>
    <s v="2023/07/31"/>
    <n v="34"/>
    <n v="13010"/>
    <s v="            "/>
    <n v="100"/>
    <n v="18.18"/>
    <n v="18.18"/>
    <n v="15996"/>
    <n v="2943"/>
    <n v="0"/>
    <n v="18939"/>
    <s v="JA 17"/>
    <s v="2022-12"/>
    <s v="단품불량"/>
    <x v="3"/>
    <n v="20000"/>
    <n v="15000"/>
    <n v="36"/>
    <n v="36"/>
    <s v="B19"/>
    <s v="JAMAICA"/>
    <x v="7"/>
    <x v="1"/>
    <s v="머플러"/>
    <m/>
    <x v="3"/>
    <s v="2026년"/>
    <s v="2분기"/>
  </r>
  <r>
    <x v="0"/>
    <x v="1"/>
    <s v="2026061WW"/>
    <s v="K"/>
    <s v="R151"/>
    <n v="42"/>
    <s v="2026/06"/>
    <s v="A18VBKFOOT1233786  "/>
    <s v="KNACR81EVP5090349"/>
    <s v="W"/>
    <s v="0T"/>
    <s v="28650AT200"/>
    <s v="MUFFLER ASSY-CTR"/>
    <s v="          "/>
    <s v="[C]Failed WOF- Centre Muffler leaking [R]Removed centre exhaust section. Cut out cat converter and welded to new exhaust all ok [T]Check exhausts centre pipe broken and leaking [L]Jen"/>
    <s v="28650R00"/>
    <s v="ZZ3"/>
    <s v="A11"/>
    <s v="2023/03/02"/>
    <s v="2026/05/15"/>
    <s v="2023/05/31"/>
    <n v="36"/>
    <n v="42829"/>
    <s v="            "/>
    <n v="100"/>
    <n v="18.18"/>
    <n v="18.18"/>
    <n v="22344"/>
    <n v="6566"/>
    <n v="0"/>
    <n v="28910"/>
    <s v="SG2 (니로 후속) 21"/>
    <s v="2023-03"/>
    <s v="단품불량"/>
    <x v="9"/>
    <n v="50000"/>
    <n v="45000"/>
    <n v="42"/>
    <n v="39"/>
    <s v="A18"/>
    <s v="NEW ZEALAND"/>
    <x v="2"/>
    <x v="1"/>
    <s v="머플러"/>
    <m/>
    <x v="0"/>
    <s v="2026년"/>
    <s v="2분기"/>
  </r>
  <r>
    <x v="0"/>
    <x v="1"/>
    <s v="2026061WW"/>
    <s v="K"/>
    <s v="R151"/>
    <n v="47"/>
    <s v="2026/06"/>
    <s v="C07VA2670AKM2000422"/>
    <s v="KNARH81GDP5191270"/>
    <s v="W"/>
    <s v="HC"/>
    <s v="28650P4670"/>
    <s v="MUFFLER ASSY-CTR"/>
    <s v="          "/>
    <e v="#N/A"/>
    <s v="28650R1H"/>
    <s v="ZZ3"/>
    <s v="B33"/>
    <s v="2023/04/05"/>
    <s v="2026/05/27"/>
    <s v="2023/06/30"/>
    <n v="35"/>
    <n v="45086"/>
    <s v="            "/>
    <n v="100"/>
    <n v="18.18"/>
    <n v="18.18"/>
    <n v="51649"/>
    <n v="37483"/>
    <n v="0"/>
    <n v="89132"/>
    <s v="MQ4 20 HEV"/>
    <s v="2023-04"/>
    <s v="단품불량"/>
    <x v="10"/>
    <n v="50000"/>
    <n v="50000"/>
    <n v="36"/>
    <n v="36"/>
    <s v="C07"/>
    <s v="GERMANY"/>
    <x v="2"/>
    <x v="1"/>
    <s v="머플러"/>
    <m/>
    <x v="4"/>
    <s v="2026년"/>
    <s v="2분기"/>
  </r>
  <r>
    <x v="0"/>
    <x v="1"/>
    <s v="2026061WW"/>
    <s v="K"/>
    <s v="R151"/>
    <n v="48"/>
    <s v="2026/06"/>
    <s v="E37VASA183KM2000108"/>
    <s v="KNCSHX76LS7818351"/>
    <s v="W"/>
    <s v="HD"/>
    <s v="287004E740"/>
    <s v="MUFFLER ASSY-MAIN"/>
    <s v="          "/>
    <s v="[C]Michaela - Customer complains of noise coming from underneath the vehicle. [R]Replaced exhaust all good VDN no: 250919001I [T]Exhaust cracked open due to welding causing a weak spot on the seam. VDN no: 250919001I [L]10= 10706km - 27.08.2025 [D]check and update RO no-simz02/12"/>
    <s v="28650R00"/>
    <s v="ZZ4"/>
    <s v="Q75"/>
    <s v="2024/09/04"/>
    <s v="2026/04/16"/>
    <s v="2025/06/26"/>
    <n v="10"/>
    <n v="51039"/>
    <s v="            "/>
    <n v="100"/>
    <n v="18.18"/>
    <n v="18.18"/>
    <n v="31737"/>
    <n v="3979"/>
    <n v="0"/>
    <n v="35716"/>
    <s v="봉고3 1톤/1.4톤"/>
    <s v="2024-09"/>
    <s v="재질불량"/>
    <x v="3"/>
    <n v="60000"/>
    <n v="55000"/>
    <n v="12"/>
    <n v="12"/>
    <s v="E37"/>
    <s v="SOUTH AFRICA"/>
    <x v="3"/>
    <x v="1"/>
    <s v="머플러"/>
    <m/>
    <x v="6"/>
    <s v="2026년"/>
    <s v="2분기"/>
  </r>
  <r>
    <x v="0"/>
    <x v="1"/>
    <s v="2026061WW"/>
    <s v="K"/>
    <s v="R151"/>
    <n v="49"/>
    <s v="2026/06"/>
    <s v="B06VA620582623687A "/>
    <s v="KNDCR3LE9T5316354"/>
    <s v="W"/>
    <s v="0T"/>
    <s v="28710AT100"/>
    <s v="MUFFLER ASSY-RR"/>
    <s v="          "/>
    <s v="[C]CLIENT MENTIONNE QU IL Y A DE LA ROUILLE ( EN TRAIN DE PERCER) SUR LE MUFFLER [R]REMPLACEMENT DU MUFFLER OK [T]CONFIRMR ROUILLE PROFONDE SUR MUFFLER"/>
    <s v="28700R00"/>
    <s v="ZZ3"/>
    <s v="A12"/>
    <s v="2025/07/11"/>
    <s v="2026/05/29"/>
    <s v="2025/08/31"/>
    <n v="9"/>
    <n v="592"/>
    <s v="            "/>
    <n v="100"/>
    <n v="18.18"/>
    <n v="18.18"/>
    <n v="22339"/>
    <n v="6975"/>
    <n v="0"/>
    <n v="29314"/>
    <s v="SG2 (니로 후속) 21"/>
    <s v="2025-07"/>
    <s v="단품불량"/>
    <x v="9"/>
    <n v="10000"/>
    <n v="5000"/>
    <n v="12"/>
    <n v="12"/>
    <s v="B06"/>
    <s v="CANADA"/>
    <x v="3"/>
    <x v="1"/>
    <s v="머플러"/>
    <m/>
    <x v="0"/>
    <s v="2026년"/>
    <s v="2분기"/>
  </r>
  <r>
    <x v="0"/>
    <x v="1"/>
    <s v="2026061WW"/>
    <s v="K"/>
    <s v="R151"/>
    <n v="50"/>
    <s v="2026/06"/>
    <s v="C14VC50884KM2000469"/>
    <s v="KNAB3518JST311779"/>
    <s v="W"/>
    <s v="G6"/>
    <s v="28710G6200"/>
    <s v="MUFFLER ASSY-RR"/>
    <s v="          "/>
    <s v="[C]Uitlaat systeem. Steen in het uitlaat systeem [R]Einddemper vervangen [T]Er zit inderdaad iets los in. Einddemper gedemonteerd. Proberen eruit te halen. Dit lukt niet. Ivm opbouw uitlaat. Uiltaat verder controleren. Geen afwijkingen geconstateerd. Probleem zit in de einddemper. Deze vervangen"/>
    <s v="28700R00"/>
    <s v="ZZ2"/>
    <s v="Q55"/>
    <s v="2024/10/05"/>
    <s v="2026/06/09"/>
    <s v="2025/03/07"/>
    <n v="16"/>
    <n v="30477"/>
    <s v="            "/>
    <n v="100"/>
    <n v="18.18"/>
    <n v="18.18"/>
    <n v="10589"/>
    <n v="12409"/>
    <n v="0"/>
    <n v="22998"/>
    <s v="JA 17"/>
    <s v="2024-10"/>
    <s v="파손"/>
    <x v="3"/>
    <n v="40000"/>
    <n v="35000"/>
    <n v="18"/>
    <n v="18"/>
    <s v="C14"/>
    <s v="NETHERLANDS"/>
    <x v="3"/>
    <x v="1"/>
    <s v="머플러"/>
    <m/>
    <x v="3"/>
    <s v="2026년"/>
    <s v="2분기"/>
  </r>
  <r>
    <x v="0"/>
    <x v="1"/>
    <s v="2026061WW"/>
    <s v="K"/>
    <s v="R151"/>
    <n v="52"/>
    <s v="2026/06"/>
    <s v="B21VBMAN0226060022 "/>
    <s v="KNCWJX72AT7847020"/>
    <s v="W"/>
    <s v="HD"/>
    <s v="287504E960"/>
    <s v="MUFFLER ASSY-TAIL"/>
    <s v="          "/>
    <s v="[C]NOISE FROM EXHAUST TUBE ASSY [R]TO REPLACE DEFECTIVE EXHAUST TUBE ASSY [T]DUE BROKEN EXHAUST TUBE ASSY"/>
    <s v="40700R00"/>
    <s v="ZZ4"/>
    <s v="Q55"/>
    <s v="2025/02/24"/>
    <s v="2026/05/21"/>
    <s v="2025/05/08"/>
    <n v="13"/>
    <n v="22380"/>
    <s v="            "/>
    <n v="100"/>
    <n v="18.18"/>
    <n v="18.18"/>
    <n v="8194"/>
    <n v="1076"/>
    <n v="0"/>
    <n v="9270"/>
    <s v="봉고3 1톤/1.4톤"/>
    <s v="2025-02"/>
    <s v="재질불량"/>
    <x v="3"/>
    <n v="30000"/>
    <n v="25000"/>
    <n v="18"/>
    <n v="15"/>
    <s v="B21"/>
    <s v="NICARAGUA"/>
    <x v="5"/>
    <x v="1"/>
    <s v="머플러"/>
    <m/>
    <x v="6"/>
    <s v="2026년"/>
    <s v="2분기"/>
  </r>
  <r>
    <x v="0"/>
    <x v="1"/>
    <s v="2026061WW"/>
    <s v="K"/>
    <s v="R151"/>
    <n v="53"/>
    <s v="2026/06"/>
    <s v="B21VBMAN0226060046 "/>
    <s v="KNCWJZ72AT7847952"/>
    <s v="W"/>
    <s v="HD"/>
    <s v="287504E960"/>
    <s v="MUFFLER ASSY-TAIL"/>
    <s v="          "/>
    <s v="[C]NOISE FROM EXHAUST SYSTEM [R]TO REPLACE DEFECTIVE EXHAUST TUBE ASSY [T]DUE BROKEN EXHAUT TUBE ASSY"/>
    <s v="40700R00"/>
    <s v="ZZ4"/>
    <s v="Q55"/>
    <s v="2025/02/26"/>
    <s v="2026/05/29"/>
    <s v="2025/05/08"/>
    <n v="13"/>
    <n v="9200"/>
    <s v="            "/>
    <n v="100"/>
    <n v="18.18"/>
    <n v="18.18"/>
    <n v="8194"/>
    <n v="1076"/>
    <n v="0"/>
    <n v="9270"/>
    <s v="봉고3 1톤/1.4톤"/>
    <s v="2025-02"/>
    <s v="재질불량"/>
    <x v="3"/>
    <n v="10000"/>
    <n v="10000"/>
    <n v="18"/>
    <n v="15"/>
    <s v="B21"/>
    <s v="NICARAGUA"/>
    <x v="5"/>
    <x v="1"/>
    <s v="머플러"/>
    <m/>
    <x v="6"/>
    <s v="2026년"/>
    <s v="2분기"/>
  </r>
  <r>
    <x v="0"/>
    <x v="1"/>
    <s v="2026061WW"/>
    <s v="K"/>
    <s v="R151"/>
    <n v="54"/>
    <s v="2026/06"/>
    <s v="B15VA00005260614000"/>
    <s v="KNCWJX72AT7853547"/>
    <s v="W"/>
    <s v="HD"/>
    <s v="287504E960"/>
    <s v="MUFFLER ASSY-TAIL"/>
    <s v="          "/>
    <s v="[C]Cliente reporta ruido en sistema de escape [R]se realizo reemplazo de tubería final de sistema de escape [T]se realizo revisión al sistema de escape de motor , se detecto que la tubería final presenta fractura , esto ocasiona que al momento de acelerar presente ruido"/>
    <s v="40700R00"/>
    <s v="ZZ3"/>
    <s v="Q55"/>
    <s v="2025/03/24"/>
    <s v="2026/05/27"/>
    <s v="2025/06/26"/>
    <n v="12"/>
    <n v="8900"/>
    <s v="            "/>
    <n v="100"/>
    <n v="18.18"/>
    <n v="18.18"/>
    <n v="6434"/>
    <n v="2348"/>
    <n v="0"/>
    <n v="8782"/>
    <s v="봉고3 1톤/1.4톤"/>
    <s v="2025-03"/>
    <s v="단품불량"/>
    <x v="3"/>
    <n v="10000"/>
    <n v="10000"/>
    <n v="18"/>
    <n v="15"/>
    <s v="B15"/>
    <s v="GUATEMALA"/>
    <x v="5"/>
    <x v="1"/>
    <s v="머플러"/>
    <m/>
    <x v="6"/>
    <s v="2026년"/>
    <s v="2분기"/>
  </r>
  <r>
    <x v="0"/>
    <x v="1"/>
    <s v="2026061WW"/>
    <s v="K"/>
    <s v="R151"/>
    <n v="55"/>
    <s v="2026/06"/>
    <s v="B06VA540432623191B "/>
    <s v="KNDRMDLH8P5170124"/>
    <s v="W"/>
    <s v="HC"/>
    <s v="287512B650"/>
    <s v="GASKET"/>
    <s v="          "/>
    <e v="#N/A"/>
    <s v="28700R00"/>
    <s v="ZZ3"/>
    <s v="B1E"/>
    <s v="2023/01/16"/>
    <s v="2026/06/09"/>
    <s v="2023/04/06"/>
    <n v="39"/>
    <n v="50832"/>
    <s v="            "/>
    <n v="100"/>
    <n v="18.18"/>
    <n v="18.18"/>
    <n v="240"/>
    <n v="6967"/>
    <n v="0"/>
    <n v="7207"/>
    <s v="MQ4 20 HEV"/>
    <s v="2023-01"/>
    <s v="단품불량"/>
    <x v="6"/>
    <n v="60000"/>
    <n v="55000"/>
    <n v="42"/>
    <n v="42"/>
    <s v="B06"/>
    <s v="CANADA"/>
    <x v="6"/>
    <x v="1"/>
    <s v="머플러"/>
    <m/>
    <x v="4"/>
    <s v="2026년"/>
    <s v="2분기"/>
  </r>
  <r>
    <x v="0"/>
    <x v="1"/>
    <s v="2026061WA"/>
    <s v="K"/>
    <s v="R151"/>
    <n v="1"/>
    <s v="2026/04"/>
    <s v="B28VACA3162671007-A"/>
    <s v="KNDNC5KA8S6066411"/>
    <s v="W"/>
    <s v="8S"/>
    <s v="28600ES120"/>
    <s v="MUFFLER COMPLETE-CTR"/>
    <s v="          "/>
    <s v="[D]CUSTOMER STATES THERE IS A RATTLING NOISE COMING FROM UNDERNEATH THE VEHICLE. CHECK AND ADVISE. VERIFIED CUSTOMER CONCERN RATTLING NOISE. FOUND THAT CENTER MUFFLER WAS SHOWING SIGNS OF CRACKING FROM WELDING OF FACTORY, RECOMMEND REPLACEMENT. FOUND NO SIGHS OF EXTERNAL DAMAGE ON MUFFLER OR UNDER CARRIAGE . VERIFIED CUSTOMER CONCERN THERE IS A RATTLING NOISE COMING FROM UNDERNEATH VEHICLE. RECOMMEND REPLACEMENT OF MUFFLER. REPLACED CENTER COMPLETE MUFFLER. NO MORE RATTLING PRESENT. VEHICLE NOW TO SPEC."/>
    <s v="28650R00"/>
    <s v="ZZ3"/>
    <s v="Q51"/>
    <s v="2025/01/13"/>
    <s v="2026/03/16"/>
    <s v="2025/03/31"/>
    <n v="12"/>
    <n v="17131"/>
    <s v="            "/>
    <n v="100"/>
    <n v="18.18"/>
    <n v="18.18"/>
    <n v="102509"/>
    <n v="62902"/>
    <n v="0"/>
    <n v="165411"/>
    <s v="카니발 상품성개선 하이브리드 24"/>
    <s v="2025-01"/>
    <s v="단품불량"/>
    <x v="3"/>
    <n v="20000"/>
    <n v="20000"/>
    <n v="18"/>
    <n v="15"/>
    <s v="B28"/>
    <s v="U.S.A"/>
    <x v="2"/>
    <x v="1"/>
    <s v="머플러"/>
    <m/>
    <x v="5"/>
    <s v="2026년"/>
    <s v="2분기"/>
  </r>
  <r>
    <x v="1"/>
    <x v="0"/>
    <s v="2026061WW"/>
    <s v="H"/>
    <s v="R151"/>
    <n v="1"/>
    <s v="2026/06"/>
    <s v="I1Z0062026200076400"/>
    <s v="KMHHE811GSU091851"/>
    <s v="W"/>
    <s v="1Y"/>
    <s v="2853008490"/>
    <s v="CONVERTER ASSY-W/UP CATALYTIC"/>
    <s v="          "/>
    <s v="[C]1.현상 : 경고등 재점등 2.점검내용 및 원인 : P04200촉매 점화능력 저하(뱅크1) 경고등점등발생 P04200 점등 산소센서 작동 정상수치메니폴더 내부불량 3.조치내용 : 촉매 어셈블리 4.요망사항 : 품질개선요망"/>
    <s v="28530R00"/>
    <m/>
    <s v="W17"/>
    <s v="2024/08/23"/>
    <s v="2026/06/25"/>
    <s v="2024/08/29"/>
    <n v="22"/>
    <n v="27692"/>
    <s v="            "/>
    <n v="100"/>
    <n v="27.72"/>
    <n v="27.72"/>
    <n v="99224"/>
    <n v="12959"/>
    <n v="0"/>
    <n v="112183"/>
    <s v="SX2(코나 후속) 하이브리드 23"/>
    <s v="2024-08"/>
    <e v="#N/A"/>
    <x v="1"/>
    <n v="30000"/>
    <n v="30000"/>
    <n v="24"/>
    <n v="24"/>
    <s v="I1Z"/>
    <s v="한국"/>
    <x v="4"/>
    <x v="1"/>
    <s v="컨버터"/>
    <s v="카파(KIA)"/>
    <x v="8"/>
    <s v="2026년"/>
    <s v="2분기"/>
  </r>
  <r>
    <x v="1"/>
    <x v="0"/>
    <s v="2026061WW"/>
    <s v="H"/>
    <s v="R151"/>
    <n v="2"/>
    <s v="2026/06"/>
    <s v="Z0ZZ992026203004900"/>
    <s v="KMTG141ABMU087435"/>
    <s v="W"/>
    <s v="G9"/>
    <s v="285302C840"/>
    <s v="CONVERTER ASSY-W/UP CATALYTIC"/>
    <s v="          "/>
    <s v="[C]1.현상 : 엔진 경고등 점등 2.점검내용 및 원인 : 스켄진단시 P0420-촉매정화능력 저하 표출 시운전 및 산소센서 데이터 확인시 특이사항 없음 촉매 컨버터 성능이상으로 주행중 경고등 점등 발생 3.조치내용 : 촉매 컨버터 및 산소센서 교환 4.요망사항 : ........."/>
    <s v="QUICKRZZ"/>
    <s v="ZZ5"/>
    <s v="W17"/>
    <s v="2021/06/09"/>
    <s v="2026/06/15"/>
    <s v="2021/06/28"/>
    <n v="60"/>
    <n v="69593"/>
    <s v="            "/>
    <n v="100"/>
    <n v="27.72"/>
    <n v="27.72"/>
    <n v="0"/>
    <n v="6930"/>
    <n v="0"/>
    <n v="6930"/>
    <s v="G70 17/21/23"/>
    <s v="2021-06"/>
    <s v="상품성 불만"/>
    <x v="1"/>
    <n v="70000"/>
    <n v="70000"/>
    <s v="≥60"/>
    <s v="≥60"/>
    <s v="Z0Z"/>
    <s v="한국"/>
    <x v="4"/>
    <x v="1"/>
    <s v="컨버터"/>
    <s v="쎄타"/>
    <x v="7"/>
    <s v="2026년"/>
    <s v="2분기"/>
  </r>
  <r>
    <x v="1"/>
    <x v="0"/>
    <s v="2026061WW"/>
    <s v="H"/>
    <s v="R151"/>
    <n v="3"/>
    <s v="2026/06"/>
    <s v="F010002026200362100"/>
    <s v="KMTG141ABMU087435"/>
    <s v="R"/>
    <s v="G9"/>
    <s v="285302C840"/>
    <s v="CONVERTER ASSY-W/UP CATALYTIC"/>
    <s v="          "/>
    <s v="[C]1.현상 : 엔진 경고등 점등 2.점검내용 및 원인 : 스켄진단시 P0420-촉매정화능력 저하 표출 시운전 및 산소센서 데이터 확인시 특이사항 없음 촉매 컨버터 성능이상으로 주행중 경고등 점등 발생 3.조치내용 : 촉매 컨버터 및 산소센서 교환 4.요망사항 : ........."/>
    <s v="99990Z00"/>
    <m/>
    <s v="W17"/>
    <s v="2021/06/09"/>
    <s v="2026/06/15"/>
    <s v="2021/06/28"/>
    <n v="60"/>
    <n v="69593"/>
    <s v="            "/>
    <n v="100"/>
    <n v="27.72"/>
    <n v="27.72"/>
    <n v="260333"/>
    <n v="0"/>
    <n v="0"/>
    <n v="260333"/>
    <s v="G70 17/21/23"/>
    <s v="2021-06"/>
    <e v="#N/A"/>
    <x v="1"/>
    <n v="70000"/>
    <n v="70000"/>
    <s v="≥60"/>
    <s v="≥60"/>
    <s v="F01"/>
    <s v="한국"/>
    <x v="4"/>
    <x v="1"/>
    <s v="컨버터"/>
    <s v="쎄타"/>
    <x v="7"/>
    <s v="2026년"/>
    <s v="2분기"/>
  </r>
  <r>
    <x v="1"/>
    <x v="0"/>
    <s v="2026061WW"/>
    <s v="H"/>
    <s v="R151"/>
    <n v="4"/>
    <s v="2026/06"/>
    <s v="F1Z0082026200190800"/>
    <s v="KMTG141ABMU087435"/>
    <s v="W"/>
    <s v="G9"/>
    <s v="285302C840"/>
    <s v="CONVERTER ASSY-W/UP CATALYTIC"/>
    <s v="          "/>
    <s v="[C]1.현상 : 엔진 경고등 점등 2.점검내용 및 원인 : 스켄진단시 P0420-촉매정화능력 저하 표출 시운전 및 산소센서 데이터 확인시 특이사항 없음 촉매 컨버터 성능이상으로 주행중 경고등 점등 발생 3.조치내용 : 촉매 컨버터 및 산소센서 교환 4.요망사항 : ........."/>
    <s v="28530RQ0"/>
    <m/>
    <s v="W17"/>
    <s v="2021/06/09"/>
    <s v="2026/06/15"/>
    <s v="2021/06/28"/>
    <n v="60"/>
    <n v="69593"/>
    <s v="            "/>
    <n v="100"/>
    <n v="27.72"/>
    <n v="27.72"/>
    <n v="11702"/>
    <n v="29979"/>
    <n v="0"/>
    <n v="41681"/>
    <s v="G70 17/21/23"/>
    <s v="2021-06"/>
    <e v="#N/A"/>
    <x v="1"/>
    <n v="70000"/>
    <n v="70000"/>
    <s v="≥60"/>
    <s v="≥60"/>
    <s v="F1Z"/>
    <s v="한국"/>
    <x v="4"/>
    <x v="1"/>
    <s v="컨버터"/>
    <s v="쎄타"/>
    <x v="7"/>
    <s v="2026년"/>
    <s v="2분기"/>
  </r>
  <r>
    <x v="1"/>
    <x v="0"/>
    <s v="2026061WW"/>
    <s v="H"/>
    <s v="R151"/>
    <n v="5"/>
    <s v="2026/06"/>
    <s v="S02DK52026200014700"/>
    <s v="KMHLW41KGRU017326"/>
    <s v="W"/>
    <s v="IB"/>
    <s v="285302GLA0"/>
    <s v="CONVERTER ASSY-W/UP CATALYTIC"/>
    <s v="          "/>
    <s v="[C]1.현상 : 오르막 주행중 가속불량 및 출력저하 2.점검내용 및 원인 : 2-1 GDS진단시 경고등 없음 2-2 촉매 내시경으로 내부 확인시 열화로인한 내부 파손확인됨 2-3 외부 충격 및 개조없음 2-4 ECU 맵핑테스트시 이상없음 2-5 촉매 탈거중 터보차져와 연결된 스터트볼트 고착되어 볼트 파손됨 2-6 촉매 및 터보차져 동시 교환 3.조치내용 : 캐털리틱 케이스 및 터보차져 교환 4.요망사항 : 사진 참조요망"/>
    <s v="28511R5T"/>
    <m/>
    <s v="DD1"/>
    <s v="2023/08/30"/>
    <s v="2026/05/26"/>
    <s v="2023/09/25"/>
    <n v="33"/>
    <n v="17134"/>
    <s v="            "/>
    <n v="100"/>
    <n v="27.72"/>
    <n v="27.72"/>
    <n v="346680"/>
    <n v="52391"/>
    <n v="0"/>
    <n v="399071"/>
    <s v="CN7 고성능차 21"/>
    <s v="2023-08"/>
    <e v="#N/A"/>
    <x v="5"/>
    <n v="20000"/>
    <n v="20000"/>
    <n v="36"/>
    <n v="36"/>
    <s v="S02"/>
    <s v="한국"/>
    <x v="4"/>
    <x v="1"/>
    <s v="컨버터"/>
    <s v="쎄타"/>
    <x v="7"/>
    <s v="2026년"/>
    <s v="2분기"/>
  </r>
  <r>
    <x v="1"/>
    <x v="0"/>
    <s v="2026061WW"/>
    <s v="H"/>
    <s v="R151"/>
    <n v="6"/>
    <s v="2026/06"/>
    <s v="E01E332026200127600"/>
    <s v="KMHLW41KGRU017543"/>
    <s v="W"/>
    <s v="IB"/>
    <s v="285302GLA0"/>
    <s v="CONVERTER ASSY-W/UP CATALYTIC"/>
    <s v="          "/>
    <s v="[C]1.현상 : 1.클러스터 엔진체크등 점등 2.점검내용 및 원인 : 1.엔진 P042000 촉매-정화능력 저하 외1 발생됨 2.흡기 및 배기 기밀상태 점검 3.촉매 내부 필터 성능 저하로 인해 경고등 점등으로 판단됨 3.조치내용 : 1.촉매 탈거 시 터보차저측 스터드 나사산 마모로 재사용 불가 2.촉매 매니폴드 및 터보차저 동시 교환 실시함 4.요망사항 : 해당사항 없음"/>
    <s v="28511R5T"/>
    <m/>
    <s v="W11"/>
    <s v="2023/09/11"/>
    <s v="2026/05/29"/>
    <s v="2023/09/25"/>
    <n v="33"/>
    <n v="75723"/>
    <s v="            "/>
    <n v="100"/>
    <n v="27.72"/>
    <n v="27.72"/>
    <n v="353529"/>
    <n v="84698"/>
    <n v="0"/>
    <n v="438227"/>
    <s v="CN7 고성능차 21"/>
    <s v="2023-09"/>
    <e v="#N/A"/>
    <x v="1"/>
    <n v="80000"/>
    <n v="80000"/>
    <n v="36"/>
    <n v="36"/>
    <s v="E01"/>
    <s v="한국"/>
    <x v="4"/>
    <x v="1"/>
    <s v="컨버터"/>
    <s v="쎄타"/>
    <x v="7"/>
    <s v="2026년"/>
    <s v="2분기"/>
  </r>
  <r>
    <x v="1"/>
    <x v="0"/>
    <s v="2026061WW"/>
    <s v="H"/>
    <s v="R151"/>
    <n v="7"/>
    <s v="2026/06"/>
    <s v="B020002026200836300"/>
    <s v="KMHLW41KGRU018254"/>
    <s v="R"/>
    <s v="IB"/>
    <s v="285302GLA0"/>
    <s v="CONVERTER ASSY-W/UP CATALYTIC"/>
    <s v="          "/>
    <s v="[C]1.현상 : 매연과다로 입고 2.점검내용 및 원인 : 촉매 육안점검시 손상 확인 3.조치내용 : 촉매 교환. 4.요망사항 : 없습니다."/>
    <s v="99990Z00"/>
    <m/>
    <s v="H23"/>
    <s v="2023/10/14"/>
    <s v="2026/05/20"/>
    <s v="2023/10/19"/>
    <n v="32"/>
    <n v="35739"/>
    <s v="            "/>
    <n v="100"/>
    <n v="27.72"/>
    <n v="27.72"/>
    <n v="208467"/>
    <n v="0"/>
    <n v="0"/>
    <n v="208467"/>
    <s v="CN7 고성능차 21"/>
    <s v="2023-10"/>
    <e v="#N/A"/>
    <x v="11"/>
    <n v="40000"/>
    <n v="40000"/>
    <n v="36"/>
    <n v="33"/>
    <s v="B02"/>
    <s v="한국"/>
    <x v="4"/>
    <x v="1"/>
    <s v="컨버터"/>
    <s v="쎄타"/>
    <x v="7"/>
    <s v="2026년"/>
    <s v="2분기"/>
  </r>
  <r>
    <x v="1"/>
    <x v="0"/>
    <s v="2026061WW"/>
    <s v="H"/>
    <s v="R151"/>
    <n v="8"/>
    <s v="2026/06"/>
    <s v="Z0ZZ992026202629300"/>
    <s v="KMHLW41KGRU018254"/>
    <s v="W"/>
    <s v="IB"/>
    <s v="285302GLA0"/>
    <s v="CONVERTER ASSY-W/UP CATALYTIC"/>
    <s v="          "/>
    <s v="[C]1.현상 : 매연과다로 입고 2.점검내용 및 원인 : 촉매 육안점검시 손상 확인 3.조치내용 : 촉매 교환. 4.요망사항 : 없습니다."/>
    <s v="QUICKRZZ"/>
    <s v="ZZ3"/>
    <s v="H23"/>
    <s v="2023/10/14"/>
    <s v="2026/05/20"/>
    <s v="2023/10/19"/>
    <n v="32"/>
    <n v="35739"/>
    <s v="            "/>
    <n v="100"/>
    <n v="27.72"/>
    <n v="27.72"/>
    <n v="0"/>
    <n v="6930"/>
    <n v="0"/>
    <n v="6930"/>
    <s v="CN7 고성능차 21"/>
    <s v="2023-10"/>
    <s v="단품불량"/>
    <x v="11"/>
    <n v="40000"/>
    <n v="40000"/>
    <n v="36"/>
    <n v="33"/>
    <s v="Z0Z"/>
    <s v="한국"/>
    <x v="4"/>
    <x v="1"/>
    <s v="컨버터"/>
    <s v="쎄타"/>
    <x v="7"/>
    <s v="2026년"/>
    <s v="2분기"/>
  </r>
  <r>
    <x v="1"/>
    <x v="0"/>
    <s v="2026061WW"/>
    <s v="H"/>
    <s v="R151"/>
    <n v="9"/>
    <s v="2026/06"/>
    <s v="MB0D752026200049500"/>
    <s v="KMHLW41KGRU018254"/>
    <s v="W"/>
    <s v="IB"/>
    <s v="285302GLA0"/>
    <s v="CONVERTER ASSY-W/UP CATALYTIC"/>
    <s v="          "/>
    <s v="[C]1.현상 : 매연과다로 입고 2.점검내용 및 원인 : 촉매 육안점검시 손상 확인 3.조치내용 : 촉매 교환. 4.요망사항 : 없습니다."/>
    <s v="28530R00"/>
    <m/>
    <s v="H23"/>
    <s v="2023/10/14"/>
    <s v="2026/05/20"/>
    <s v="2023/10/19"/>
    <n v="32"/>
    <n v="35739"/>
    <s v="            "/>
    <n v="100"/>
    <n v="27.72"/>
    <n v="27.72"/>
    <n v="0"/>
    <n v="25211"/>
    <n v="0"/>
    <n v="25211"/>
    <s v="CN7 고성능차 21"/>
    <s v="2023-10"/>
    <e v="#N/A"/>
    <x v="11"/>
    <n v="40000"/>
    <n v="40000"/>
    <n v="36"/>
    <n v="33"/>
    <s v="MB0"/>
    <s v="한국"/>
    <x v="4"/>
    <x v="1"/>
    <s v="컨버터"/>
    <s v="쎄타"/>
    <x v="7"/>
    <s v="2026년"/>
    <s v="2분기"/>
  </r>
  <r>
    <x v="1"/>
    <x v="0"/>
    <s v="2026061WW"/>
    <s v="H"/>
    <s v="R151"/>
    <n v="10"/>
    <s v="2026/06"/>
    <s v="T1Z0022026200108400"/>
    <s v="KMHLW41KGRU021458"/>
    <s v="W"/>
    <s v="IB"/>
    <s v="285302GLA0"/>
    <s v="CONVERTER ASSY-W/UP CATALYTIC"/>
    <s v="          "/>
    <s v="[C]1.현상 : 엔진경고등 점등 2.점검내용 및 원인 : P0420 촉매 정화능력저하진단되고 촉매탈거후 내부점검시 내부깨짐 확인됨(사진첨부)4번사진 3.조치내용 : 캐털리스트 케이스 교환후 출고 4.요망사항 : 요망 사항 없음"/>
    <s v="28530R00"/>
    <m/>
    <s v="W11"/>
    <s v="2024/04/18"/>
    <s v="2026/06/18"/>
    <s v="2024/04/24"/>
    <n v="26"/>
    <n v="72882"/>
    <s v="            "/>
    <n v="100"/>
    <n v="27.72"/>
    <n v="27.72"/>
    <n v="210644"/>
    <n v="20028"/>
    <n v="0"/>
    <n v="230672"/>
    <s v="CN7 고성능차 21"/>
    <s v="2024-04"/>
    <e v="#N/A"/>
    <x v="1"/>
    <n v="80000"/>
    <n v="75000"/>
    <n v="30"/>
    <n v="27"/>
    <s v="T1Z"/>
    <s v="한국"/>
    <x v="4"/>
    <x v="1"/>
    <s v="컨버터"/>
    <s v="쎄타"/>
    <x v="7"/>
    <s v="2026년"/>
    <s v="2분기"/>
  </r>
  <r>
    <x v="1"/>
    <x v="0"/>
    <s v="2026061WW"/>
    <s v="H"/>
    <s v="R151"/>
    <n v="11"/>
    <s v="2026/06"/>
    <s v="P01DL42026200122400"/>
    <s v="KMHT361HGNU013300"/>
    <s v="W"/>
    <s v="BU"/>
    <s v="285302GTA0"/>
    <s v="CONVERTER ASSY-W/UP CATALYTIC"/>
    <s v="          "/>
    <s v="[C]1.현상 : 엔진경고등 점등으로 입고 2.점검내용 및 원인 : 점검하니 엔진 경고등 점등됨 촉매정화능력 저하 사고흔적이나 파손흔적없음 촉매 육안점검하니 내부 깨짐발생 교환후 정상출고 3.조치내용 : 촉매 교환 조치 4.요망사항 : 품질 개선 요망"/>
    <s v="28530RQ0"/>
    <m/>
    <s v="W11"/>
    <s v="2022/01/11"/>
    <s v="2026/06/09"/>
    <s v="2022/01/18"/>
    <n v="53"/>
    <n v="63385"/>
    <s v="            "/>
    <n v="100"/>
    <n v="27.72"/>
    <n v="27.72"/>
    <n v="152726"/>
    <n v="24116"/>
    <n v="0"/>
    <n v="176842"/>
    <s v="JS N 18"/>
    <s v="2022-01"/>
    <e v="#N/A"/>
    <x v="1"/>
    <n v="70000"/>
    <n v="65000"/>
    <n v="54"/>
    <n v="54"/>
    <s v="P01"/>
    <s v="한국"/>
    <x v="4"/>
    <x v="1"/>
    <s v="컨버터"/>
    <s v="쎄타"/>
    <x v="7"/>
    <s v="2026년"/>
    <s v="2분기"/>
  </r>
  <r>
    <x v="1"/>
    <x v="0"/>
    <s v="2026061WW"/>
    <s v="H"/>
    <s v="R151"/>
    <n v="12"/>
    <s v="2026/06"/>
    <s v="MK06802026W00118600"/>
    <s v="KNAE551CBPS129100"/>
    <s v="W"/>
    <s v="J5"/>
    <s v="285303LVE0"/>
    <s v="CONVERTER ASSY-W/UP CAT,LH"/>
    <s v="          "/>
    <s v="[C]1.현상 : 주행중 엔진 경고등 점등 현상 2.점검내용 및 원인 : P043000 촉매 정화능력 저하 3.조치내용 : 촉매 교환"/>
    <s v="28530RQ0"/>
    <m/>
    <s v="W11"/>
    <s v="2022/10/26"/>
    <s v="2026/05/11"/>
    <s v="2022/10/28"/>
    <n v="43"/>
    <n v="49857"/>
    <s v="2161E0164   "/>
    <n v="100"/>
    <n v="27.72"/>
    <n v="27.72"/>
    <n v="262978"/>
    <n v="116632"/>
    <n v="0"/>
    <n v="379610"/>
    <s v="CK 17"/>
    <s v="2022-10"/>
    <e v="#N/A"/>
    <x v="1"/>
    <n v="50000"/>
    <n v="50000"/>
    <n v="48"/>
    <n v="45"/>
    <s v="MK0"/>
    <s v="한국"/>
    <x v="4"/>
    <x v="1"/>
    <s v="컨버터"/>
    <s v="람다"/>
    <x v="9"/>
    <s v="2026년"/>
    <s v="2분기"/>
  </r>
  <r>
    <x v="1"/>
    <x v="1"/>
    <s v="2026061WW"/>
    <s v="H"/>
    <s v="R151"/>
    <n v="1"/>
    <s v="2026/06"/>
    <s v="D15ACG0004260602001"/>
    <s v="KMTG341A2PU113117"/>
    <s v="W"/>
    <s v="G9"/>
    <s v="285302C800"/>
    <s v="CONVERTER ASSY-W/UP CATALYTIC"/>
    <s v="          "/>
    <s v="[C]Engine lack of power, warning light ON and white smoke coming from exhaust at idling and during driving. [R]Replaced catalyst case assembly and fuel injector cylinder # 4 [T]'We received one IK G70 with engine lack of power, warning light ON and white smoke coming from exhaust at idling and during driving, DTC detected as: P008700: Fuel rail/system pressure - Too low and P225100: O2 sensor reference 'ground circuit/open (Bank 1 Sensor 1). Both are active. After inspecti [L]Evaluated by Mr. Lowell"/>
    <s v="28530R00"/>
    <s v="ZZ2"/>
    <s v="W17"/>
    <s v="2022/09/27"/>
    <s v="2026/04/02"/>
    <s v="2023/07/30"/>
    <n v="33"/>
    <n v="46850"/>
    <s v="            "/>
    <n v="100"/>
    <n v="19.8"/>
    <n v="19.8"/>
    <n v="92160"/>
    <n v="77228"/>
    <n v="0"/>
    <n v="169388"/>
    <s v="G70 17/21/23"/>
    <s v="2022-09"/>
    <s v="파손"/>
    <x v="1"/>
    <n v="50000"/>
    <n v="50000"/>
    <n v="36"/>
    <n v="36"/>
    <s v="D15"/>
    <s v="SAUDI ARA"/>
    <x v="4"/>
    <x v="1"/>
    <s v="컨버터"/>
    <s v="쎄타"/>
    <x v="7"/>
    <s v="2026년"/>
    <s v="2분기"/>
  </r>
  <r>
    <x v="1"/>
    <x v="1"/>
    <s v="2026061WW"/>
    <s v="H"/>
    <s v="R151"/>
    <n v="2"/>
    <s v="2026/06"/>
    <s v="B28AAMS70437609B000"/>
    <s v="KMTG64LA8MU067230"/>
    <s v="W"/>
    <s v="G9"/>
    <s v="285302C910"/>
    <s v="CONVERTER ASSY-W/UP CATALYTIC"/>
    <s v="          "/>
    <s v="[C]MAINTENANCE OR LINE WORK CUSTOMER STATES VEHICLE WILL NOT STAY RUNNING [T]ACCESSED, REMOVED AND REPLACED THE FRONT CATALYST. THE SYSTEM IS OPERATING AS DESIGNED. THE SYSTEM IS RUNNING PROPERLY IN LINE WITH THE SPECIFICATIONS AT THIS TIME. [S]VERIFIED THE CUSTOMERS CONCERN OF RAW FUEL CAUSED CATALYTIC CONVERTOR TO CLOGGED. PERFORMED A VISUAL INSPECTION. PERFORMED A FUEL LEAK ODOR DIAGNOSTIC. FOUND THE FRONT CATALYST IS PLUGGED"/>
    <s v="28530R00"/>
    <s v="ZZ3"/>
    <s v="W11"/>
    <s v="2020/03/28"/>
    <s v="2024/09/24"/>
    <s v="2020/10/16"/>
    <n v="48"/>
    <n v="94043"/>
    <s v="            "/>
    <n v="100"/>
    <n v="19.8"/>
    <n v="19.8"/>
    <n v="210449"/>
    <n v="62914"/>
    <n v="62622"/>
    <n v="335985"/>
    <s v="G70 17/21/23"/>
    <s v="2020-03"/>
    <s v="단품불량"/>
    <x v="1"/>
    <n v="100000"/>
    <n v="95000"/>
    <n v="54"/>
    <n v="51"/>
    <s v="B28"/>
    <s v="U.S.A"/>
    <x v="4"/>
    <x v="1"/>
    <s v="컨버터"/>
    <s v="쎄타"/>
    <x v="7"/>
    <s v="2026년"/>
    <s v="2분기"/>
  </r>
  <r>
    <x v="1"/>
    <x v="1"/>
    <s v="2026061WW"/>
    <s v="H"/>
    <s v="R151"/>
    <n v="3"/>
    <s v="2026/06"/>
    <s v="B28AAFL15496690A000"/>
    <s v="KMHLW4AK3NU007958"/>
    <s v="W"/>
    <s v="IB"/>
    <s v="285302GLB0"/>
    <s v="CONVERTER ASSY-W/UP CATALYTIC"/>
    <s v="          "/>
    <s v="[C]CUSTOMER STATES ENGINE LIGHT IS ON [R]TECH DUPLICATED CUSTOMERS CONCERN CODE P042000 WAS FOUND AFTER SCANNING VEHICLE AFTER DIAGNOSIS THECATALYST SYSTEM WAS FOUND TO BE OPERATING BELOW THRESHOLD CAUSING A CHECK ENGINE LIGHT TECH REPLACED CATALYST CONVERTER TEST DROVE VEHICLE TO VERIFY ALL REPAIRS VEHICLE IS NOW OPERATING AS DESIGN [T]TECH DUPLICATED CUSTOMERS CONCERN CODE P042000 WAS FOUND AFTER SCANNING VEHICLE AFTER DIAGNOSIS THECATALYST SYSTEM WAS FOUND TO BE OPERATI"/>
    <s v="28530R00"/>
    <s v="ZZ5"/>
    <s v="A38"/>
    <s v="2022/06/29"/>
    <s v="2026/05/02"/>
    <s v="2022/09/19"/>
    <n v="44"/>
    <n v="82430"/>
    <s v="            "/>
    <n v="100"/>
    <n v="19.8"/>
    <n v="19.8"/>
    <n v="181977"/>
    <n v="141165"/>
    <n v="0"/>
    <n v="323142"/>
    <s v="CN7 고성능차 21"/>
    <s v="2022-06"/>
    <s v="상품성 불만"/>
    <x v="12"/>
    <n v="90000"/>
    <n v="85000"/>
    <n v="48"/>
    <n v="45"/>
    <s v="B28"/>
    <s v="U.S.A"/>
    <x v="4"/>
    <x v="1"/>
    <s v="컨버터"/>
    <s v="쎄타"/>
    <x v="7"/>
    <s v="2026년"/>
    <s v="2분기"/>
  </r>
  <r>
    <x v="1"/>
    <x v="1"/>
    <s v="2026061WW"/>
    <s v="H"/>
    <s v="R151"/>
    <n v="4"/>
    <s v="2026/06"/>
    <s v="B28AANJ06358702R000"/>
    <s v="KMHLW4DK3SU031488"/>
    <s v="W"/>
    <s v="IB"/>
    <s v="285302GLB0"/>
    <s v="CONVERTER ASSY-W/UP CATALYTIC"/>
    <s v="          "/>
    <s v="[C]CUSTOMER STATES CHEMICAL SMELL COMING INSIDE THE CABIN AS WELL AS A LOT OF HEAT COMING FROM THE DASH, LIKE AMONIA. [R]within specification at idle and 2500 RPM. Based on verified abnormal exhaust odor with normal engine operation, catalytic converter determined internally defective. Replaced faulty catalytic convertor. While replacing the cat removed 2 of the 4 studs and attempted to remove third stud using heat an [T]Verified customer concern of excessive ammonia odor from exhaust tailpipe. Compared against identical knowngood vehicle odor confirmed abnormal. No DTCs present. Fuel trimsclosed loop operation wit"/>
    <s v="SLOANAZZ"/>
    <s v="ZZ3"/>
    <s v="B33"/>
    <s v="2025/04/09"/>
    <s v="2026/05/21"/>
    <s v="2025/05/26"/>
    <n v="12"/>
    <n v="24645"/>
    <s v="            "/>
    <n v="100"/>
    <n v="19.8"/>
    <n v="19.8"/>
    <n v="0"/>
    <n v="0"/>
    <n v="82612"/>
    <n v="82612"/>
    <s v="CN7 고성능차 21"/>
    <s v="2025-04"/>
    <s v="단품불량"/>
    <x v="10"/>
    <n v="30000"/>
    <n v="25000"/>
    <n v="18"/>
    <n v="15"/>
    <s v="B28"/>
    <s v="U.S.A"/>
    <x v="4"/>
    <x v="1"/>
    <s v="컨버터"/>
    <s v="쎄타"/>
    <x v="7"/>
    <s v="2026년"/>
    <s v="2분기"/>
  </r>
  <r>
    <x v="1"/>
    <x v="1"/>
    <s v="2026061WW"/>
    <s v="H"/>
    <s v="R151"/>
    <n v="5"/>
    <s v="2026/06"/>
    <s v="B28AATX17100494B000"/>
    <s v="KMHLW4DK5SU035428"/>
    <s v="W"/>
    <s v="IB"/>
    <s v="285302GLB0"/>
    <s v="CONVERTER ASSY-W/UP CATALYTIC"/>
    <s v="          "/>
    <s v="[C]THIS LINE ADDED FOR THE REPLACEMENT OF THE CATALYST. [R]28530R00 1.7 39210R00 .4 39210RQ0 .3 REMOVED AND REPLACED CAT BOTH O2 SENSORS AND ALL ASSOCIATED GASKETS [T]AFTER REPLACEMENT OF TURBO FOUND CAT HAS METAL SLUDGE INSIDE IT AT UPPER O2 PORT NEED TO REMOVE ANDREPLACE CAT AND BOTH O2 SENSORS"/>
    <s v="28530R00"/>
    <s v="ZZ2"/>
    <s v="I11"/>
    <s v="2025/08/12"/>
    <s v="2026/03/25"/>
    <s v="2025/12/27"/>
    <n v="3"/>
    <n v="10672"/>
    <s v="            "/>
    <n v="100"/>
    <n v="19.8"/>
    <n v="19.8"/>
    <n v="196571"/>
    <n v="113266"/>
    <n v="0"/>
    <n v="309837"/>
    <s v="CN7 고성능차 21"/>
    <s v="2025-08"/>
    <s v="파손"/>
    <x v="2"/>
    <n v="20000"/>
    <n v="15000"/>
    <n v="6"/>
    <n v="6"/>
    <s v="B28"/>
    <s v="U.S.A"/>
    <x v="4"/>
    <x v="1"/>
    <s v="컨버터"/>
    <s v="쎄타"/>
    <x v="7"/>
    <s v="2026년"/>
    <s v="2분기"/>
  </r>
  <r>
    <x v="1"/>
    <x v="1"/>
    <s v="2026061WW"/>
    <s v="H"/>
    <s v="R151"/>
    <n v="6"/>
    <s v="2026/06"/>
    <s v="B28AAMD01013105B000"/>
    <s v="KM8KH3AC9NU001798"/>
    <s v="W"/>
    <s v="I3"/>
    <s v="285302GXC0"/>
    <s v="CONVERTER ASSY-W/UP CATALYTIC"/>
    <s v="          "/>
    <s v="[C]CUSTOMER STATES VEHICLES CHECK ENGINE LIGHT ON CHECK AND ADVISE APT MARK 524 [R]REMOVED AND REPLACED VEHICLES CONVERTER AND CLEARED ALL DTC . ALL OKAY AT THIS TIME [T]VERIFIED CUSTOMER CONCERN, SCANNED VEHICLE FOUND CODE P0420. FOUND CONVERTER FAULTY."/>
    <s v="28530R00"/>
    <s v="ZZ3"/>
    <s v="W17"/>
    <s v="2021/10/15"/>
    <s v="2026/05/05"/>
    <s v="2021/12/17"/>
    <n v="53"/>
    <n v="57512"/>
    <s v="            "/>
    <n v="100"/>
    <n v="19.8"/>
    <n v="19.8"/>
    <n v="179937"/>
    <n v="80258"/>
    <n v="0"/>
    <n v="260195"/>
    <s v="코나(상품성개선) 고성능차 21"/>
    <s v="2021-10"/>
    <s v="단품불량"/>
    <x v="1"/>
    <n v="60000"/>
    <n v="60000"/>
    <n v="54"/>
    <n v="54"/>
    <s v="B28"/>
    <s v="U.S.A"/>
    <x v="4"/>
    <x v="1"/>
    <s v="컨버터"/>
    <s v="카파(KIA)"/>
    <x v="8"/>
    <s v="2026년"/>
    <s v="2분기"/>
  </r>
  <r>
    <x v="3"/>
    <x v="0"/>
    <s v="2026061WW"/>
    <s v="K"/>
    <s v="R151"/>
    <n v="38"/>
    <s v="2026/06"/>
    <s v="GK25702026W00133200"/>
    <s v="KNACG811BRT391170"/>
    <s v="W"/>
    <s v="A3"/>
    <s v="2853004GJ1"/>
    <s v="CONVERTER ASSY-W/UP CATALYTIC"/>
    <m/>
    <s v="[C]1.현상 : 엔진경고등 점등으로 입고됨. 2.점검내용 및 원인 : 1.스캔 점검시 P042000 촉매효율저하 검출/산소센서(S2)교환 후 경고등 재점등 2.촉매 내부 고장에 의한 경고등 점등 판단됨 3.조치내용 : 신품 카탈리틱 컨버터 교환 후 경고등 미점등"/>
    <s v="28530RQ0"/>
    <s v="ALL"/>
    <s v="W11"/>
    <s v="20240307"/>
    <s v="20260610"/>
    <s v="20240312"/>
    <n v="27"/>
    <n v="19239"/>
    <m/>
    <n v="100"/>
    <n v="25.44"/>
    <n v="25.44"/>
    <n v="198204"/>
    <n v="36252"/>
    <n v="0"/>
    <n v="234456"/>
    <s v="레이 11"/>
    <s v="2024-03"/>
    <e v="#N/A"/>
    <x v="1"/>
    <n v="20000"/>
    <n v="20000"/>
    <n v="30"/>
    <n v="30"/>
    <s v="GK2"/>
    <s v="한국"/>
    <x v="4"/>
    <x v="1"/>
    <s v="컨버터"/>
    <s v="카파(WIA)"/>
    <x v="11"/>
    <s v="2026년"/>
    <s v="2분기"/>
  </r>
  <r>
    <x v="3"/>
    <x v="1"/>
    <s v="2026061WW"/>
    <s v="K"/>
    <s v="R151"/>
    <n v="85"/>
    <s v="2026/06"/>
    <s v="A02VE84872260000018"/>
    <s v="KNAB3512MNT905963"/>
    <s v="W"/>
    <s v="G6"/>
    <s v="2851003GA1"/>
    <s v="MANIFOLD CATALYTIC ASSY-EXH"/>
    <m/>
    <s v="[C]CHECK CAR FOR CHECK ENGINE MANAGEMENT LIGHT ON [R]REQUIRES BOTH OXYGEN SENSORS AND CATALYTIC ASSY. REPLACED BOTH SENSORS AND CATALYTIC ASSY [T]DTC- P017100- SYSTEM TOO LEAN BANK 1. SOFTWARE UP TO DATE. 02 SENSOR BANK 1 DOWNSTREAM NOT NORMAL FLAT 1.13V. [L]Please find attached. [D]please provide the photos of the CAT -AT 20/5/26. PWA OEM Approved.AG-21/5/26."/>
    <s v="28511R1K"/>
    <s v="ZZ3"/>
    <s v="W17"/>
    <s v="20211203"/>
    <s v="20260519"/>
    <s v="20220207"/>
    <n v="52"/>
    <n v="34434"/>
    <m/>
    <n v="100"/>
    <n v="18.18"/>
    <n v="18.18"/>
    <n v="289897"/>
    <n v="48566"/>
    <n v="0"/>
    <n v="338463"/>
    <s v="JA 17"/>
    <s v="2021-12"/>
    <s v="단품불량"/>
    <x v="1"/>
    <n v="40000"/>
    <n v="35000"/>
    <n v="54"/>
    <n v="54"/>
    <s v="A02"/>
    <s v="AUSTRALIA"/>
    <x v="4"/>
    <x v="1"/>
    <s v="컨버터"/>
    <s v="카파(WIA)"/>
    <x v="11"/>
    <s v="2026년"/>
    <s v="2분기"/>
  </r>
  <r>
    <x v="3"/>
    <x v="1"/>
    <s v="2026061WW"/>
    <s v="K"/>
    <s v="R151"/>
    <n v="86"/>
    <s v="2026/06"/>
    <s v="A02VE82201260000186"/>
    <s v="KNAB3512MPT156768"/>
    <s v="W"/>
    <s v="G6"/>
    <s v="2851003GA1"/>
    <s v="MANIFOLD CATALYTIC ASSY-EXH"/>
    <m/>
    <s v="[C]Vehicle came in with engine light on dash [R]Requires cat + both O2 sensors due to material deterioration. Please also include replacement of all injectors due to resistance not meeting WSM spec. engine oil flushed and refilled with fresh oil. DHL #3051388 COMPLETED O2 sensors - 9025090005 &amp; 902509000 [T]Checked and confirmed light on dash, checked DTC's and found P227200 set. Checked connections on O2 sensors and found clean and secure, followed DTC guide. Found E159-A2 pin 1 signal wire to have 2.28v specs show to be approx 0.4v, same found on the upstream. Checked Ground pin 2 to ground and found [L]O2 sensors - 9025090005 &amp; 902509000 [D]PWA approved- AT 28/5/26"/>
    <s v="28511R1K"/>
    <s v="ZZ3"/>
    <s v="W17"/>
    <s v="20230623"/>
    <s v="20260527"/>
    <s v="20230825"/>
    <n v="34"/>
    <n v="12020"/>
    <m/>
    <n v="100"/>
    <n v="18.18"/>
    <n v="18.18"/>
    <n v="306541"/>
    <n v="77673"/>
    <n v="0"/>
    <n v="384214"/>
    <s v="JA 17"/>
    <s v="2023-06"/>
    <s v="단품불량"/>
    <x v="1"/>
    <n v="20000"/>
    <n v="15000"/>
    <n v="36"/>
    <n v="36"/>
    <s v="A02"/>
    <s v="AUSTRALIA"/>
    <x v="4"/>
    <x v="1"/>
    <s v="컨버터"/>
    <s v="카파(WIA)"/>
    <x v="11"/>
    <s v="2026년"/>
    <s v="2분기"/>
  </r>
  <r>
    <x v="3"/>
    <x v="1"/>
    <s v="2026061WW"/>
    <s v="K"/>
    <s v="R151"/>
    <n v="87"/>
    <s v="2026/06"/>
    <s v="A02VE83153260000113"/>
    <s v="KNAB2512MRT240426"/>
    <s v="W"/>
    <s v="G6"/>
    <s v="2851003GA1"/>
    <s v="MANIFOLD CATALYTIC ASSY-EXH"/>
    <m/>
    <s v="[C]Car cut out while driving, hard to start after that [R]Replaced catalytic converter assembly [T]Inspected and found catalytic converter to have broken down internally"/>
    <s v="28511R1K"/>
    <s v="ZZ3"/>
    <s v="D84"/>
    <s v="20240315"/>
    <s v="20260527"/>
    <s v="20240601"/>
    <n v="24"/>
    <n v="20406"/>
    <m/>
    <n v="100"/>
    <n v="18.18"/>
    <n v="18.18"/>
    <n v="278637"/>
    <n v="39461"/>
    <n v="0"/>
    <n v="318098"/>
    <s v="JA 17"/>
    <s v="2024-03"/>
    <s v="단품불량"/>
    <x v="5"/>
    <n v="30000"/>
    <n v="25000"/>
    <n v="30"/>
    <n v="27"/>
    <s v="A02"/>
    <s v="AUSTRALIA"/>
    <x v="4"/>
    <x v="1"/>
    <s v="컨버터"/>
    <s v="카파(WIA)"/>
    <x v="11"/>
    <s v="2026년"/>
    <s v="2분기"/>
  </r>
  <r>
    <x v="3"/>
    <x v="0"/>
    <s v="2026061WW"/>
    <s v="K"/>
    <s v="R151"/>
    <n v="39"/>
    <s v="2026/06"/>
    <s v="2050002026W00880700"/>
    <s v="KNAB2518BRT163898"/>
    <s v="W"/>
    <s v="G6"/>
    <s v="2853007035"/>
    <s v="CONVERTER ASSY-W/UP CATALYTIC"/>
    <m/>
    <s v="[C]1.현상 : 시동 및 주행시 경고등 점등 (엔진 경고등 점등으로 협력사에서 후단 산소 센서 교환했음에도 재점등) 2.점검내용 및 원인 : KDS 진단시 'P003600'(산소센서 히터 제어회로 제어 이상)표출, 컨버터 점검, 머플러 점검, 전 후단 산소센서점검, 배선점검, 란스점검, 시운전 3.조치내용 : 컨버터 어셈블리, 전단 및 후단 산소 센서 교환후 시운전."/>
    <s v="DRV2050B"/>
    <s v="ALL"/>
    <s v="W11"/>
    <s v="20230714"/>
    <s v="20260527"/>
    <s v="20230717"/>
    <n v="35"/>
    <n v="67445"/>
    <m/>
    <n v="100"/>
    <n v="25.44"/>
    <n v="25.44"/>
    <n v="194126"/>
    <n v="65762"/>
    <n v="0"/>
    <n v="259888"/>
    <s v="JA 17"/>
    <s v="2023-07"/>
    <e v="#N/A"/>
    <x v="1"/>
    <n v="70000"/>
    <n v="70000"/>
    <n v="36"/>
    <n v="36"/>
    <s v="205"/>
    <s v="한국"/>
    <x v="4"/>
    <x v="1"/>
    <s v="컨버터"/>
    <s v="카파(WIA)"/>
    <x v="11"/>
    <s v="2026년"/>
    <s v="2분기"/>
  </r>
  <r>
    <x v="3"/>
    <x v="0"/>
    <s v="2026061WW"/>
    <s v="K"/>
    <s v="R151"/>
    <n v="40"/>
    <s v="2026/06"/>
    <s v="2080002026W00579200"/>
    <s v="KNAB2518BST346596"/>
    <s v="W"/>
    <s v="G6"/>
    <s v="2853007035"/>
    <s v="CONVERTER ASSY-W/UP CATALYTIC"/>
    <m/>
    <s v="[C]1.현상 : 악셀 밟으면 엔진, 흡입기쪽 웅웅~ 소음 (소음 부위 확인 어려움) 2.점검내용 및 원인 : 고객동승 시운전확인시 2500rpm부근에서 부~웅 이음 확인 됨 3.조치내용 : 엔진 탈부착/ 흡기/배기 매니폴드 및 EGR 밸브 교환후 이상없음"/>
    <s v="20100R1K"/>
    <s v="ALL"/>
    <s v="Q75"/>
    <s v="20250106"/>
    <s v="20260623"/>
    <s v="20250207"/>
    <n v="17"/>
    <n v="45615"/>
    <m/>
    <n v="100"/>
    <n v="25.44"/>
    <n v="25.44"/>
    <n v="207455"/>
    <n v="139920"/>
    <n v="0"/>
    <n v="347375"/>
    <s v="JA 17"/>
    <s v="2025-01"/>
    <e v="#N/A"/>
    <x v="3"/>
    <n v="50000"/>
    <n v="50000"/>
    <n v="18"/>
    <n v="18"/>
    <s v="208"/>
    <s v="한국"/>
    <x v="4"/>
    <x v="1"/>
    <s v="컨버터"/>
    <s v="카파(WIA)"/>
    <x v="11"/>
    <s v="2026년"/>
    <s v="2분기"/>
  </r>
  <r>
    <x v="3"/>
    <x v="1"/>
    <s v="2026061WW"/>
    <s v="K"/>
    <s v="R151"/>
    <n v="88"/>
    <s v="2026/06"/>
    <s v="C21VA2340 KM2001083"/>
    <s v="KNAB2511LLT639575"/>
    <s v="W"/>
    <s v="G6"/>
    <s v="2853004GE0"/>
    <s v="CONVERTER ASSY-W/UP CATALYTIC"/>
    <m/>
    <s v="[C]CHECK EML O, NO DIFFERENCE IN DRIVING [R]supplied and fitted CATALYST CASE ASSY AND/OR GASKET (KAPPA ENGINE), R&amp;R tested: all ok [T]check EML on, plugged in &amp; confirms eml on due to catalytic converter having a hole in honeycomb dtc -P042000 replacement cat due to internal failure"/>
    <s v="28530R1K"/>
    <s v="ZZ3"/>
    <s v="I11"/>
    <s v="20191226"/>
    <s v="20260521"/>
    <s v="20200320"/>
    <n v="75"/>
    <n v="79280"/>
    <m/>
    <n v="100"/>
    <n v="18.18"/>
    <n v="18.18"/>
    <n v="21206"/>
    <n v="34384"/>
    <n v="0"/>
    <n v="55590"/>
    <s v="JA 17"/>
    <s v="2019-12"/>
    <s v="단품불량"/>
    <x v="2"/>
    <n v="80000"/>
    <n v="80000"/>
    <s v="≥60"/>
    <s v="≥60"/>
    <s v="C21"/>
    <s v="UK"/>
    <x v="4"/>
    <x v="1"/>
    <s v="컨버터"/>
    <s v="카파(WIA)"/>
    <x v="11"/>
    <s v="2026년"/>
    <s v="2분기"/>
  </r>
  <r>
    <x v="3"/>
    <x v="1"/>
    <s v="2026061WW"/>
    <s v="K"/>
    <s v="R151"/>
    <n v="89"/>
    <s v="2026/06"/>
    <s v="C07VA2085AKM2000422"/>
    <s v="KNAB2511ALT675885"/>
    <s v="W"/>
    <s v="G6"/>
    <s v="2853004GE0"/>
    <s v="CONVERTER ASSY-W/UP CATALYTIC"/>
    <m/>
    <s v="[C]im Rahmen des Austausch Lambdasonde Bank 1 Sonde 1Fassung/Gewinde am Katalysator nicht vorhanden, Lambdasonde kann nicht eingesetzt werden [R]Katalysator ersetzen [T]Gewinde/Fassung nicht vorhanden [L]GAR Ticket 15489 Anfrage ob Garantie? Antwort als W-Antrag einreichen"/>
    <s v="28530R1K"/>
    <s v="ZZ1"/>
    <s v="B32"/>
    <s v="20200327"/>
    <s v="20260601"/>
    <s v="20200629"/>
    <n v="72"/>
    <n v="52302"/>
    <m/>
    <n v="100"/>
    <n v="18.18"/>
    <n v="18.18"/>
    <n v="21042"/>
    <n v="40280"/>
    <n v="0"/>
    <n v="61322"/>
    <s v="JA 17"/>
    <s v="2020-03"/>
    <s v="설계문제"/>
    <x v="6"/>
    <n v="60000"/>
    <n v="55000"/>
    <s v="≥60"/>
    <s v="≥60"/>
    <s v="C07"/>
    <s v="GERMANY"/>
    <x v="4"/>
    <x v="1"/>
    <s v="컨버터"/>
    <s v="카파(WIA)"/>
    <x v="11"/>
    <s v="2026년"/>
    <s v="2분기"/>
  </r>
  <r>
    <x v="3"/>
    <x v="1"/>
    <s v="2026061WW"/>
    <s v="K"/>
    <s v="R151"/>
    <n v="90"/>
    <s v="2026/06"/>
    <s v="C04VA2275122    000"/>
    <s v="KNAB2511ALT605164"/>
    <s v="W"/>
    <s v="G6"/>
    <s v="2853004GG2"/>
    <s v="CONVERTER ASSY-W/UP CATALYTIC"/>
    <m/>
    <s v="[T]Lyser i motorlampe P0420 kat effekt under graense. Kat faldet sammen hul igennem ses paa billede Katalysator skal udskiftes"/>
    <s v="28530R1K"/>
    <s v="ZZ3"/>
    <s v="W17"/>
    <s v="20191028"/>
    <s v="20260408"/>
    <s v="20200128"/>
    <n v="75"/>
    <n v="73823"/>
    <m/>
    <n v="100"/>
    <n v="18.18"/>
    <n v="18.18"/>
    <n v="145232"/>
    <n v="42025"/>
    <n v="0"/>
    <n v="187257"/>
    <s v="JA 17"/>
    <s v="2019-10"/>
    <s v="단품불량"/>
    <x v="1"/>
    <n v="80000"/>
    <n v="75000"/>
    <s v="≥60"/>
    <s v="≥60"/>
    <s v="C04"/>
    <s v="DENMARK"/>
    <x v="4"/>
    <x v="1"/>
    <s v="컨버터"/>
    <s v="카파(WIA)"/>
    <x v="11"/>
    <s v="2026년"/>
    <s v="2분기"/>
  </r>
  <r>
    <x v="3"/>
    <x v="1"/>
    <s v="2026061WW"/>
    <s v="K"/>
    <s v="R151"/>
    <n v="91"/>
    <s v="2026/06"/>
    <s v="C07VA2684AKM2000177"/>
    <s v="KNAB2511ALT617788"/>
    <s v="W"/>
    <s v="G6"/>
    <s v="2853004GG2"/>
    <s v="CONVERTER ASSY-W/UP CATALYTIC"/>
    <m/>
    <s v="[C]Unterbodengeräusche aus dem Auspuff beim fahren. [R]Katalysator und sämtliche Dichtungen und Schrauben ersetzt. Problem behoben. [T]Kundenbeanstandung bestätigt. Abgaswerte nicht in Ordnung. Gegen den Katalysator geschlagen. Kommen Geräusche vom Kat. Katalysator ausgebaut. Beschädigung im Katalysator. Keramikteile abgebrochen. [L]Bilder im Anhang. [D]10.06. • internal: GWMS Ticket 202606-6 created. The hole sub-section in 28-285A is empty, when I enter the Microcat or the WPC via VIN. Without VIN the sub-section is filled."/>
    <s v="28530R1K"/>
    <s v="ZZ2"/>
    <s v="Q55"/>
    <s v="20191118"/>
    <s v="20260601"/>
    <s v="20200131"/>
    <n v="77"/>
    <n v="88992"/>
    <m/>
    <n v="100"/>
    <n v="18.18"/>
    <n v="18.18"/>
    <n v="156964"/>
    <n v="31090"/>
    <n v="0"/>
    <n v="188054"/>
    <s v="JA 17"/>
    <s v="2019-11"/>
    <s v="파손"/>
    <x v="3"/>
    <n v="90000"/>
    <n v="90000"/>
    <s v="≥60"/>
    <s v="≥60"/>
    <s v="C07"/>
    <s v="GERMANY"/>
    <x v="4"/>
    <x v="1"/>
    <s v="컨버터"/>
    <s v="카파(WIA)"/>
    <x v="11"/>
    <s v="2026년"/>
    <s v="2분기"/>
  </r>
  <r>
    <x v="3"/>
    <x v="0"/>
    <s v="2026061WW"/>
    <s v="K"/>
    <s v="R151"/>
    <n v="130"/>
    <s v="2026/06"/>
    <s v="2060002026W00846500"/>
    <s v="KNANB81BBSS504809"/>
    <s v="W"/>
    <s v="HS"/>
    <s v="28610R0550"/>
    <s v="MUFFLER ASSY-FR"/>
    <m/>
    <s v="[C]1.현상 : 주행중 정차시나 P레이지N레인진에 따라 떨림음발생 2.점검내용 및 원인 : 차량 점검결과 프론트 머플러측 떨림 진동발생으로 프론트머플러 교환 판정됨 3.조치내용 : 프론트 머플러 교환후 현상 개선됨"/>
    <s v="99VSTZ0T"/>
    <s v="ALL"/>
    <s v="V75"/>
    <s v="20241010"/>
    <s v="20260612"/>
    <s v="20241016"/>
    <n v="20"/>
    <n v="39240"/>
    <m/>
    <n v="100"/>
    <n v="25.44"/>
    <n v="25.44"/>
    <n v="13906"/>
    <n v="12593"/>
    <n v="0"/>
    <n v="26499"/>
    <s v="KA4 (YP 카니발 후속) 20"/>
    <s v="2024-10"/>
    <e v="#N/A"/>
    <x v="4"/>
    <n v="40000"/>
    <n v="40000"/>
    <n v="24"/>
    <n v="21"/>
    <s v="206"/>
    <s v="한국"/>
    <x v="7"/>
    <x v="1"/>
    <s v="머플러"/>
    <m/>
    <x v="2"/>
    <s v="2026년"/>
    <s v="2분기"/>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C131BF-F00C-41DC-9792-484ED8DAFCB3}" name="피벗 테이블1" cacheId="1" applyNumberFormats="0" applyBorderFormats="0" applyFontFormats="0" applyPatternFormats="0" applyAlignmentFormats="0" applyWidthHeightFormats="1" dataCaption="값" updatedVersion="8" minRefreshableVersion="3" useAutoFormatting="1" colGrandTotals="0" itemPrintTitles="1" createdVersion="8" indent="0" compact="0" compactData="0" gridDropZones="1" multipleFieldFilters="0">
  <location ref="A3:D41" firstHeaderRow="1" firstDataRow="2" firstDataCol="3" rowPageCount="1" colPageCount="1"/>
  <pivotFields count="48">
    <pivotField axis="axisPage" compact="0" outline="0" multipleItemSelectionAllowed="1" showAll="0">
      <items count="5">
        <item x="2"/>
        <item x="3"/>
        <item x="0"/>
        <item x="1"/>
        <item t="default"/>
      </items>
    </pivotField>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76" outline="0" showAll="0"/>
    <pivotField compact="0" numFmtId="3" outline="0" showAll="0"/>
    <pivotField compact="0" outline="0" showAll="0"/>
    <pivotField compact="0" numFmtId="4" outline="0" showAll="0"/>
    <pivotField compact="0" numFmtId="4" outline="0" showAll="0"/>
    <pivotField compact="0" numFmtId="4" outline="0" showAll="0"/>
    <pivotField compact="0" numFmtId="4" outline="0" showAll="0"/>
    <pivotField compact="0" numFmtId="4" outline="0" showAll="0"/>
    <pivotField compact="0" numFmtId="4" outline="0" showAll="0"/>
    <pivotField dataField="1" compact="0" numFmtId="177" outline="0" showAll="0"/>
    <pivotField compact="0" outline="0" showAll="0"/>
    <pivotField compact="0" outline="0" showAll="0"/>
    <pivotField compact="0" outline="0" showAll="0"/>
    <pivotField axis="axisRow" compact="0" outline="0" showAll="0">
      <items count="14">
        <item x="1"/>
        <item x="7"/>
        <item x="11"/>
        <item x="0"/>
        <item x="9"/>
        <item x="10"/>
        <item x="4"/>
        <item x="3"/>
        <item x="5"/>
        <item x="12"/>
        <item x="2"/>
        <item x="6"/>
        <item x="8"/>
        <item t="default"/>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defaultSubtotal="0">
      <items count="8">
        <item x="0"/>
        <item x="6"/>
        <item x="2"/>
        <item x="7"/>
        <item x="3"/>
        <item x="5"/>
        <item x="1"/>
        <item x="4"/>
      </items>
    </pivotField>
    <pivotField axis="axisCol" compact="0" outline="0" showAll="0">
      <items count="3">
        <item h="1" x="0"/>
        <item x="1"/>
        <item t="default"/>
      </items>
    </pivotField>
    <pivotField compact="0" outline="0" showAll="0"/>
    <pivotField compact="0" outline="0" showAll="0"/>
    <pivotField axis="axisRow" compact="0" outline="0" showAll="0" defaultSubtotal="0">
      <items count="13">
        <item x="3"/>
        <item x="2"/>
        <item x="1"/>
        <item x="4"/>
        <item x="0"/>
        <item x="9"/>
        <item x="12"/>
        <item x="6"/>
        <item x="7"/>
        <item x="5"/>
        <item x="10"/>
        <item x="8"/>
        <item x="11"/>
      </items>
    </pivotField>
    <pivotField compact="0" outline="0" showAll="0"/>
    <pivotField compact="0" outline="0" showAll="0"/>
  </pivotFields>
  <rowFields count="3">
    <field x="45"/>
    <field x="41"/>
    <field x="34"/>
  </rowFields>
  <rowItems count="37">
    <i>
      <x/>
      <x v="3"/>
      <x v="7"/>
    </i>
    <i r="1">
      <x v="4"/>
      <x v="7"/>
    </i>
    <i>
      <x v="1"/>
      <x v="2"/>
      <x v="7"/>
    </i>
    <i r="1">
      <x v="3"/>
      <x v="6"/>
    </i>
    <i r="1">
      <x v="6"/>
      <x/>
    </i>
    <i>
      <x v="2"/>
      <x v="2"/>
      <x v="7"/>
    </i>
    <i r="1">
      <x v="6"/>
      <x/>
    </i>
    <i>
      <x v="3"/>
      <x v="1"/>
      <x v="11"/>
    </i>
    <i r="1">
      <x v="2"/>
      <x v="5"/>
    </i>
    <i>
      <x v="4"/>
      <x/>
      <x v="1"/>
    </i>
    <i r="2">
      <x v="3"/>
    </i>
    <i r="1">
      <x v="2"/>
      <x v="4"/>
    </i>
    <i r="1">
      <x v="4"/>
      <x v="4"/>
    </i>
    <i>
      <x v="5"/>
      <x v="7"/>
      <x/>
    </i>
    <i>
      <x v="6"/>
      <x v="2"/>
      <x v="7"/>
    </i>
    <i r="1">
      <x v="4"/>
      <x v="7"/>
    </i>
    <i r="2">
      <x v="10"/>
    </i>
    <i>
      <x v="7"/>
      <x v="2"/>
      <x/>
    </i>
    <i r="2">
      <x v="11"/>
    </i>
    <i r="1">
      <x v="4"/>
      <x v="7"/>
    </i>
    <i r="1">
      <x v="5"/>
      <x v="7"/>
    </i>
    <i>
      <x v="8"/>
      <x v="7"/>
      <x/>
    </i>
    <i r="2">
      <x v="2"/>
    </i>
    <i r="2">
      <x v="5"/>
    </i>
    <i r="2">
      <x v="8"/>
    </i>
    <i r="2">
      <x v="9"/>
    </i>
    <i r="2">
      <x v="10"/>
    </i>
    <i>
      <x v="9"/>
      <x v="2"/>
      <x v="7"/>
    </i>
    <i>
      <x v="11"/>
      <x v="7"/>
      <x/>
    </i>
    <i r="2">
      <x v="7"/>
    </i>
    <i r="2">
      <x v="8"/>
    </i>
    <i>
      <x v="12"/>
      <x v="7"/>
      <x/>
    </i>
    <i r="2">
      <x v="7"/>
    </i>
    <i r="2">
      <x v="8"/>
    </i>
    <i r="2">
      <x v="10"/>
    </i>
    <i r="2">
      <x v="11"/>
    </i>
    <i t="grand">
      <x/>
    </i>
  </rowItems>
  <colFields count="1">
    <field x="42"/>
  </colFields>
  <colItems count="1">
    <i>
      <x v="1"/>
    </i>
  </colItems>
  <pageFields count="1">
    <pageField fld="0" hier="-1"/>
  </pageFields>
  <dataFields count="1">
    <dataField name="개수 : 변제합계" fld="30" subtotal="count" baseField="41" baseItem="3" numFmtId="3"/>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8B581-B103-42A5-929B-695643CBF746}">
  <dimension ref="B2:F27"/>
  <sheetViews>
    <sheetView workbookViewId="0">
      <selection activeCell="D3" sqref="D3:E6"/>
    </sheetView>
  </sheetViews>
  <sheetFormatPr defaultRowHeight="16.5" x14ac:dyDescent="0.3"/>
  <cols>
    <col min="2" max="2" width="32.375" bestFit="1" customWidth="1"/>
    <col min="3" max="3" width="19.5" bestFit="1" customWidth="1"/>
    <col min="4" max="5" width="8.5" bestFit="1" customWidth="1"/>
  </cols>
  <sheetData>
    <row r="2" spans="2:6" x14ac:dyDescent="0.3">
      <c r="B2" s="23" t="s">
        <v>354</v>
      </c>
      <c r="C2" s="23" t="s">
        <v>358</v>
      </c>
      <c r="D2" s="23">
        <v>202605</v>
      </c>
      <c r="E2" s="23">
        <v>202606</v>
      </c>
      <c r="F2" t="s">
        <v>1404</v>
      </c>
    </row>
    <row r="3" spans="2:6" x14ac:dyDescent="0.3">
      <c r="B3" s="26" t="s">
        <v>355</v>
      </c>
      <c r="C3" t="s">
        <v>37</v>
      </c>
      <c r="D3" s="20">
        <v>7629933</v>
      </c>
      <c r="E3" s="20">
        <v>3015328</v>
      </c>
      <c r="F3" s="20">
        <f>E3-D3</f>
        <v>-4614605</v>
      </c>
    </row>
    <row r="4" spans="2:6" x14ac:dyDescent="0.3">
      <c r="B4" s="26" t="s">
        <v>1401</v>
      </c>
      <c r="C4" t="s">
        <v>37</v>
      </c>
      <c r="D4" s="20">
        <v>4239073</v>
      </c>
      <c r="E4" s="20">
        <v>2374717</v>
      </c>
      <c r="F4" s="20">
        <f>E4-D4</f>
        <v>-1864356</v>
      </c>
    </row>
    <row r="5" spans="2:6" x14ac:dyDescent="0.3">
      <c r="B5" s="26" t="s">
        <v>356</v>
      </c>
      <c r="C5" t="s">
        <v>37</v>
      </c>
      <c r="D5" s="20">
        <v>2666728</v>
      </c>
      <c r="E5" s="20">
        <v>943617</v>
      </c>
      <c r="F5" s="20">
        <f>E5-D5</f>
        <v>-1723111</v>
      </c>
    </row>
    <row r="6" spans="2:6" x14ac:dyDescent="0.3">
      <c r="B6" s="26" t="s">
        <v>424</v>
      </c>
      <c r="C6" t="s">
        <v>37</v>
      </c>
      <c r="D6" s="20">
        <v>1027233</v>
      </c>
      <c r="E6" s="20">
        <v>379610</v>
      </c>
      <c r="F6" s="20">
        <f>E6-D6</f>
        <v>-647623</v>
      </c>
    </row>
    <row r="7" spans="2:6" x14ac:dyDescent="0.3">
      <c r="B7" s="24" t="s">
        <v>132</v>
      </c>
      <c r="C7" t="s">
        <v>359</v>
      </c>
      <c r="D7" s="20">
        <v>468366</v>
      </c>
      <c r="E7" s="20">
        <v>126353</v>
      </c>
      <c r="F7" s="20">
        <f>E7-D7</f>
        <v>-342013</v>
      </c>
    </row>
    <row r="8" spans="2:6" x14ac:dyDescent="0.3">
      <c r="B8" s="26" t="s">
        <v>1402</v>
      </c>
      <c r="C8" t="s">
        <v>37</v>
      </c>
      <c r="D8" s="20">
        <v>316038</v>
      </c>
      <c r="E8" s="20"/>
      <c r="F8" s="20">
        <f>E8-D8</f>
        <v>-316038</v>
      </c>
    </row>
    <row r="9" spans="2:6" x14ac:dyDescent="0.3">
      <c r="B9" s="24" t="s">
        <v>44</v>
      </c>
      <c r="C9" t="s">
        <v>46</v>
      </c>
      <c r="D9" s="20">
        <v>543610</v>
      </c>
      <c r="E9" s="20">
        <v>348686</v>
      </c>
      <c r="F9" s="20">
        <f>E9-D9</f>
        <v>-194924</v>
      </c>
    </row>
    <row r="10" spans="2:6" x14ac:dyDescent="0.3">
      <c r="B10" s="24" t="s">
        <v>44</v>
      </c>
      <c r="C10" t="s">
        <v>53</v>
      </c>
      <c r="D10" s="20">
        <v>163854</v>
      </c>
      <c r="E10" s="20">
        <v>35716</v>
      </c>
      <c r="F10" s="20">
        <f>E10-D10</f>
        <v>-128138</v>
      </c>
    </row>
    <row r="11" spans="2:6" x14ac:dyDescent="0.3">
      <c r="B11" s="24" t="s">
        <v>184</v>
      </c>
      <c r="C11" t="s">
        <v>754</v>
      </c>
      <c r="D11" s="20">
        <v>120973</v>
      </c>
      <c r="E11" s="20">
        <v>7207</v>
      </c>
      <c r="F11" s="20">
        <f>E11-D11</f>
        <v>-113766</v>
      </c>
    </row>
    <row r="12" spans="2:6" x14ac:dyDescent="0.3">
      <c r="B12" s="24" t="s">
        <v>52</v>
      </c>
      <c r="C12" t="s">
        <v>88</v>
      </c>
      <c r="D12" s="20">
        <v>314593</v>
      </c>
      <c r="E12" s="20">
        <v>242282</v>
      </c>
      <c r="F12" s="20">
        <f>E12-D12</f>
        <v>-72311</v>
      </c>
    </row>
    <row r="13" spans="2:6" x14ac:dyDescent="0.3">
      <c r="B13" s="24" t="s">
        <v>62</v>
      </c>
      <c r="C13" t="s">
        <v>53</v>
      </c>
      <c r="D13" s="20">
        <v>82378</v>
      </c>
      <c r="E13" s="20">
        <v>22998</v>
      </c>
      <c r="F13" s="20">
        <f>E13-D13</f>
        <v>-59380</v>
      </c>
    </row>
    <row r="14" spans="2:6" x14ac:dyDescent="0.3">
      <c r="B14" s="24" t="s">
        <v>130</v>
      </c>
      <c r="C14" t="s">
        <v>46</v>
      </c>
      <c r="D14" s="20">
        <v>107933</v>
      </c>
      <c r="E14" s="20">
        <v>59606</v>
      </c>
      <c r="F14" s="20">
        <f>E14-D14</f>
        <v>-48327</v>
      </c>
    </row>
    <row r="15" spans="2:6" x14ac:dyDescent="0.3">
      <c r="B15" s="24" t="s">
        <v>184</v>
      </c>
      <c r="C15" t="s">
        <v>53</v>
      </c>
      <c r="D15" s="20">
        <v>34102</v>
      </c>
      <c r="E15" s="20"/>
      <c r="F15" s="20">
        <f>E15-D15</f>
        <v>-34102</v>
      </c>
    </row>
    <row r="16" spans="2:6" x14ac:dyDescent="0.3">
      <c r="B16" s="24" t="s">
        <v>130</v>
      </c>
      <c r="C16" t="s">
        <v>53</v>
      </c>
      <c r="D16" s="20">
        <v>26076</v>
      </c>
      <c r="E16" s="20"/>
      <c r="F16" s="20">
        <f>E16-D16</f>
        <v>-26076</v>
      </c>
    </row>
    <row r="17" spans="2:6" x14ac:dyDescent="0.3">
      <c r="B17" s="25" t="s">
        <v>132</v>
      </c>
      <c r="C17" t="s">
        <v>53</v>
      </c>
      <c r="D17" s="20">
        <v>29771</v>
      </c>
      <c r="E17" s="20">
        <v>29314</v>
      </c>
      <c r="F17" s="20">
        <f>E17-D17</f>
        <v>-457</v>
      </c>
    </row>
    <row r="18" spans="2:6" x14ac:dyDescent="0.3">
      <c r="B18" s="24" t="s">
        <v>44</v>
      </c>
      <c r="C18" t="s">
        <v>162</v>
      </c>
      <c r="D18" s="20">
        <v>18490</v>
      </c>
      <c r="E18" s="20">
        <v>27322</v>
      </c>
      <c r="F18" s="20">
        <f>E18-D18</f>
        <v>8832</v>
      </c>
    </row>
    <row r="19" spans="2:6" x14ac:dyDescent="0.3">
      <c r="B19" s="24" t="s">
        <v>62</v>
      </c>
      <c r="C19" t="s">
        <v>48</v>
      </c>
      <c r="D19" s="20"/>
      <c r="E19" s="20">
        <v>18939</v>
      </c>
      <c r="F19" s="20">
        <f>E19-D19</f>
        <v>18939</v>
      </c>
    </row>
    <row r="20" spans="2:6" x14ac:dyDescent="0.3">
      <c r="B20" s="24" t="s">
        <v>52</v>
      </c>
      <c r="C20" t="s">
        <v>48</v>
      </c>
      <c r="D20" s="20"/>
      <c r="E20" s="20">
        <v>26499</v>
      </c>
      <c r="F20" s="20">
        <f>E20-D20</f>
        <v>26499</v>
      </c>
    </row>
    <row r="21" spans="2:6" x14ac:dyDescent="0.3">
      <c r="B21" s="24" t="s">
        <v>132</v>
      </c>
      <c r="C21" t="s">
        <v>46</v>
      </c>
      <c r="D21" s="20"/>
      <c r="E21" s="20">
        <v>28910</v>
      </c>
      <c r="F21" s="20">
        <f>E21-D21</f>
        <v>28910</v>
      </c>
    </row>
    <row r="22" spans="2:6" x14ac:dyDescent="0.3">
      <c r="B22" s="24" t="s">
        <v>93</v>
      </c>
      <c r="C22" t="s">
        <v>46</v>
      </c>
      <c r="D22" s="20"/>
      <c r="E22" s="20">
        <v>54970</v>
      </c>
      <c r="F22" s="20">
        <f>E22-D22</f>
        <v>54970</v>
      </c>
    </row>
    <row r="23" spans="2:6" x14ac:dyDescent="0.3">
      <c r="B23" s="25" t="s">
        <v>93</v>
      </c>
      <c r="C23" t="s">
        <v>53</v>
      </c>
      <c r="D23" s="20"/>
      <c r="E23" s="20">
        <v>75123</v>
      </c>
      <c r="F23" s="20">
        <f>E23-D23</f>
        <v>75123</v>
      </c>
    </row>
    <row r="24" spans="2:6" x14ac:dyDescent="0.3">
      <c r="B24" s="25" t="s">
        <v>130</v>
      </c>
      <c r="C24" t="s">
        <v>88</v>
      </c>
      <c r="D24" s="20">
        <v>307685</v>
      </c>
      <c r="E24" s="20">
        <v>410717</v>
      </c>
      <c r="F24" s="20">
        <f>E24-D24</f>
        <v>103032</v>
      </c>
    </row>
    <row r="25" spans="2:6" x14ac:dyDescent="0.3">
      <c r="B25" s="25" t="s">
        <v>52</v>
      </c>
      <c r="C25" t="s">
        <v>46</v>
      </c>
      <c r="D25" s="20">
        <v>3816</v>
      </c>
      <c r="E25" s="20">
        <v>108858</v>
      </c>
      <c r="F25" s="20">
        <f>E25-D25</f>
        <v>105042</v>
      </c>
    </row>
    <row r="26" spans="2:6" x14ac:dyDescent="0.3">
      <c r="B26" s="25" t="s">
        <v>530</v>
      </c>
      <c r="C26" t="s">
        <v>46</v>
      </c>
      <c r="D26" s="20">
        <v>106135</v>
      </c>
      <c r="E26" s="20">
        <v>264977</v>
      </c>
      <c r="F26" s="20">
        <f>E26-D26</f>
        <v>158842</v>
      </c>
    </row>
    <row r="27" spans="2:6" x14ac:dyDescent="0.3">
      <c r="B27" s="25" t="s">
        <v>184</v>
      </c>
      <c r="C27" t="s">
        <v>46</v>
      </c>
      <c r="D27" s="20">
        <v>293630</v>
      </c>
      <c r="E27" s="20">
        <v>479444</v>
      </c>
      <c r="F27" s="20">
        <f>E27-D27</f>
        <v>185814</v>
      </c>
    </row>
  </sheetData>
  <autoFilter ref="B2:F27" xr:uid="{2578B581-B103-42A5-929B-695643CBF746}">
    <sortState xmlns:xlrd2="http://schemas.microsoft.com/office/spreadsheetml/2017/richdata2" ref="B3:F27">
      <sortCondition ref="F2:F27"/>
    </sortState>
  </autoFilter>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01D05-92E0-4F9A-B9EF-BEBB12E513C7}">
  <dimension ref="A1:D41"/>
  <sheetViews>
    <sheetView tabSelected="1" workbookViewId="0">
      <selection activeCell="J18" sqref="J18"/>
    </sheetView>
  </sheetViews>
  <sheetFormatPr defaultRowHeight="16.5" x14ac:dyDescent="0.3"/>
  <cols>
    <col min="1" max="1" width="22.875" customWidth="1"/>
    <col min="2" max="2" width="19.5" bestFit="1" customWidth="1"/>
    <col min="3" max="3" width="13.75" bestFit="1" customWidth="1"/>
    <col min="4" max="4" width="11.25" bestFit="1" customWidth="1"/>
    <col min="5" max="5" width="8.5" bestFit="1" customWidth="1"/>
    <col min="6" max="6" width="7.875" bestFit="1" customWidth="1"/>
  </cols>
  <sheetData>
    <row r="1" spans="1:4" x14ac:dyDescent="0.3">
      <c r="A1" s="19" t="s">
        <v>0</v>
      </c>
      <c r="B1" t="s">
        <v>1403</v>
      </c>
    </row>
    <row r="3" spans="1:4" x14ac:dyDescent="0.3">
      <c r="A3" s="19" t="s">
        <v>1405</v>
      </c>
      <c r="D3" s="19" t="s">
        <v>360</v>
      </c>
    </row>
    <row r="4" spans="1:4" x14ac:dyDescent="0.3">
      <c r="A4" s="19" t="s">
        <v>354</v>
      </c>
      <c r="B4" s="19" t="s">
        <v>358</v>
      </c>
      <c r="C4" s="19" t="s">
        <v>1406</v>
      </c>
      <c r="D4">
        <v>202606</v>
      </c>
    </row>
    <row r="5" spans="1:4" x14ac:dyDescent="0.3">
      <c r="A5" t="s">
        <v>62</v>
      </c>
      <c r="B5" t="s">
        <v>48</v>
      </c>
      <c r="C5" t="s">
        <v>49</v>
      </c>
      <c r="D5" s="27">
        <v>1</v>
      </c>
    </row>
    <row r="6" spans="1:4" x14ac:dyDescent="0.3">
      <c r="B6" t="s">
        <v>53</v>
      </c>
      <c r="C6" t="s">
        <v>49</v>
      </c>
      <c r="D6" s="27">
        <v>1</v>
      </c>
    </row>
    <row r="7" spans="1:4" x14ac:dyDescent="0.3">
      <c r="A7" t="s">
        <v>52</v>
      </c>
      <c r="B7" t="s">
        <v>46</v>
      </c>
      <c r="C7" t="s">
        <v>49</v>
      </c>
      <c r="D7" s="27">
        <v>1</v>
      </c>
    </row>
    <row r="8" spans="1:4" x14ac:dyDescent="0.3">
      <c r="B8" t="s">
        <v>48</v>
      </c>
      <c r="C8" t="s">
        <v>207</v>
      </c>
      <c r="D8" s="27">
        <v>1</v>
      </c>
    </row>
    <row r="9" spans="1:4" x14ac:dyDescent="0.3">
      <c r="B9" t="s">
        <v>88</v>
      </c>
      <c r="C9" t="s">
        <v>36</v>
      </c>
      <c r="D9" s="27">
        <v>4</v>
      </c>
    </row>
    <row r="10" spans="1:4" x14ac:dyDescent="0.3">
      <c r="A10" t="s">
        <v>130</v>
      </c>
      <c r="B10" t="s">
        <v>46</v>
      </c>
      <c r="C10" t="s">
        <v>49</v>
      </c>
      <c r="D10" s="27">
        <v>1</v>
      </c>
    </row>
    <row r="11" spans="1:4" x14ac:dyDescent="0.3">
      <c r="B11" t="s">
        <v>88</v>
      </c>
      <c r="C11" t="s">
        <v>36</v>
      </c>
      <c r="D11" s="27">
        <v>4</v>
      </c>
    </row>
    <row r="12" spans="1:4" x14ac:dyDescent="0.3">
      <c r="A12" t="s">
        <v>184</v>
      </c>
      <c r="B12" t="s">
        <v>754</v>
      </c>
      <c r="C12" t="s">
        <v>215</v>
      </c>
      <c r="D12" s="27">
        <v>1</v>
      </c>
    </row>
    <row r="13" spans="1:4" x14ac:dyDescent="0.3">
      <c r="B13" t="s">
        <v>46</v>
      </c>
      <c r="C13" t="s">
        <v>120</v>
      </c>
      <c r="D13" s="27">
        <v>2</v>
      </c>
    </row>
    <row r="14" spans="1:4" x14ac:dyDescent="0.3">
      <c r="A14" t="s">
        <v>132</v>
      </c>
      <c r="B14" t="s">
        <v>359</v>
      </c>
      <c r="C14" t="s">
        <v>689</v>
      </c>
      <c r="D14" s="27">
        <v>1</v>
      </c>
    </row>
    <row r="15" spans="1:4" x14ac:dyDescent="0.3">
      <c r="C15" t="s">
        <v>138</v>
      </c>
      <c r="D15" s="27">
        <v>1</v>
      </c>
    </row>
    <row r="16" spans="1:4" x14ac:dyDescent="0.3">
      <c r="B16" t="s">
        <v>46</v>
      </c>
      <c r="C16" t="s">
        <v>335</v>
      </c>
      <c r="D16" s="27">
        <v>1</v>
      </c>
    </row>
    <row r="17" spans="1:4" x14ac:dyDescent="0.3">
      <c r="B17" t="s">
        <v>53</v>
      </c>
      <c r="C17" t="s">
        <v>335</v>
      </c>
      <c r="D17" s="27">
        <v>1</v>
      </c>
    </row>
    <row r="18" spans="1:4" x14ac:dyDescent="0.3">
      <c r="A18" t="s">
        <v>424</v>
      </c>
      <c r="B18" t="s">
        <v>37</v>
      </c>
      <c r="C18" t="s">
        <v>36</v>
      </c>
      <c r="D18" s="27">
        <v>1</v>
      </c>
    </row>
    <row r="19" spans="1:4" x14ac:dyDescent="0.3">
      <c r="A19" t="s">
        <v>93</v>
      </c>
      <c r="B19" t="s">
        <v>46</v>
      </c>
      <c r="C19" t="s">
        <v>49</v>
      </c>
      <c r="D19" s="27">
        <v>1</v>
      </c>
    </row>
    <row r="20" spans="1:4" x14ac:dyDescent="0.3">
      <c r="B20" t="s">
        <v>53</v>
      </c>
      <c r="C20" t="s">
        <v>49</v>
      </c>
      <c r="D20" s="27">
        <v>1</v>
      </c>
    </row>
    <row r="21" spans="1:4" x14ac:dyDescent="0.3">
      <c r="C21" t="s">
        <v>45</v>
      </c>
      <c r="D21" s="27">
        <v>1</v>
      </c>
    </row>
    <row r="22" spans="1:4" x14ac:dyDescent="0.3">
      <c r="A22" t="s">
        <v>44</v>
      </c>
      <c r="B22" t="s">
        <v>46</v>
      </c>
      <c r="C22" t="s">
        <v>36</v>
      </c>
      <c r="D22" s="27">
        <v>1</v>
      </c>
    </row>
    <row r="23" spans="1:4" x14ac:dyDescent="0.3">
      <c r="C23" t="s">
        <v>215</v>
      </c>
      <c r="D23" s="27">
        <v>1</v>
      </c>
    </row>
    <row r="24" spans="1:4" x14ac:dyDescent="0.3">
      <c r="B24" t="s">
        <v>53</v>
      </c>
      <c r="C24" t="s">
        <v>49</v>
      </c>
      <c r="D24" s="27">
        <v>1</v>
      </c>
    </row>
    <row r="25" spans="1:4" x14ac:dyDescent="0.3">
      <c r="B25" t="s">
        <v>162</v>
      </c>
      <c r="C25" t="s">
        <v>49</v>
      </c>
      <c r="D25" s="27">
        <v>3</v>
      </c>
    </row>
    <row r="26" spans="1:4" x14ac:dyDescent="0.3">
      <c r="A26" t="s">
        <v>355</v>
      </c>
      <c r="B26" t="s">
        <v>37</v>
      </c>
      <c r="C26" t="s">
        <v>36</v>
      </c>
      <c r="D26" s="27">
        <v>8</v>
      </c>
    </row>
    <row r="27" spans="1:4" x14ac:dyDescent="0.3">
      <c r="C27" t="s">
        <v>234</v>
      </c>
      <c r="D27" s="27">
        <v>3</v>
      </c>
    </row>
    <row r="28" spans="1:4" x14ac:dyDescent="0.3">
      <c r="C28" t="s">
        <v>120</v>
      </c>
      <c r="D28" s="27">
        <v>1</v>
      </c>
    </row>
    <row r="29" spans="1:4" x14ac:dyDescent="0.3">
      <c r="C29" t="s">
        <v>85</v>
      </c>
      <c r="D29" s="27">
        <v>1</v>
      </c>
    </row>
    <row r="30" spans="1:4" x14ac:dyDescent="0.3">
      <c r="C30" t="s">
        <v>175</v>
      </c>
      <c r="D30" s="27">
        <v>1</v>
      </c>
    </row>
    <row r="31" spans="1:4" x14ac:dyDescent="0.3">
      <c r="C31" t="s">
        <v>45</v>
      </c>
      <c r="D31" s="27">
        <v>1</v>
      </c>
    </row>
    <row r="32" spans="1:4" x14ac:dyDescent="0.3">
      <c r="A32" t="s">
        <v>530</v>
      </c>
      <c r="B32" t="s">
        <v>46</v>
      </c>
      <c r="C32" t="s">
        <v>49</v>
      </c>
      <c r="D32" s="27">
        <v>2</v>
      </c>
    </row>
    <row r="33" spans="1:4" x14ac:dyDescent="0.3">
      <c r="A33" t="s">
        <v>356</v>
      </c>
      <c r="B33" t="s">
        <v>37</v>
      </c>
      <c r="C33" t="s">
        <v>36</v>
      </c>
      <c r="D33" s="27">
        <v>4</v>
      </c>
    </row>
    <row r="34" spans="1:4" x14ac:dyDescent="0.3">
      <c r="C34" t="s">
        <v>49</v>
      </c>
      <c r="D34" s="27">
        <v>1</v>
      </c>
    </row>
    <row r="35" spans="1:4" x14ac:dyDescent="0.3">
      <c r="C35" t="s">
        <v>85</v>
      </c>
      <c r="D35" s="27">
        <v>1</v>
      </c>
    </row>
    <row r="36" spans="1:4" x14ac:dyDescent="0.3">
      <c r="A36" t="s">
        <v>1401</v>
      </c>
      <c r="B36" t="s">
        <v>37</v>
      </c>
      <c r="C36" t="s">
        <v>36</v>
      </c>
      <c r="D36" s="27">
        <v>5</v>
      </c>
    </row>
    <row r="37" spans="1:4" x14ac:dyDescent="0.3">
      <c r="C37" t="s">
        <v>49</v>
      </c>
      <c r="D37" s="27">
        <v>2</v>
      </c>
    </row>
    <row r="38" spans="1:4" x14ac:dyDescent="0.3">
      <c r="C38" t="s">
        <v>85</v>
      </c>
      <c r="D38" s="27">
        <v>1</v>
      </c>
    </row>
    <row r="39" spans="1:4" x14ac:dyDescent="0.3">
      <c r="C39" t="s">
        <v>45</v>
      </c>
      <c r="D39" s="27">
        <v>1</v>
      </c>
    </row>
    <row r="40" spans="1:4" x14ac:dyDescent="0.3">
      <c r="C40" t="s">
        <v>215</v>
      </c>
      <c r="D40" s="27">
        <v>1</v>
      </c>
    </row>
    <row r="41" spans="1:4" x14ac:dyDescent="0.3">
      <c r="A41" t="s">
        <v>357</v>
      </c>
      <c r="D41" s="27">
        <v>63</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W188"/>
  <sheetViews>
    <sheetView workbookViewId="0">
      <pane ySplit="1" topLeftCell="A2" activePane="bottomLeft" state="frozen"/>
      <selection pane="bottomLeft"/>
    </sheetView>
  </sheetViews>
  <sheetFormatPr defaultRowHeight="16.5" x14ac:dyDescent="0.3"/>
  <cols>
    <col min="1" max="1" width="4.5" bestFit="1" customWidth="1"/>
    <col min="2" max="2" width="7.5" bestFit="1" customWidth="1"/>
    <col min="3" max="3" width="8.25" bestFit="1" customWidth="1"/>
    <col min="4" max="4" width="3.75" bestFit="1" customWidth="1"/>
    <col min="5" max="5" width="4.5" bestFit="1" customWidth="1"/>
    <col min="6" max="6" width="3.75" bestFit="1" customWidth="1"/>
    <col min="7" max="7" width="6.75" bestFit="1" customWidth="1"/>
    <col min="8" max="8" width="16.375" bestFit="1" customWidth="1"/>
    <col min="9" max="9" width="14.75" bestFit="1" customWidth="1"/>
    <col min="10" max="10" width="6" bestFit="1" customWidth="1"/>
    <col min="11" max="11" width="4.5" bestFit="1" customWidth="1"/>
    <col min="13" max="13" width="27.25" bestFit="1" customWidth="1"/>
    <col min="14" max="14" width="16.375" bestFit="1" customWidth="1"/>
    <col min="15" max="15" width="10.5" bestFit="1" customWidth="1"/>
    <col min="17" max="18" width="4.5" bestFit="1" customWidth="1"/>
    <col min="22" max="23" width="7.5" bestFit="1" customWidth="1"/>
    <col min="24" max="24" width="10.5" bestFit="1" customWidth="1"/>
    <col min="25" max="27" width="6" bestFit="1" customWidth="1"/>
    <col min="28" max="28" width="10.875" customWidth="1"/>
    <col min="31" max="31" width="9.5" style="15" bestFit="1" customWidth="1"/>
    <col min="32" max="32" width="23.5" style="15" bestFit="1" customWidth="1"/>
    <col min="33" max="33" width="9" style="4" customWidth="1"/>
    <col min="34" max="34" width="11" style="4" customWidth="1"/>
    <col min="35" max="35" width="7.75" style="4" customWidth="1"/>
    <col min="36" max="37" width="15.5" style="4" customWidth="1"/>
    <col min="38" max="39" width="17.25" style="16" customWidth="1"/>
    <col min="40" max="41" width="15.875" style="4" customWidth="1"/>
    <col min="42" max="42" width="20.375" style="4" bestFit="1" customWidth="1"/>
    <col min="43" max="45" width="9" style="4"/>
    <col min="46" max="46" width="23.5" style="15" bestFit="1" customWidth="1"/>
    <col min="47" max="49" width="9" style="4"/>
  </cols>
  <sheetData>
    <row r="1" spans="1:4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2" t="s">
        <v>104</v>
      </c>
      <c r="AF1" s="2" t="s">
        <v>105</v>
      </c>
      <c r="AG1" s="2" t="s">
        <v>106</v>
      </c>
      <c r="AH1" s="2" t="s">
        <v>107</v>
      </c>
      <c r="AI1" s="2" t="s">
        <v>108</v>
      </c>
      <c r="AJ1" s="2" t="s">
        <v>109</v>
      </c>
      <c r="AK1" s="2" t="s">
        <v>110</v>
      </c>
      <c r="AL1" s="3" t="s">
        <v>111</v>
      </c>
      <c r="AM1" s="3" t="s">
        <v>112</v>
      </c>
      <c r="AN1" s="3" t="s">
        <v>113</v>
      </c>
      <c r="AO1" s="3" t="s">
        <v>114</v>
      </c>
      <c r="AP1" s="3" t="s">
        <v>115</v>
      </c>
      <c r="AQ1" s="3" t="s">
        <v>116</v>
      </c>
      <c r="AR1" s="3" t="s">
        <v>117</v>
      </c>
      <c r="AS1" s="3" t="s">
        <v>118</v>
      </c>
      <c r="AT1" s="2" t="s">
        <v>119</v>
      </c>
      <c r="AU1" s="2" t="s">
        <v>271</v>
      </c>
      <c r="AV1" s="2" t="s">
        <v>272</v>
      </c>
    </row>
    <row r="2" spans="1:48" x14ac:dyDescent="0.3">
      <c r="A2" s="5" t="s">
        <v>30</v>
      </c>
      <c r="B2" s="5" t="s">
        <v>31</v>
      </c>
      <c r="C2" s="5" t="s">
        <v>425</v>
      </c>
      <c r="D2" s="5" t="s">
        <v>32</v>
      </c>
      <c r="E2" s="6" t="s">
        <v>33</v>
      </c>
      <c r="F2" s="7">
        <v>91</v>
      </c>
      <c r="G2" s="5" t="s">
        <v>426</v>
      </c>
      <c r="H2" s="5" t="s">
        <v>427</v>
      </c>
      <c r="I2" s="5" t="s">
        <v>428</v>
      </c>
      <c r="J2" s="5" t="s">
        <v>34</v>
      </c>
      <c r="K2" s="5" t="s">
        <v>131</v>
      </c>
      <c r="L2" s="5" t="s">
        <v>148</v>
      </c>
      <c r="M2" s="5" t="s">
        <v>149</v>
      </c>
      <c r="N2" s="5" t="s">
        <v>56</v>
      </c>
      <c r="O2" s="6" t="s">
        <v>429</v>
      </c>
      <c r="P2" s="5" t="s">
        <v>51</v>
      </c>
      <c r="Q2" s="5"/>
      <c r="R2" s="5" t="s">
        <v>182</v>
      </c>
      <c r="S2" s="5" t="s">
        <v>430</v>
      </c>
      <c r="T2" s="5" t="s">
        <v>431</v>
      </c>
      <c r="U2" s="5" t="s">
        <v>432</v>
      </c>
      <c r="V2" s="8">
        <v>44</v>
      </c>
      <c r="W2" s="9">
        <v>70360</v>
      </c>
      <c r="X2" s="5" t="s">
        <v>35</v>
      </c>
      <c r="Y2" s="10">
        <v>100</v>
      </c>
      <c r="Z2" s="10">
        <v>25.44</v>
      </c>
      <c r="AA2" s="10">
        <v>25.44</v>
      </c>
      <c r="AB2" s="10">
        <v>48358</v>
      </c>
      <c r="AC2" s="10">
        <v>9540</v>
      </c>
      <c r="AD2" s="10">
        <v>0</v>
      </c>
      <c r="AE2" s="11">
        <v>57898</v>
      </c>
      <c r="AF2" s="12" t="s">
        <v>132</v>
      </c>
      <c r="AG2" s="14" t="s">
        <v>133</v>
      </c>
      <c r="AH2" s="14" t="e">
        <v>#N/A</v>
      </c>
      <c r="AI2" s="14" t="s">
        <v>138</v>
      </c>
      <c r="AJ2" s="14">
        <v>80000</v>
      </c>
      <c r="AK2" s="14">
        <v>75000</v>
      </c>
      <c r="AL2" s="13">
        <v>48</v>
      </c>
      <c r="AM2" s="13">
        <v>45</v>
      </c>
      <c r="AN2" s="14" t="s">
        <v>433</v>
      </c>
      <c r="AO2" s="14" t="s">
        <v>86</v>
      </c>
      <c r="AP2" s="14" t="s">
        <v>359</v>
      </c>
      <c r="AQ2" s="18">
        <v>202605</v>
      </c>
      <c r="AR2" s="22" t="s">
        <v>158</v>
      </c>
      <c r="AS2" s="22"/>
      <c r="AT2" s="12" t="s">
        <v>132</v>
      </c>
      <c r="AU2" s="22" t="s">
        <v>275</v>
      </c>
      <c r="AV2" s="22" t="s">
        <v>363</v>
      </c>
    </row>
    <row r="3" spans="1:48" x14ac:dyDescent="0.3">
      <c r="A3" s="5" t="s">
        <v>30</v>
      </c>
      <c r="B3" s="5" t="s">
        <v>31</v>
      </c>
      <c r="C3" s="5" t="s">
        <v>425</v>
      </c>
      <c r="D3" s="5" t="s">
        <v>32</v>
      </c>
      <c r="E3" s="6" t="s">
        <v>33</v>
      </c>
      <c r="F3" s="7">
        <v>92</v>
      </c>
      <c r="G3" s="5" t="s">
        <v>426</v>
      </c>
      <c r="H3" s="5" t="s">
        <v>434</v>
      </c>
      <c r="I3" s="5" t="s">
        <v>435</v>
      </c>
      <c r="J3" s="5" t="s">
        <v>34</v>
      </c>
      <c r="K3" s="5" t="s">
        <v>131</v>
      </c>
      <c r="L3" s="5" t="s">
        <v>148</v>
      </c>
      <c r="M3" s="5" t="s">
        <v>149</v>
      </c>
      <c r="N3" s="5" t="s">
        <v>56</v>
      </c>
      <c r="O3" s="6" t="s">
        <v>436</v>
      </c>
      <c r="P3" s="5" t="s">
        <v>153</v>
      </c>
      <c r="Q3" s="5"/>
      <c r="R3" s="5" t="s">
        <v>182</v>
      </c>
      <c r="S3" s="5" t="s">
        <v>437</v>
      </c>
      <c r="T3" s="5" t="s">
        <v>431</v>
      </c>
      <c r="U3" s="5" t="s">
        <v>438</v>
      </c>
      <c r="V3" s="8">
        <v>39</v>
      </c>
      <c r="W3" s="9">
        <v>59327</v>
      </c>
      <c r="X3" s="5" t="s">
        <v>35</v>
      </c>
      <c r="Y3" s="10">
        <v>100</v>
      </c>
      <c r="Z3" s="10">
        <v>25.44</v>
      </c>
      <c r="AA3" s="10">
        <v>25.44</v>
      </c>
      <c r="AB3" s="10">
        <v>49073</v>
      </c>
      <c r="AC3" s="10">
        <v>13102</v>
      </c>
      <c r="AD3" s="10">
        <v>0</v>
      </c>
      <c r="AE3" s="11">
        <v>62175</v>
      </c>
      <c r="AF3" s="12" t="s">
        <v>132</v>
      </c>
      <c r="AG3" s="14" t="s">
        <v>172</v>
      </c>
      <c r="AH3" s="14" t="e">
        <v>#N/A</v>
      </c>
      <c r="AI3" s="14" t="s">
        <v>138</v>
      </c>
      <c r="AJ3" s="14">
        <v>60000</v>
      </c>
      <c r="AK3" s="14">
        <v>60000</v>
      </c>
      <c r="AL3" s="13">
        <v>42</v>
      </c>
      <c r="AM3" s="13">
        <v>42</v>
      </c>
      <c r="AN3" s="14" t="s">
        <v>433</v>
      </c>
      <c r="AO3" s="14" t="s">
        <v>86</v>
      </c>
      <c r="AP3" s="14" t="s">
        <v>359</v>
      </c>
      <c r="AQ3" s="18">
        <v>202605</v>
      </c>
      <c r="AR3" s="22" t="s">
        <v>158</v>
      </c>
      <c r="AS3" s="22"/>
      <c r="AT3" s="12" t="s">
        <v>132</v>
      </c>
      <c r="AU3" s="22" t="s">
        <v>275</v>
      </c>
      <c r="AV3" s="22" t="s">
        <v>363</v>
      </c>
    </row>
    <row r="4" spans="1:48" x14ac:dyDescent="0.3">
      <c r="A4" s="5" t="s">
        <v>30</v>
      </c>
      <c r="B4" s="5" t="s">
        <v>31</v>
      </c>
      <c r="C4" s="5" t="s">
        <v>425</v>
      </c>
      <c r="D4" s="5" t="s">
        <v>32</v>
      </c>
      <c r="E4" s="6" t="s">
        <v>33</v>
      </c>
      <c r="F4" s="7">
        <v>93</v>
      </c>
      <c r="G4" s="5" t="s">
        <v>426</v>
      </c>
      <c r="H4" s="5" t="s">
        <v>439</v>
      </c>
      <c r="I4" s="5" t="s">
        <v>440</v>
      </c>
      <c r="J4" s="5" t="s">
        <v>34</v>
      </c>
      <c r="K4" s="5" t="s">
        <v>129</v>
      </c>
      <c r="L4" s="5" t="s">
        <v>155</v>
      </c>
      <c r="M4" s="5" t="s">
        <v>87</v>
      </c>
      <c r="N4" s="5" t="s">
        <v>56</v>
      </c>
      <c r="O4" s="6" t="s">
        <v>441</v>
      </c>
      <c r="P4" s="5" t="s">
        <v>47</v>
      </c>
      <c r="Q4" s="5"/>
      <c r="R4" s="5" t="s">
        <v>140</v>
      </c>
      <c r="S4" s="5" t="s">
        <v>375</v>
      </c>
      <c r="T4" s="5" t="s">
        <v>431</v>
      </c>
      <c r="U4" s="5" t="s">
        <v>442</v>
      </c>
      <c r="V4" s="8">
        <v>45</v>
      </c>
      <c r="W4" s="9">
        <v>68902</v>
      </c>
      <c r="X4" s="5" t="s">
        <v>35</v>
      </c>
      <c r="Y4" s="10">
        <v>100</v>
      </c>
      <c r="Z4" s="10">
        <v>25.44</v>
      </c>
      <c r="AA4" s="10">
        <v>25.44</v>
      </c>
      <c r="AB4" s="10">
        <v>100176</v>
      </c>
      <c r="AC4" s="10">
        <v>7785</v>
      </c>
      <c r="AD4" s="10">
        <v>0</v>
      </c>
      <c r="AE4" s="11">
        <v>107961</v>
      </c>
      <c r="AF4" s="12" t="s">
        <v>130</v>
      </c>
      <c r="AG4" s="14" t="s">
        <v>189</v>
      </c>
      <c r="AH4" s="14" t="e">
        <v>#N/A</v>
      </c>
      <c r="AI4" s="14" t="s">
        <v>36</v>
      </c>
      <c r="AJ4" s="14">
        <v>70000</v>
      </c>
      <c r="AK4" s="14">
        <v>70000</v>
      </c>
      <c r="AL4" s="13">
        <v>48</v>
      </c>
      <c r="AM4" s="13">
        <v>48</v>
      </c>
      <c r="AN4" s="14" t="s">
        <v>220</v>
      </c>
      <c r="AO4" s="14" t="s">
        <v>86</v>
      </c>
      <c r="AP4" s="14" t="s">
        <v>88</v>
      </c>
      <c r="AQ4" s="18">
        <v>202605</v>
      </c>
      <c r="AR4" s="14" t="s">
        <v>147</v>
      </c>
      <c r="AS4" s="14" t="s">
        <v>180</v>
      </c>
      <c r="AT4" s="12" t="s">
        <v>130</v>
      </c>
      <c r="AU4" s="22" t="s">
        <v>275</v>
      </c>
      <c r="AV4" s="22" t="s">
        <v>363</v>
      </c>
    </row>
    <row r="5" spans="1:48" x14ac:dyDescent="0.3">
      <c r="A5" s="5" t="s">
        <v>30</v>
      </c>
      <c r="B5" s="5" t="s">
        <v>31</v>
      </c>
      <c r="C5" s="5" t="s">
        <v>425</v>
      </c>
      <c r="D5" s="5" t="s">
        <v>32</v>
      </c>
      <c r="E5" s="6" t="s">
        <v>33</v>
      </c>
      <c r="F5" s="7">
        <v>94</v>
      </c>
      <c r="G5" s="5" t="s">
        <v>426</v>
      </c>
      <c r="H5" s="5" t="s">
        <v>443</v>
      </c>
      <c r="I5" s="5" t="s">
        <v>444</v>
      </c>
      <c r="J5" s="5" t="s">
        <v>34</v>
      </c>
      <c r="K5" s="5" t="s">
        <v>129</v>
      </c>
      <c r="L5" s="5" t="s">
        <v>155</v>
      </c>
      <c r="M5" s="5" t="s">
        <v>87</v>
      </c>
      <c r="N5" s="5" t="s">
        <v>56</v>
      </c>
      <c r="O5" s="6" t="s">
        <v>445</v>
      </c>
      <c r="P5" s="5" t="s">
        <v>446</v>
      </c>
      <c r="Q5" s="5"/>
      <c r="R5" s="5" t="s">
        <v>140</v>
      </c>
      <c r="S5" s="5" t="s">
        <v>447</v>
      </c>
      <c r="T5" s="5" t="s">
        <v>448</v>
      </c>
      <c r="U5" s="5" t="s">
        <v>449</v>
      </c>
      <c r="V5" s="8">
        <v>7</v>
      </c>
      <c r="W5" s="9">
        <v>7505</v>
      </c>
      <c r="X5" s="5" t="s">
        <v>35</v>
      </c>
      <c r="Y5" s="10">
        <v>100</v>
      </c>
      <c r="Z5" s="10">
        <v>25.44</v>
      </c>
      <c r="AA5" s="10">
        <v>25.44</v>
      </c>
      <c r="AB5" s="10">
        <v>173724</v>
      </c>
      <c r="AC5" s="10">
        <v>26000</v>
      </c>
      <c r="AD5" s="10">
        <v>0</v>
      </c>
      <c r="AE5" s="11">
        <v>199724</v>
      </c>
      <c r="AF5" s="12" t="s">
        <v>130</v>
      </c>
      <c r="AG5" s="14" t="s">
        <v>420</v>
      </c>
      <c r="AH5" s="14" t="e">
        <v>#N/A</v>
      </c>
      <c r="AI5" s="14" t="s">
        <v>36</v>
      </c>
      <c r="AJ5" s="14">
        <v>10000</v>
      </c>
      <c r="AK5" s="14">
        <v>10000</v>
      </c>
      <c r="AL5" s="13">
        <v>12</v>
      </c>
      <c r="AM5" s="13">
        <v>9</v>
      </c>
      <c r="AN5" s="14" t="s">
        <v>450</v>
      </c>
      <c r="AO5" s="14" t="s">
        <v>86</v>
      </c>
      <c r="AP5" s="14" t="s">
        <v>88</v>
      </c>
      <c r="AQ5" s="18">
        <v>202605</v>
      </c>
      <c r="AR5" s="14" t="s">
        <v>147</v>
      </c>
      <c r="AS5" s="14" t="s">
        <v>180</v>
      </c>
      <c r="AT5" s="12" t="s">
        <v>130</v>
      </c>
      <c r="AU5" s="22" t="s">
        <v>275</v>
      </c>
      <c r="AV5" s="22" t="s">
        <v>363</v>
      </c>
    </row>
    <row r="6" spans="1:48" x14ac:dyDescent="0.3">
      <c r="A6" s="5" t="s">
        <v>30</v>
      </c>
      <c r="B6" s="5" t="s">
        <v>31</v>
      </c>
      <c r="C6" s="5" t="s">
        <v>425</v>
      </c>
      <c r="D6" s="5" t="s">
        <v>32</v>
      </c>
      <c r="E6" s="6" t="s">
        <v>33</v>
      </c>
      <c r="F6" s="7">
        <v>95</v>
      </c>
      <c r="G6" s="5" t="s">
        <v>426</v>
      </c>
      <c r="H6" s="5" t="s">
        <v>451</v>
      </c>
      <c r="I6" s="5" t="s">
        <v>452</v>
      </c>
      <c r="J6" s="5" t="s">
        <v>34</v>
      </c>
      <c r="K6" s="5" t="s">
        <v>50</v>
      </c>
      <c r="L6" s="5" t="s">
        <v>151</v>
      </c>
      <c r="M6" s="5" t="s">
        <v>87</v>
      </c>
      <c r="N6" s="5" t="s">
        <v>56</v>
      </c>
      <c r="O6" s="6" t="s">
        <v>453</v>
      </c>
      <c r="P6" s="5" t="s">
        <v>177</v>
      </c>
      <c r="Q6" s="5"/>
      <c r="R6" s="5" t="s">
        <v>140</v>
      </c>
      <c r="S6" s="5" t="s">
        <v>454</v>
      </c>
      <c r="T6" s="5" t="s">
        <v>455</v>
      </c>
      <c r="U6" s="5" t="s">
        <v>456</v>
      </c>
      <c r="V6" s="8">
        <v>68</v>
      </c>
      <c r="W6" s="9">
        <v>103023</v>
      </c>
      <c r="X6" s="5" t="s">
        <v>35</v>
      </c>
      <c r="Y6" s="10">
        <v>100</v>
      </c>
      <c r="Z6" s="10">
        <v>25.44</v>
      </c>
      <c r="AA6" s="10">
        <v>25.44</v>
      </c>
      <c r="AB6" s="10">
        <v>0</v>
      </c>
      <c r="AC6" s="10">
        <v>6233</v>
      </c>
      <c r="AD6" s="10">
        <v>0</v>
      </c>
      <c r="AE6" s="11">
        <v>6233</v>
      </c>
      <c r="AF6" s="12" t="s">
        <v>52</v>
      </c>
      <c r="AG6" s="14" t="s">
        <v>457</v>
      </c>
      <c r="AH6" s="14" t="e">
        <v>#N/A</v>
      </c>
      <c r="AI6" s="14" t="s">
        <v>36</v>
      </c>
      <c r="AJ6" s="14" t="s">
        <v>136</v>
      </c>
      <c r="AK6" s="14" t="s">
        <v>136</v>
      </c>
      <c r="AL6" s="13" t="s">
        <v>121</v>
      </c>
      <c r="AM6" s="13" t="s">
        <v>121</v>
      </c>
      <c r="AN6" s="14" t="s">
        <v>458</v>
      </c>
      <c r="AO6" s="14" t="s">
        <v>86</v>
      </c>
      <c r="AP6" s="14" t="s">
        <v>88</v>
      </c>
      <c r="AQ6" s="18">
        <v>202605</v>
      </c>
      <c r="AR6" s="14" t="s">
        <v>147</v>
      </c>
      <c r="AS6" s="14" t="s">
        <v>160</v>
      </c>
      <c r="AT6" s="12" t="s">
        <v>52</v>
      </c>
      <c r="AU6" s="22" t="s">
        <v>275</v>
      </c>
      <c r="AV6" s="22" t="s">
        <v>363</v>
      </c>
    </row>
    <row r="7" spans="1:48" x14ac:dyDescent="0.3">
      <c r="A7" s="5" t="s">
        <v>30</v>
      </c>
      <c r="B7" s="5" t="s">
        <v>31</v>
      </c>
      <c r="C7" s="5" t="s">
        <v>425</v>
      </c>
      <c r="D7" s="5" t="s">
        <v>32</v>
      </c>
      <c r="E7" s="6" t="s">
        <v>33</v>
      </c>
      <c r="F7" s="7">
        <v>96</v>
      </c>
      <c r="G7" s="5" t="s">
        <v>426</v>
      </c>
      <c r="H7" s="5" t="s">
        <v>459</v>
      </c>
      <c r="I7" s="5" t="s">
        <v>452</v>
      </c>
      <c r="J7" s="5" t="s">
        <v>34</v>
      </c>
      <c r="K7" s="5" t="s">
        <v>50</v>
      </c>
      <c r="L7" s="5" t="s">
        <v>151</v>
      </c>
      <c r="M7" s="5" t="s">
        <v>87</v>
      </c>
      <c r="N7" s="5" t="s">
        <v>56</v>
      </c>
      <c r="O7" s="6" t="s">
        <v>453</v>
      </c>
      <c r="P7" s="5" t="s">
        <v>150</v>
      </c>
      <c r="Q7" s="5"/>
      <c r="R7" s="5" t="s">
        <v>140</v>
      </c>
      <c r="S7" s="5" t="s">
        <v>454</v>
      </c>
      <c r="T7" s="5" t="s">
        <v>460</v>
      </c>
      <c r="U7" s="5" t="s">
        <v>456</v>
      </c>
      <c r="V7" s="8">
        <v>68</v>
      </c>
      <c r="W7" s="9">
        <v>103327</v>
      </c>
      <c r="X7" s="5" t="s">
        <v>35</v>
      </c>
      <c r="Y7" s="10">
        <v>100</v>
      </c>
      <c r="Z7" s="10">
        <v>25.44</v>
      </c>
      <c r="AA7" s="10">
        <v>25.44</v>
      </c>
      <c r="AB7" s="10">
        <v>54330</v>
      </c>
      <c r="AC7" s="10">
        <v>6233</v>
      </c>
      <c r="AD7" s="10">
        <v>0</v>
      </c>
      <c r="AE7" s="11">
        <v>60563</v>
      </c>
      <c r="AF7" s="12" t="s">
        <v>52</v>
      </c>
      <c r="AG7" s="14" t="s">
        <v>457</v>
      </c>
      <c r="AH7" s="14" t="e">
        <v>#N/A</v>
      </c>
      <c r="AI7" s="14" t="s">
        <v>36</v>
      </c>
      <c r="AJ7" s="14" t="s">
        <v>136</v>
      </c>
      <c r="AK7" s="14" t="s">
        <v>136</v>
      </c>
      <c r="AL7" s="13" t="s">
        <v>121</v>
      </c>
      <c r="AM7" s="13" t="s">
        <v>121</v>
      </c>
      <c r="AN7" s="14" t="s">
        <v>458</v>
      </c>
      <c r="AO7" s="14" t="s">
        <v>86</v>
      </c>
      <c r="AP7" s="14" t="s">
        <v>88</v>
      </c>
      <c r="AQ7" s="18">
        <v>202605</v>
      </c>
      <c r="AR7" s="14" t="s">
        <v>147</v>
      </c>
      <c r="AS7" s="14" t="s">
        <v>160</v>
      </c>
      <c r="AT7" s="12" t="s">
        <v>52</v>
      </c>
      <c r="AU7" s="22" t="s">
        <v>275</v>
      </c>
      <c r="AV7" s="22" t="s">
        <v>363</v>
      </c>
    </row>
    <row r="8" spans="1:48" x14ac:dyDescent="0.3">
      <c r="A8" s="5" t="s">
        <v>30</v>
      </c>
      <c r="B8" s="5" t="s">
        <v>31</v>
      </c>
      <c r="C8" s="5" t="s">
        <v>425</v>
      </c>
      <c r="D8" s="5" t="s">
        <v>32</v>
      </c>
      <c r="E8" s="6" t="s">
        <v>33</v>
      </c>
      <c r="F8" s="7">
        <v>97</v>
      </c>
      <c r="G8" s="5" t="s">
        <v>426</v>
      </c>
      <c r="H8" s="5" t="s">
        <v>461</v>
      </c>
      <c r="I8" s="5" t="s">
        <v>462</v>
      </c>
      <c r="J8" s="5" t="s">
        <v>34</v>
      </c>
      <c r="K8" s="5" t="s">
        <v>50</v>
      </c>
      <c r="L8" s="5" t="s">
        <v>151</v>
      </c>
      <c r="M8" s="5" t="s">
        <v>87</v>
      </c>
      <c r="N8" s="5" t="s">
        <v>56</v>
      </c>
      <c r="O8" s="6" t="s">
        <v>463</v>
      </c>
      <c r="P8" s="5" t="s">
        <v>47</v>
      </c>
      <c r="Q8" s="5"/>
      <c r="R8" s="5" t="s">
        <v>385</v>
      </c>
      <c r="S8" s="5" t="s">
        <v>464</v>
      </c>
      <c r="T8" s="5" t="s">
        <v>465</v>
      </c>
      <c r="U8" s="5" t="s">
        <v>466</v>
      </c>
      <c r="V8" s="8">
        <v>67</v>
      </c>
      <c r="W8" s="9">
        <v>98743</v>
      </c>
      <c r="X8" s="5" t="s">
        <v>35</v>
      </c>
      <c r="Y8" s="10">
        <v>100</v>
      </c>
      <c r="Z8" s="10">
        <v>25.44</v>
      </c>
      <c r="AA8" s="10">
        <v>25.44</v>
      </c>
      <c r="AB8" s="10">
        <v>53973</v>
      </c>
      <c r="AC8" s="10">
        <v>7734</v>
      </c>
      <c r="AD8" s="10">
        <v>0</v>
      </c>
      <c r="AE8" s="11">
        <v>61707</v>
      </c>
      <c r="AF8" s="12" t="s">
        <v>52</v>
      </c>
      <c r="AG8" s="14" t="s">
        <v>201</v>
      </c>
      <c r="AH8" s="14" t="e">
        <v>#N/A</v>
      </c>
      <c r="AI8" s="14" t="s">
        <v>45</v>
      </c>
      <c r="AJ8" s="14">
        <v>100000</v>
      </c>
      <c r="AK8" s="14">
        <v>100000</v>
      </c>
      <c r="AL8" s="13" t="s">
        <v>121</v>
      </c>
      <c r="AM8" s="13" t="s">
        <v>121</v>
      </c>
      <c r="AN8" s="14" t="s">
        <v>467</v>
      </c>
      <c r="AO8" s="14" t="s">
        <v>86</v>
      </c>
      <c r="AP8" s="14" t="s">
        <v>88</v>
      </c>
      <c r="AQ8" s="18">
        <v>202605</v>
      </c>
      <c r="AR8" s="14" t="s">
        <v>147</v>
      </c>
      <c r="AS8" s="14" t="s">
        <v>160</v>
      </c>
      <c r="AT8" s="12" t="s">
        <v>52</v>
      </c>
      <c r="AU8" s="22" t="s">
        <v>275</v>
      </c>
      <c r="AV8" s="22" t="s">
        <v>363</v>
      </c>
    </row>
    <row r="9" spans="1:48" x14ac:dyDescent="0.3">
      <c r="A9" s="5" t="s">
        <v>30</v>
      </c>
      <c r="B9" s="5" t="s">
        <v>31</v>
      </c>
      <c r="C9" s="5" t="s">
        <v>425</v>
      </c>
      <c r="D9" s="5" t="s">
        <v>32</v>
      </c>
      <c r="E9" s="6" t="s">
        <v>33</v>
      </c>
      <c r="F9" s="7">
        <v>98</v>
      </c>
      <c r="G9" s="5" t="s">
        <v>426</v>
      </c>
      <c r="H9" s="5" t="s">
        <v>468</v>
      </c>
      <c r="I9" s="5" t="s">
        <v>469</v>
      </c>
      <c r="J9" s="5" t="s">
        <v>34</v>
      </c>
      <c r="K9" s="5" t="s">
        <v>50</v>
      </c>
      <c r="L9" s="5" t="s">
        <v>151</v>
      </c>
      <c r="M9" s="5" t="s">
        <v>87</v>
      </c>
      <c r="N9" s="5" t="s">
        <v>56</v>
      </c>
      <c r="O9" s="6" t="s">
        <v>470</v>
      </c>
      <c r="P9" s="5" t="s">
        <v>471</v>
      </c>
      <c r="Q9" s="5"/>
      <c r="R9" s="5" t="s">
        <v>140</v>
      </c>
      <c r="S9" s="5" t="s">
        <v>472</v>
      </c>
      <c r="T9" s="5" t="s">
        <v>473</v>
      </c>
      <c r="U9" s="5" t="s">
        <v>474</v>
      </c>
      <c r="V9" s="8">
        <v>66</v>
      </c>
      <c r="W9" s="9">
        <v>109379</v>
      </c>
      <c r="X9" s="5" t="s">
        <v>35</v>
      </c>
      <c r="Y9" s="10">
        <v>100</v>
      </c>
      <c r="Z9" s="10">
        <v>25.44</v>
      </c>
      <c r="AA9" s="10">
        <v>25.44</v>
      </c>
      <c r="AB9" s="10">
        <v>58511</v>
      </c>
      <c r="AC9" s="10">
        <v>6106</v>
      </c>
      <c r="AD9" s="10">
        <v>0</v>
      </c>
      <c r="AE9" s="11">
        <v>64617</v>
      </c>
      <c r="AF9" s="12" t="s">
        <v>52</v>
      </c>
      <c r="AG9" s="14" t="s">
        <v>418</v>
      </c>
      <c r="AH9" s="14" t="e">
        <v>#N/A</v>
      </c>
      <c r="AI9" s="14" t="s">
        <v>36</v>
      </c>
      <c r="AJ9" s="14" t="s">
        <v>136</v>
      </c>
      <c r="AK9" s="14" t="s">
        <v>136</v>
      </c>
      <c r="AL9" s="13" t="s">
        <v>121</v>
      </c>
      <c r="AM9" s="13" t="s">
        <v>121</v>
      </c>
      <c r="AN9" s="14" t="s">
        <v>433</v>
      </c>
      <c r="AO9" s="14" t="s">
        <v>86</v>
      </c>
      <c r="AP9" s="14" t="s">
        <v>88</v>
      </c>
      <c r="AQ9" s="18">
        <v>202605</v>
      </c>
      <c r="AR9" s="14" t="s">
        <v>147</v>
      </c>
      <c r="AS9" s="14" t="s">
        <v>160</v>
      </c>
      <c r="AT9" s="12" t="s">
        <v>52</v>
      </c>
      <c r="AU9" s="22" t="s">
        <v>275</v>
      </c>
      <c r="AV9" s="22" t="s">
        <v>363</v>
      </c>
    </row>
    <row r="10" spans="1:48" x14ac:dyDescent="0.3">
      <c r="A10" s="5" t="s">
        <v>30</v>
      </c>
      <c r="B10" s="5" t="s">
        <v>31</v>
      </c>
      <c r="C10" s="5" t="s">
        <v>425</v>
      </c>
      <c r="D10" s="5" t="s">
        <v>32</v>
      </c>
      <c r="E10" s="6" t="s">
        <v>33</v>
      </c>
      <c r="F10" s="7">
        <v>99</v>
      </c>
      <c r="G10" s="5" t="s">
        <v>426</v>
      </c>
      <c r="H10" s="5" t="s">
        <v>475</v>
      </c>
      <c r="I10" s="5" t="s">
        <v>476</v>
      </c>
      <c r="J10" s="5" t="s">
        <v>34</v>
      </c>
      <c r="K10" s="5" t="s">
        <v>50</v>
      </c>
      <c r="L10" s="5" t="s">
        <v>151</v>
      </c>
      <c r="M10" s="5" t="s">
        <v>87</v>
      </c>
      <c r="N10" s="5" t="s">
        <v>56</v>
      </c>
      <c r="O10" s="6" t="s">
        <v>477</v>
      </c>
      <c r="P10" s="5" t="s">
        <v>150</v>
      </c>
      <c r="Q10" s="5"/>
      <c r="R10" s="5" t="s">
        <v>140</v>
      </c>
      <c r="S10" s="5" t="s">
        <v>478</v>
      </c>
      <c r="T10" s="5" t="s">
        <v>479</v>
      </c>
      <c r="U10" s="5" t="s">
        <v>480</v>
      </c>
      <c r="V10" s="8">
        <v>53</v>
      </c>
      <c r="W10" s="9">
        <v>78811</v>
      </c>
      <c r="X10" s="5" t="s">
        <v>35</v>
      </c>
      <c r="Y10" s="10">
        <v>100</v>
      </c>
      <c r="Z10" s="10">
        <v>25.44</v>
      </c>
      <c r="AA10" s="10">
        <v>25.44</v>
      </c>
      <c r="AB10" s="10">
        <v>53973</v>
      </c>
      <c r="AC10" s="10">
        <v>9286</v>
      </c>
      <c r="AD10" s="10">
        <v>0</v>
      </c>
      <c r="AE10" s="11">
        <v>63259</v>
      </c>
      <c r="AF10" s="12" t="s">
        <v>52</v>
      </c>
      <c r="AG10" s="14" t="s">
        <v>125</v>
      </c>
      <c r="AH10" s="14" t="e">
        <v>#N/A</v>
      </c>
      <c r="AI10" s="14" t="s">
        <v>36</v>
      </c>
      <c r="AJ10" s="14">
        <v>80000</v>
      </c>
      <c r="AK10" s="14">
        <v>80000</v>
      </c>
      <c r="AL10" s="13">
        <v>54</v>
      </c>
      <c r="AM10" s="13">
        <v>54</v>
      </c>
      <c r="AN10" s="14" t="s">
        <v>368</v>
      </c>
      <c r="AO10" s="14" t="s">
        <v>86</v>
      </c>
      <c r="AP10" s="14" t="s">
        <v>88</v>
      </c>
      <c r="AQ10" s="18">
        <v>202605</v>
      </c>
      <c r="AR10" s="14" t="s">
        <v>147</v>
      </c>
      <c r="AS10" s="14" t="s">
        <v>160</v>
      </c>
      <c r="AT10" s="12" t="s">
        <v>52</v>
      </c>
      <c r="AU10" s="22" t="s">
        <v>275</v>
      </c>
      <c r="AV10" s="22" t="s">
        <v>363</v>
      </c>
    </row>
    <row r="11" spans="1:48" x14ac:dyDescent="0.3">
      <c r="A11" s="5" t="s">
        <v>30</v>
      </c>
      <c r="B11" s="5" t="s">
        <v>31</v>
      </c>
      <c r="C11" s="5" t="s">
        <v>425</v>
      </c>
      <c r="D11" s="5" t="s">
        <v>32</v>
      </c>
      <c r="E11" s="6" t="s">
        <v>33</v>
      </c>
      <c r="F11" s="7">
        <v>100</v>
      </c>
      <c r="G11" s="5" t="s">
        <v>426</v>
      </c>
      <c r="H11" s="5" t="s">
        <v>481</v>
      </c>
      <c r="I11" s="5" t="s">
        <v>482</v>
      </c>
      <c r="J11" s="5" t="s">
        <v>34</v>
      </c>
      <c r="K11" s="5" t="s">
        <v>50</v>
      </c>
      <c r="L11" s="5" t="s">
        <v>164</v>
      </c>
      <c r="M11" s="5" t="s">
        <v>87</v>
      </c>
      <c r="N11" s="5" t="s">
        <v>56</v>
      </c>
      <c r="O11" s="6" t="s">
        <v>483</v>
      </c>
      <c r="P11" s="5" t="s">
        <v>150</v>
      </c>
      <c r="Q11" s="5"/>
      <c r="R11" s="5" t="s">
        <v>139</v>
      </c>
      <c r="S11" s="5" t="s">
        <v>484</v>
      </c>
      <c r="T11" s="5" t="s">
        <v>485</v>
      </c>
      <c r="U11" s="5" t="s">
        <v>486</v>
      </c>
      <c r="V11" s="8">
        <v>51</v>
      </c>
      <c r="W11" s="9">
        <v>62269</v>
      </c>
      <c r="X11" s="5" t="s">
        <v>35</v>
      </c>
      <c r="Y11" s="10">
        <v>100</v>
      </c>
      <c r="Z11" s="10">
        <v>25.44</v>
      </c>
      <c r="AA11" s="10">
        <v>25.44</v>
      </c>
      <c r="AB11" s="10">
        <v>50073</v>
      </c>
      <c r="AC11" s="10">
        <v>8141</v>
      </c>
      <c r="AD11" s="10">
        <v>0</v>
      </c>
      <c r="AE11" s="11">
        <v>58214</v>
      </c>
      <c r="AF11" s="12" t="s">
        <v>52</v>
      </c>
      <c r="AG11" s="14" t="s">
        <v>169</v>
      </c>
      <c r="AH11" s="14" t="e">
        <v>#N/A</v>
      </c>
      <c r="AI11" s="14" t="s">
        <v>36</v>
      </c>
      <c r="AJ11" s="14">
        <v>70000</v>
      </c>
      <c r="AK11" s="14">
        <v>65000</v>
      </c>
      <c r="AL11" s="13">
        <v>54</v>
      </c>
      <c r="AM11" s="13">
        <v>54</v>
      </c>
      <c r="AN11" s="14" t="s">
        <v>487</v>
      </c>
      <c r="AO11" s="14" t="s">
        <v>86</v>
      </c>
      <c r="AP11" s="14" t="s">
        <v>88</v>
      </c>
      <c r="AQ11" s="18">
        <v>202605</v>
      </c>
      <c r="AR11" s="14" t="s">
        <v>147</v>
      </c>
      <c r="AS11" s="14" t="s">
        <v>160</v>
      </c>
      <c r="AT11" s="12" t="s">
        <v>52</v>
      </c>
      <c r="AU11" s="22" t="s">
        <v>275</v>
      </c>
      <c r="AV11" s="22" t="s">
        <v>363</v>
      </c>
    </row>
    <row r="12" spans="1:48" x14ac:dyDescent="0.3">
      <c r="A12" s="5" t="s">
        <v>30</v>
      </c>
      <c r="B12" s="5" t="s">
        <v>31</v>
      </c>
      <c r="C12" s="5" t="s">
        <v>425</v>
      </c>
      <c r="D12" s="5" t="s">
        <v>32</v>
      </c>
      <c r="E12" s="6" t="s">
        <v>33</v>
      </c>
      <c r="F12" s="7">
        <v>101</v>
      </c>
      <c r="G12" s="5" t="s">
        <v>426</v>
      </c>
      <c r="H12" s="5" t="s">
        <v>488</v>
      </c>
      <c r="I12" s="5" t="s">
        <v>489</v>
      </c>
      <c r="J12" s="5" t="s">
        <v>34</v>
      </c>
      <c r="K12" s="5" t="s">
        <v>129</v>
      </c>
      <c r="L12" s="5" t="s">
        <v>379</v>
      </c>
      <c r="M12" s="5" t="s">
        <v>46</v>
      </c>
      <c r="N12" s="5" t="s">
        <v>56</v>
      </c>
      <c r="O12" s="6" t="s">
        <v>490</v>
      </c>
      <c r="P12" s="5" t="s">
        <v>47</v>
      </c>
      <c r="Q12" s="5"/>
      <c r="R12" s="5" t="s">
        <v>248</v>
      </c>
      <c r="S12" s="5" t="s">
        <v>491</v>
      </c>
      <c r="T12" s="5" t="s">
        <v>492</v>
      </c>
      <c r="U12" s="5" t="s">
        <v>493</v>
      </c>
      <c r="V12" s="8">
        <v>27</v>
      </c>
      <c r="W12" s="9">
        <v>48690</v>
      </c>
      <c r="X12" s="5" t="s">
        <v>35</v>
      </c>
      <c r="Y12" s="10">
        <v>100</v>
      </c>
      <c r="Z12" s="10">
        <v>25.44</v>
      </c>
      <c r="AA12" s="10">
        <v>25.44</v>
      </c>
      <c r="AB12" s="10">
        <v>34874</v>
      </c>
      <c r="AC12" s="10">
        <v>4694</v>
      </c>
      <c r="AD12" s="10">
        <v>0</v>
      </c>
      <c r="AE12" s="11">
        <v>39568</v>
      </c>
      <c r="AF12" s="12" t="s">
        <v>130</v>
      </c>
      <c r="AG12" s="14" t="s">
        <v>170</v>
      </c>
      <c r="AH12" s="14" t="e">
        <v>#N/A</v>
      </c>
      <c r="AI12" s="14" t="s">
        <v>49</v>
      </c>
      <c r="AJ12" s="14">
        <v>50000</v>
      </c>
      <c r="AK12" s="14">
        <v>50000</v>
      </c>
      <c r="AL12" s="13">
        <v>30</v>
      </c>
      <c r="AM12" s="13">
        <v>30</v>
      </c>
      <c r="AN12" s="14" t="s">
        <v>494</v>
      </c>
      <c r="AO12" s="14" t="s">
        <v>86</v>
      </c>
      <c r="AP12" s="14" t="s">
        <v>46</v>
      </c>
      <c r="AQ12" s="18">
        <v>202605</v>
      </c>
      <c r="AR12" s="22" t="s">
        <v>158</v>
      </c>
      <c r="AS12" s="22"/>
      <c r="AT12" s="12" t="s">
        <v>130</v>
      </c>
      <c r="AU12" s="22" t="s">
        <v>275</v>
      </c>
      <c r="AV12" s="22" t="s">
        <v>363</v>
      </c>
    </row>
    <row r="13" spans="1:48" x14ac:dyDescent="0.3">
      <c r="A13" s="5" t="s">
        <v>30</v>
      </c>
      <c r="B13" s="5" t="s">
        <v>31</v>
      </c>
      <c r="C13" s="5" t="s">
        <v>425</v>
      </c>
      <c r="D13" s="5" t="s">
        <v>32</v>
      </c>
      <c r="E13" s="6" t="s">
        <v>33</v>
      </c>
      <c r="F13" s="7">
        <v>102</v>
      </c>
      <c r="G13" s="5" t="s">
        <v>426</v>
      </c>
      <c r="H13" s="5" t="s">
        <v>495</v>
      </c>
      <c r="I13" s="5" t="s">
        <v>496</v>
      </c>
      <c r="J13" s="5" t="s">
        <v>34</v>
      </c>
      <c r="K13" s="5" t="s">
        <v>129</v>
      </c>
      <c r="L13" s="5" t="s">
        <v>379</v>
      </c>
      <c r="M13" s="5" t="s">
        <v>46</v>
      </c>
      <c r="N13" s="5" t="s">
        <v>56</v>
      </c>
      <c r="O13" s="6" t="s">
        <v>497</v>
      </c>
      <c r="P13" s="5" t="s">
        <v>47</v>
      </c>
      <c r="Q13" s="5"/>
      <c r="R13" s="5" t="s">
        <v>223</v>
      </c>
      <c r="S13" s="5" t="s">
        <v>303</v>
      </c>
      <c r="T13" s="5" t="s">
        <v>431</v>
      </c>
      <c r="U13" s="5" t="s">
        <v>369</v>
      </c>
      <c r="V13" s="8">
        <v>1</v>
      </c>
      <c r="W13" s="9">
        <v>479</v>
      </c>
      <c r="X13" s="5" t="s">
        <v>35</v>
      </c>
      <c r="Y13" s="10">
        <v>100</v>
      </c>
      <c r="Z13" s="10">
        <v>25.44</v>
      </c>
      <c r="AA13" s="10">
        <v>25.44</v>
      </c>
      <c r="AB13" s="10">
        <v>34420</v>
      </c>
      <c r="AC13" s="10">
        <v>4884</v>
      </c>
      <c r="AD13" s="10">
        <v>0</v>
      </c>
      <c r="AE13" s="11">
        <v>39304</v>
      </c>
      <c r="AF13" s="12" t="s">
        <v>130</v>
      </c>
      <c r="AG13" s="14" t="s">
        <v>382</v>
      </c>
      <c r="AH13" s="14" t="e">
        <v>#N/A</v>
      </c>
      <c r="AI13" s="14" t="s">
        <v>49</v>
      </c>
      <c r="AJ13" s="14">
        <v>10000</v>
      </c>
      <c r="AK13" s="14">
        <v>5000</v>
      </c>
      <c r="AL13" s="13">
        <v>6</v>
      </c>
      <c r="AM13" s="13">
        <v>3</v>
      </c>
      <c r="AN13" s="14" t="s">
        <v>237</v>
      </c>
      <c r="AO13" s="14" t="s">
        <v>86</v>
      </c>
      <c r="AP13" s="14" t="s">
        <v>46</v>
      </c>
      <c r="AQ13" s="18">
        <v>202605</v>
      </c>
      <c r="AR13" s="22" t="s">
        <v>158</v>
      </c>
      <c r="AS13" s="22"/>
      <c r="AT13" s="12" t="s">
        <v>130</v>
      </c>
      <c r="AU13" s="22" t="s">
        <v>275</v>
      </c>
      <c r="AV13" s="22" t="s">
        <v>363</v>
      </c>
    </row>
    <row r="14" spans="1:48" x14ac:dyDescent="0.3">
      <c r="A14" s="5" t="s">
        <v>30</v>
      </c>
      <c r="B14" s="5" t="s">
        <v>31</v>
      </c>
      <c r="C14" s="5" t="s">
        <v>425</v>
      </c>
      <c r="D14" s="5" t="s">
        <v>32</v>
      </c>
      <c r="E14" s="6" t="s">
        <v>33</v>
      </c>
      <c r="F14" s="7">
        <v>103</v>
      </c>
      <c r="G14" s="5" t="s">
        <v>426</v>
      </c>
      <c r="H14" s="5" t="s">
        <v>498</v>
      </c>
      <c r="I14" s="5" t="s">
        <v>499</v>
      </c>
      <c r="J14" s="5" t="s">
        <v>34</v>
      </c>
      <c r="K14" s="5" t="s">
        <v>50</v>
      </c>
      <c r="L14" s="5" t="s">
        <v>247</v>
      </c>
      <c r="M14" s="5" t="s">
        <v>46</v>
      </c>
      <c r="N14" s="5" t="s">
        <v>56</v>
      </c>
      <c r="O14" s="6" t="s">
        <v>500</v>
      </c>
      <c r="P14" s="5" t="s">
        <v>501</v>
      </c>
      <c r="Q14" s="5"/>
      <c r="R14" s="5" t="s">
        <v>248</v>
      </c>
      <c r="S14" s="5" t="s">
        <v>502</v>
      </c>
      <c r="T14" s="5" t="s">
        <v>465</v>
      </c>
      <c r="U14" s="5" t="s">
        <v>503</v>
      </c>
      <c r="V14" s="8">
        <v>32</v>
      </c>
      <c r="W14" s="9">
        <v>27119</v>
      </c>
      <c r="X14" s="5" t="s">
        <v>35</v>
      </c>
      <c r="Y14" s="10">
        <v>100</v>
      </c>
      <c r="Z14" s="10">
        <v>25.44</v>
      </c>
      <c r="AA14" s="10">
        <v>25.44</v>
      </c>
      <c r="AB14" s="10">
        <v>0</v>
      </c>
      <c r="AC14" s="10">
        <v>3816</v>
      </c>
      <c r="AD14" s="10">
        <v>0</v>
      </c>
      <c r="AE14" s="11">
        <v>3816</v>
      </c>
      <c r="AF14" s="12" t="s">
        <v>52</v>
      </c>
      <c r="AG14" s="14" t="s">
        <v>173</v>
      </c>
      <c r="AH14" s="14" t="e">
        <v>#N/A</v>
      </c>
      <c r="AI14" s="14" t="s">
        <v>49</v>
      </c>
      <c r="AJ14" s="14">
        <v>30000</v>
      </c>
      <c r="AK14" s="14">
        <v>30000</v>
      </c>
      <c r="AL14" s="13">
        <v>36</v>
      </c>
      <c r="AM14" s="13">
        <v>33</v>
      </c>
      <c r="AN14" s="14" t="s">
        <v>374</v>
      </c>
      <c r="AO14" s="14" t="s">
        <v>86</v>
      </c>
      <c r="AP14" s="14" t="s">
        <v>46</v>
      </c>
      <c r="AQ14" s="18">
        <v>202605</v>
      </c>
      <c r="AR14" s="22" t="s">
        <v>158</v>
      </c>
      <c r="AS14" s="22"/>
      <c r="AT14" s="12" t="s">
        <v>52</v>
      </c>
      <c r="AU14" s="22" t="s">
        <v>275</v>
      </c>
      <c r="AV14" s="22" t="s">
        <v>363</v>
      </c>
    </row>
    <row r="15" spans="1:48" x14ac:dyDescent="0.3">
      <c r="A15" s="5" t="s">
        <v>30</v>
      </c>
      <c r="B15" s="5" t="s">
        <v>31</v>
      </c>
      <c r="C15" s="5" t="s">
        <v>425</v>
      </c>
      <c r="D15" s="5" t="s">
        <v>32</v>
      </c>
      <c r="E15" s="6" t="s">
        <v>33</v>
      </c>
      <c r="F15" s="7">
        <v>104</v>
      </c>
      <c r="G15" s="5" t="s">
        <v>426</v>
      </c>
      <c r="H15" s="5" t="s">
        <v>504</v>
      </c>
      <c r="I15" s="5" t="s">
        <v>505</v>
      </c>
      <c r="J15" s="5" t="s">
        <v>34</v>
      </c>
      <c r="K15" s="5" t="s">
        <v>129</v>
      </c>
      <c r="L15" s="5" t="s">
        <v>506</v>
      </c>
      <c r="M15" s="5" t="s">
        <v>53</v>
      </c>
      <c r="N15" s="5" t="s">
        <v>56</v>
      </c>
      <c r="O15" s="6" t="s">
        <v>507</v>
      </c>
      <c r="P15" s="5" t="s">
        <v>73</v>
      </c>
      <c r="Q15" s="5"/>
      <c r="R15" s="5" t="s">
        <v>248</v>
      </c>
      <c r="S15" s="5" t="s">
        <v>508</v>
      </c>
      <c r="T15" s="5" t="s">
        <v>509</v>
      </c>
      <c r="U15" s="5" t="s">
        <v>315</v>
      </c>
      <c r="V15" s="8">
        <v>4</v>
      </c>
      <c r="W15" s="9">
        <v>2263</v>
      </c>
      <c r="X15" s="5" t="s">
        <v>35</v>
      </c>
      <c r="Y15" s="10">
        <v>100</v>
      </c>
      <c r="Z15" s="10">
        <v>25.44</v>
      </c>
      <c r="AA15" s="10">
        <v>25.44</v>
      </c>
      <c r="AB15" s="10">
        <v>22260</v>
      </c>
      <c r="AC15" s="10">
        <v>3816</v>
      </c>
      <c r="AD15" s="10">
        <v>0</v>
      </c>
      <c r="AE15" s="11">
        <v>26076</v>
      </c>
      <c r="AF15" s="12" t="s">
        <v>130</v>
      </c>
      <c r="AG15" s="14" t="s">
        <v>510</v>
      </c>
      <c r="AH15" s="14" t="e">
        <v>#N/A</v>
      </c>
      <c r="AI15" s="14" t="s">
        <v>49</v>
      </c>
      <c r="AJ15" s="14">
        <v>10000</v>
      </c>
      <c r="AK15" s="14">
        <v>5000</v>
      </c>
      <c r="AL15" s="13">
        <v>6</v>
      </c>
      <c r="AM15" s="13">
        <v>6</v>
      </c>
      <c r="AN15" s="14" t="s">
        <v>511</v>
      </c>
      <c r="AO15" s="14" t="s">
        <v>86</v>
      </c>
      <c r="AP15" s="14" t="s">
        <v>53</v>
      </c>
      <c r="AQ15" s="18">
        <v>202605</v>
      </c>
      <c r="AR15" s="22" t="s">
        <v>158</v>
      </c>
      <c r="AS15" s="22"/>
      <c r="AT15" s="12" t="s">
        <v>130</v>
      </c>
      <c r="AU15" s="22" t="s">
        <v>275</v>
      </c>
      <c r="AV15" s="22" t="s">
        <v>363</v>
      </c>
    </row>
    <row r="16" spans="1:48" x14ac:dyDescent="0.3">
      <c r="A16" s="5" t="s">
        <v>30</v>
      </c>
      <c r="B16" s="5" t="s">
        <v>31</v>
      </c>
      <c r="C16" s="5" t="s">
        <v>425</v>
      </c>
      <c r="D16" s="5" t="s">
        <v>32</v>
      </c>
      <c r="E16" s="6" t="s">
        <v>33</v>
      </c>
      <c r="F16" s="7">
        <v>105</v>
      </c>
      <c r="G16" s="5" t="s">
        <v>426</v>
      </c>
      <c r="H16" s="5" t="s">
        <v>512</v>
      </c>
      <c r="I16" s="5" t="s">
        <v>513</v>
      </c>
      <c r="J16" s="5" t="s">
        <v>34</v>
      </c>
      <c r="K16" s="5" t="s">
        <v>60</v>
      </c>
      <c r="L16" s="5" t="s">
        <v>514</v>
      </c>
      <c r="M16" s="5" t="s">
        <v>53</v>
      </c>
      <c r="N16" s="5" t="s">
        <v>56</v>
      </c>
      <c r="O16" s="6" t="s">
        <v>515</v>
      </c>
      <c r="P16" s="5" t="s">
        <v>239</v>
      </c>
      <c r="Q16" s="5"/>
      <c r="R16" s="5" t="s">
        <v>248</v>
      </c>
      <c r="S16" s="5" t="s">
        <v>367</v>
      </c>
      <c r="T16" s="5" t="s">
        <v>431</v>
      </c>
      <c r="U16" s="5" t="s">
        <v>377</v>
      </c>
      <c r="V16" s="8">
        <v>1</v>
      </c>
      <c r="W16" s="9">
        <v>547</v>
      </c>
      <c r="X16" s="5" t="s">
        <v>35</v>
      </c>
      <c r="Y16" s="10">
        <v>100</v>
      </c>
      <c r="Z16" s="10">
        <v>25.44</v>
      </c>
      <c r="AA16" s="10">
        <v>25.44</v>
      </c>
      <c r="AB16" s="10">
        <v>10970</v>
      </c>
      <c r="AC16" s="10">
        <v>11194</v>
      </c>
      <c r="AD16" s="10">
        <v>0</v>
      </c>
      <c r="AE16" s="11">
        <v>22164</v>
      </c>
      <c r="AF16" s="12" t="s">
        <v>62</v>
      </c>
      <c r="AG16" s="14" t="s">
        <v>516</v>
      </c>
      <c r="AH16" s="14" t="e">
        <v>#N/A</v>
      </c>
      <c r="AI16" s="14" t="s">
        <v>49</v>
      </c>
      <c r="AJ16" s="14">
        <v>10000</v>
      </c>
      <c r="AK16" s="14">
        <v>5000</v>
      </c>
      <c r="AL16" s="13">
        <v>6</v>
      </c>
      <c r="AM16" s="13">
        <v>3</v>
      </c>
      <c r="AN16" s="14" t="s">
        <v>517</v>
      </c>
      <c r="AO16" s="14" t="s">
        <v>86</v>
      </c>
      <c r="AP16" s="14" t="s">
        <v>53</v>
      </c>
      <c r="AQ16" s="18">
        <v>202605</v>
      </c>
      <c r="AR16" s="22" t="s">
        <v>158</v>
      </c>
      <c r="AS16" s="22"/>
      <c r="AT16" s="12" t="s">
        <v>62</v>
      </c>
      <c r="AU16" s="22" t="s">
        <v>275</v>
      </c>
      <c r="AV16" s="22" t="s">
        <v>363</v>
      </c>
    </row>
    <row r="17" spans="1:48" x14ac:dyDescent="0.3">
      <c r="A17" s="5" t="s">
        <v>30</v>
      </c>
      <c r="B17" s="5" t="s">
        <v>31</v>
      </c>
      <c r="C17" s="5" t="s">
        <v>425</v>
      </c>
      <c r="D17" s="5" t="s">
        <v>32</v>
      </c>
      <c r="E17" s="6" t="s">
        <v>33</v>
      </c>
      <c r="F17" s="7">
        <v>106</v>
      </c>
      <c r="G17" s="5" t="s">
        <v>426</v>
      </c>
      <c r="H17" s="5" t="s">
        <v>518</v>
      </c>
      <c r="I17" s="5" t="s">
        <v>519</v>
      </c>
      <c r="J17" s="5" t="s">
        <v>34</v>
      </c>
      <c r="K17" s="5" t="s">
        <v>183</v>
      </c>
      <c r="L17" s="5" t="s">
        <v>520</v>
      </c>
      <c r="M17" s="5" t="s">
        <v>53</v>
      </c>
      <c r="N17" s="5" t="s">
        <v>56</v>
      </c>
      <c r="O17" s="6" t="s">
        <v>521</v>
      </c>
      <c r="P17" s="5" t="s">
        <v>73</v>
      </c>
      <c r="Q17" s="5"/>
      <c r="R17" s="5" t="s">
        <v>280</v>
      </c>
      <c r="S17" s="5" t="s">
        <v>370</v>
      </c>
      <c r="T17" s="5" t="s">
        <v>522</v>
      </c>
      <c r="U17" s="5" t="s">
        <v>523</v>
      </c>
      <c r="V17" s="8">
        <v>1</v>
      </c>
      <c r="W17" s="9">
        <v>96</v>
      </c>
      <c r="X17" s="5" t="s">
        <v>35</v>
      </c>
      <c r="Y17" s="10">
        <v>100</v>
      </c>
      <c r="Z17" s="10">
        <v>25.44</v>
      </c>
      <c r="AA17" s="10">
        <v>25.44</v>
      </c>
      <c r="AB17" s="10">
        <v>31354</v>
      </c>
      <c r="AC17" s="10">
        <v>2748</v>
      </c>
      <c r="AD17" s="10">
        <v>0</v>
      </c>
      <c r="AE17" s="11">
        <v>34102</v>
      </c>
      <c r="AF17" s="12" t="s">
        <v>184</v>
      </c>
      <c r="AG17" s="14" t="s">
        <v>516</v>
      </c>
      <c r="AH17" s="14" t="e">
        <v>#N/A</v>
      </c>
      <c r="AI17" s="14" t="s">
        <v>207</v>
      </c>
      <c r="AJ17" s="14">
        <v>10000</v>
      </c>
      <c r="AK17" s="14">
        <v>5000</v>
      </c>
      <c r="AL17" s="13">
        <v>6</v>
      </c>
      <c r="AM17" s="13">
        <v>3</v>
      </c>
      <c r="AN17" s="14" t="s">
        <v>524</v>
      </c>
      <c r="AO17" s="14" t="s">
        <v>86</v>
      </c>
      <c r="AP17" s="14" t="s">
        <v>53</v>
      </c>
      <c r="AQ17" s="18">
        <v>202605</v>
      </c>
      <c r="AR17" s="22" t="s">
        <v>158</v>
      </c>
      <c r="AS17" s="22"/>
      <c r="AT17" s="12" t="s">
        <v>184</v>
      </c>
      <c r="AU17" s="22" t="s">
        <v>275</v>
      </c>
      <c r="AV17" s="22" t="s">
        <v>363</v>
      </c>
    </row>
    <row r="18" spans="1:48" x14ac:dyDescent="0.3">
      <c r="A18" s="5" t="s">
        <v>30</v>
      </c>
      <c r="B18" s="5" t="s">
        <v>31</v>
      </c>
      <c r="C18" s="5" t="s">
        <v>525</v>
      </c>
      <c r="D18" s="5" t="s">
        <v>32</v>
      </c>
      <c r="E18" s="6" t="s">
        <v>33</v>
      </c>
      <c r="F18" s="7">
        <v>1</v>
      </c>
      <c r="G18" s="5" t="s">
        <v>302</v>
      </c>
      <c r="H18" s="5" t="s">
        <v>526</v>
      </c>
      <c r="I18" s="5" t="s">
        <v>527</v>
      </c>
      <c r="J18" s="5" t="s">
        <v>34</v>
      </c>
      <c r="K18" s="5" t="s">
        <v>312</v>
      </c>
      <c r="L18" s="5" t="s">
        <v>314</v>
      </c>
      <c r="M18" s="5" t="s">
        <v>43</v>
      </c>
      <c r="N18" s="5" t="s">
        <v>56</v>
      </c>
      <c r="O18" s="6" t="s">
        <v>528</v>
      </c>
      <c r="P18" s="5" t="s">
        <v>228</v>
      </c>
      <c r="Q18" s="5"/>
      <c r="R18" s="5" t="s">
        <v>529</v>
      </c>
      <c r="S18" s="5" t="s">
        <v>259</v>
      </c>
      <c r="T18" s="5" t="s">
        <v>311</v>
      </c>
      <c r="U18" s="5" t="s">
        <v>288</v>
      </c>
      <c r="V18" s="8">
        <v>2</v>
      </c>
      <c r="W18" s="9">
        <v>3760</v>
      </c>
      <c r="X18" s="5" t="s">
        <v>35</v>
      </c>
      <c r="Y18" s="10">
        <v>100</v>
      </c>
      <c r="Z18" s="10">
        <v>25.44</v>
      </c>
      <c r="AA18" s="10">
        <v>25.44</v>
      </c>
      <c r="AB18" s="10">
        <v>78151</v>
      </c>
      <c r="AC18" s="10">
        <v>27984</v>
      </c>
      <c r="AD18" s="10">
        <v>0</v>
      </c>
      <c r="AE18" s="11">
        <v>106135</v>
      </c>
      <c r="AF18" s="12" t="s">
        <v>530</v>
      </c>
      <c r="AG18" s="14" t="s">
        <v>340</v>
      </c>
      <c r="AH18" s="14" t="e">
        <v>#N/A</v>
      </c>
      <c r="AI18" s="14" t="s">
        <v>49</v>
      </c>
      <c r="AJ18" s="14">
        <v>10000</v>
      </c>
      <c r="AK18" s="14">
        <v>5000</v>
      </c>
      <c r="AL18" s="13">
        <v>6</v>
      </c>
      <c r="AM18" s="13">
        <v>3</v>
      </c>
      <c r="AN18" s="14" t="s">
        <v>531</v>
      </c>
      <c r="AO18" s="14" t="s">
        <v>86</v>
      </c>
      <c r="AP18" s="14" t="s">
        <v>46</v>
      </c>
      <c r="AQ18" s="18">
        <v>202605</v>
      </c>
      <c r="AR18" s="22" t="s">
        <v>158</v>
      </c>
      <c r="AS18" s="22"/>
      <c r="AT18" s="12" t="s">
        <v>530</v>
      </c>
      <c r="AU18" s="22" t="s">
        <v>275</v>
      </c>
      <c r="AV18" s="22" t="s">
        <v>363</v>
      </c>
    </row>
    <row r="19" spans="1:48" x14ac:dyDescent="0.3">
      <c r="A19" s="5" t="s">
        <v>30</v>
      </c>
      <c r="B19" s="5" t="s">
        <v>54</v>
      </c>
      <c r="C19" s="5" t="s">
        <v>425</v>
      </c>
      <c r="D19" s="5" t="s">
        <v>32</v>
      </c>
      <c r="E19" s="6" t="s">
        <v>33</v>
      </c>
      <c r="F19" s="7">
        <v>1</v>
      </c>
      <c r="G19" s="5" t="s">
        <v>426</v>
      </c>
      <c r="H19" s="5" t="s">
        <v>532</v>
      </c>
      <c r="I19" s="5" t="s">
        <v>533</v>
      </c>
      <c r="J19" s="5" t="s">
        <v>34</v>
      </c>
      <c r="K19" s="5" t="s">
        <v>42</v>
      </c>
      <c r="L19" s="5" t="s">
        <v>386</v>
      </c>
      <c r="M19" s="5" t="s">
        <v>387</v>
      </c>
      <c r="N19" s="5" t="s">
        <v>56</v>
      </c>
      <c r="O19" s="6" t="s">
        <v>534</v>
      </c>
      <c r="P19" s="5" t="s">
        <v>47</v>
      </c>
      <c r="Q19" s="5" t="s">
        <v>64</v>
      </c>
      <c r="R19" s="5" t="s">
        <v>248</v>
      </c>
      <c r="S19" s="5" t="s">
        <v>535</v>
      </c>
      <c r="T19" s="5" t="s">
        <v>460</v>
      </c>
      <c r="U19" s="5" t="s">
        <v>536</v>
      </c>
      <c r="V19" s="8">
        <v>4</v>
      </c>
      <c r="W19" s="9">
        <v>5058</v>
      </c>
      <c r="X19" s="5" t="s">
        <v>35</v>
      </c>
      <c r="Y19" s="10">
        <v>100</v>
      </c>
      <c r="Z19" s="10">
        <v>18.18</v>
      </c>
      <c r="AA19" s="10">
        <v>18.18</v>
      </c>
      <c r="AB19" s="10">
        <v>7690</v>
      </c>
      <c r="AC19" s="10">
        <v>2190</v>
      </c>
      <c r="AD19" s="10">
        <v>0</v>
      </c>
      <c r="AE19" s="11">
        <v>9880</v>
      </c>
      <c r="AF19" s="12" t="s">
        <v>44</v>
      </c>
      <c r="AG19" s="14" t="s">
        <v>320</v>
      </c>
      <c r="AH19" s="14" t="s">
        <v>65</v>
      </c>
      <c r="AI19" s="14" t="s">
        <v>49</v>
      </c>
      <c r="AJ19" s="14">
        <v>10000</v>
      </c>
      <c r="AK19" s="14">
        <v>10000</v>
      </c>
      <c r="AL19" s="13">
        <v>6</v>
      </c>
      <c r="AM19" s="13">
        <v>6</v>
      </c>
      <c r="AN19" s="14" t="s">
        <v>388</v>
      </c>
      <c r="AO19" s="14" t="s">
        <v>389</v>
      </c>
      <c r="AP19" s="14" t="s">
        <v>53</v>
      </c>
      <c r="AQ19" s="18">
        <v>202605</v>
      </c>
      <c r="AR19" s="22" t="s">
        <v>158</v>
      </c>
      <c r="AS19" s="22"/>
      <c r="AT19" s="12" t="s">
        <v>44</v>
      </c>
      <c r="AU19" s="22" t="s">
        <v>275</v>
      </c>
      <c r="AV19" s="22" t="s">
        <v>363</v>
      </c>
    </row>
    <row r="20" spans="1:48" x14ac:dyDescent="0.3">
      <c r="A20" s="5" t="s">
        <v>30</v>
      </c>
      <c r="B20" s="5" t="s">
        <v>54</v>
      </c>
      <c r="C20" s="5" t="s">
        <v>425</v>
      </c>
      <c r="D20" s="5" t="s">
        <v>32</v>
      </c>
      <c r="E20" s="6" t="s">
        <v>33</v>
      </c>
      <c r="F20" s="7">
        <v>2</v>
      </c>
      <c r="G20" s="5" t="s">
        <v>426</v>
      </c>
      <c r="H20" s="5" t="s">
        <v>537</v>
      </c>
      <c r="I20" s="5" t="s">
        <v>538</v>
      </c>
      <c r="J20" s="5" t="s">
        <v>34</v>
      </c>
      <c r="K20" s="5" t="s">
        <v>55</v>
      </c>
      <c r="L20" s="5" t="s">
        <v>539</v>
      </c>
      <c r="M20" s="5" t="s">
        <v>391</v>
      </c>
      <c r="N20" s="5" t="s">
        <v>56</v>
      </c>
      <c r="O20" s="6" t="s">
        <v>540</v>
      </c>
      <c r="P20" s="5" t="s">
        <v>541</v>
      </c>
      <c r="Q20" s="5" t="s">
        <v>64</v>
      </c>
      <c r="R20" s="5" t="s">
        <v>139</v>
      </c>
      <c r="S20" s="5" t="s">
        <v>542</v>
      </c>
      <c r="T20" s="5" t="s">
        <v>278</v>
      </c>
      <c r="U20" s="5" t="s">
        <v>543</v>
      </c>
      <c r="V20" s="8">
        <v>95</v>
      </c>
      <c r="W20" s="9">
        <v>110470</v>
      </c>
      <c r="X20" s="5" t="s">
        <v>35</v>
      </c>
      <c r="Y20" s="10">
        <v>100</v>
      </c>
      <c r="Z20" s="10">
        <v>18.18</v>
      </c>
      <c r="AA20" s="10">
        <v>18.18</v>
      </c>
      <c r="AB20" s="10">
        <v>0</v>
      </c>
      <c r="AC20" s="10">
        <v>0</v>
      </c>
      <c r="AD20" s="10">
        <v>123189</v>
      </c>
      <c r="AE20" s="11">
        <v>123189</v>
      </c>
      <c r="AF20" s="12" t="s">
        <v>57</v>
      </c>
      <c r="AG20" s="14" t="s">
        <v>544</v>
      </c>
      <c r="AH20" s="14" t="s">
        <v>65</v>
      </c>
      <c r="AI20" s="14" t="s">
        <v>36</v>
      </c>
      <c r="AJ20" s="14" t="s">
        <v>136</v>
      </c>
      <c r="AK20" s="14" t="s">
        <v>136</v>
      </c>
      <c r="AL20" s="13" t="s">
        <v>121</v>
      </c>
      <c r="AM20" s="13" t="s">
        <v>121</v>
      </c>
      <c r="AN20" s="14" t="s">
        <v>58</v>
      </c>
      <c r="AO20" s="14" t="s">
        <v>59</v>
      </c>
      <c r="AP20" s="14" t="s">
        <v>37</v>
      </c>
      <c r="AQ20" s="18">
        <v>202605</v>
      </c>
      <c r="AR20" s="14" t="s">
        <v>147</v>
      </c>
      <c r="AS20" s="14" t="s">
        <v>157</v>
      </c>
      <c r="AT20" s="12" t="s">
        <v>157</v>
      </c>
      <c r="AU20" s="22" t="s">
        <v>275</v>
      </c>
      <c r="AV20" s="22" t="s">
        <v>363</v>
      </c>
    </row>
    <row r="21" spans="1:48" x14ac:dyDescent="0.3">
      <c r="A21" s="5" t="s">
        <v>30</v>
      </c>
      <c r="B21" s="5" t="s">
        <v>54</v>
      </c>
      <c r="C21" s="5" t="s">
        <v>425</v>
      </c>
      <c r="D21" s="5" t="s">
        <v>32</v>
      </c>
      <c r="E21" s="6" t="s">
        <v>33</v>
      </c>
      <c r="F21" s="7">
        <v>3</v>
      </c>
      <c r="G21" s="5" t="s">
        <v>426</v>
      </c>
      <c r="H21" s="5" t="s">
        <v>545</v>
      </c>
      <c r="I21" s="5" t="s">
        <v>538</v>
      </c>
      <c r="J21" s="5" t="s">
        <v>34</v>
      </c>
      <c r="K21" s="5" t="s">
        <v>55</v>
      </c>
      <c r="L21" s="5" t="s">
        <v>539</v>
      </c>
      <c r="M21" s="5" t="s">
        <v>391</v>
      </c>
      <c r="N21" s="5" t="s">
        <v>56</v>
      </c>
      <c r="O21" s="6" t="s">
        <v>540</v>
      </c>
      <c r="P21" s="5" t="s">
        <v>392</v>
      </c>
      <c r="Q21" s="5" t="s">
        <v>64</v>
      </c>
      <c r="R21" s="5" t="s">
        <v>139</v>
      </c>
      <c r="S21" s="5" t="s">
        <v>542</v>
      </c>
      <c r="T21" s="5" t="s">
        <v>278</v>
      </c>
      <c r="U21" s="5" t="s">
        <v>543</v>
      </c>
      <c r="V21" s="8">
        <v>95</v>
      </c>
      <c r="W21" s="9">
        <v>110470</v>
      </c>
      <c r="X21" s="5" t="s">
        <v>35</v>
      </c>
      <c r="Y21" s="10">
        <v>100</v>
      </c>
      <c r="Z21" s="10">
        <v>18.18</v>
      </c>
      <c r="AA21" s="10">
        <v>18.18</v>
      </c>
      <c r="AB21" s="10">
        <v>182683</v>
      </c>
      <c r="AC21" s="10">
        <v>59180</v>
      </c>
      <c r="AD21" s="10">
        <v>0</v>
      </c>
      <c r="AE21" s="11">
        <v>241863</v>
      </c>
      <c r="AF21" s="12" t="s">
        <v>57</v>
      </c>
      <c r="AG21" s="14" t="s">
        <v>544</v>
      </c>
      <c r="AH21" s="14" t="s">
        <v>65</v>
      </c>
      <c r="AI21" s="14" t="s">
        <v>36</v>
      </c>
      <c r="AJ21" s="14" t="s">
        <v>136</v>
      </c>
      <c r="AK21" s="14" t="s">
        <v>136</v>
      </c>
      <c r="AL21" s="13" t="s">
        <v>121</v>
      </c>
      <c r="AM21" s="13" t="s">
        <v>121</v>
      </c>
      <c r="AN21" s="14" t="s">
        <v>58</v>
      </c>
      <c r="AO21" s="14" t="s">
        <v>59</v>
      </c>
      <c r="AP21" s="14" t="s">
        <v>37</v>
      </c>
      <c r="AQ21" s="18">
        <v>202605</v>
      </c>
      <c r="AR21" s="14" t="s">
        <v>147</v>
      </c>
      <c r="AS21" s="14" t="s">
        <v>157</v>
      </c>
      <c r="AT21" s="12" t="s">
        <v>157</v>
      </c>
      <c r="AU21" s="22" t="s">
        <v>275</v>
      </c>
      <c r="AV21" s="22" t="s">
        <v>363</v>
      </c>
    </row>
    <row r="22" spans="1:48" x14ac:dyDescent="0.3">
      <c r="A22" s="5" t="s">
        <v>30</v>
      </c>
      <c r="B22" s="5" t="s">
        <v>54</v>
      </c>
      <c r="C22" s="5" t="s">
        <v>425</v>
      </c>
      <c r="D22" s="5" t="s">
        <v>32</v>
      </c>
      <c r="E22" s="6" t="s">
        <v>33</v>
      </c>
      <c r="F22" s="7">
        <v>4</v>
      </c>
      <c r="G22" s="5" t="s">
        <v>426</v>
      </c>
      <c r="H22" s="5" t="s">
        <v>546</v>
      </c>
      <c r="I22" s="5" t="s">
        <v>547</v>
      </c>
      <c r="J22" s="5" t="s">
        <v>34</v>
      </c>
      <c r="K22" s="5" t="s">
        <v>55</v>
      </c>
      <c r="L22" s="5" t="s">
        <v>390</v>
      </c>
      <c r="M22" s="5" t="s">
        <v>391</v>
      </c>
      <c r="N22" s="5" t="s">
        <v>56</v>
      </c>
      <c r="O22" s="6" t="s">
        <v>548</v>
      </c>
      <c r="P22" s="5" t="s">
        <v>392</v>
      </c>
      <c r="Q22" s="5" t="s">
        <v>64</v>
      </c>
      <c r="R22" s="5" t="s">
        <v>139</v>
      </c>
      <c r="S22" s="5" t="s">
        <v>549</v>
      </c>
      <c r="T22" s="5" t="s">
        <v>550</v>
      </c>
      <c r="U22" s="5" t="s">
        <v>551</v>
      </c>
      <c r="V22" s="8">
        <v>87</v>
      </c>
      <c r="W22" s="9">
        <v>38651</v>
      </c>
      <c r="X22" s="5" t="s">
        <v>35</v>
      </c>
      <c r="Y22" s="10">
        <v>100</v>
      </c>
      <c r="Z22" s="10">
        <v>18.18</v>
      </c>
      <c r="AA22" s="10">
        <v>18.18</v>
      </c>
      <c r="AB22" s="10">
        <v>143091</v>
      </c>
      <c r="AC22" s="10">
        <v>23496</v>
      </c>
      <c r="AD22" s="10">
        <v>0</v>
      </c>
      <c r="AE22" s="11">
        <v>166587</v>
      </c>
      <c r="AF22" s="12" t="s">
        <v>57</v>
      </c>
      <c r="AG22" s="14" t="s">
        <v>284</v>
      </c>
      <c r="AH22" s="14" t="s">
        <v>65</v>
      </c>
      <c r="AI22" s="14" t="s">
        <v>36</v>
      </c>
      <c r="AJ22" s="14">
        <v>40000</v>
      </c>
      <c r="AK22" s="14">
        <v>40000</v>
      </c>
      <c r="AL22" s="13" t="s">
        <v>121</v>
      </c>
      <c r="AM22" s="13" t="s">
        <v>121</v>
      </c>
      <c r="AN22" s="14" t="s">
        <v>75</v>
      </c>
      <c r="AO22" s="14" t="s">
        <v>76</v>
      </c>
      <c r="AP22" s="14" t="s">
        <v>37</v>
      </c>
      <c r="AQ22" s="18">
        <v>202605</v>
      </c>
      <c r="AR22" s="14" t="s">
        <v>147</v>
      </c>
      <c r="AS22" s="14" t="s">
        <v>157</v>
      </c>
      <c r="AT22" s="12" t="s">
        <v>157</v>
      </c>
      <c r="AU22" s="22" t="s">
        <v>275</v>
      </c>
      <c r="AV22" s="22" t="s">
        <v>363</v>
      </c>
    </row>
    <row r="23" spans="1:48" x14ac:dyDescent="0.3">
      <c r="A23" s="5" t="s">
        <v>30</v>
      </c>
      <c r="B23" s="5" t="s">
        <v>54</v>
      </c>
      <c r="C23" s="5" t="s">
        <v>425</v>
      </c>
      <c r="D23" s="5" t="s">
        <v>32</v>
      </c>
      <c r="E23" s="6" t="s">
        <v>33</v>
      </c>
      <c r="F23" s="7">
        <v>5</v>
      </c>
      <c r="G23" s="5" t="s">
        <v>426</v>
      </c>
      <c r="H23" s="5" t="s">
        <v>552</v>
      </c>
      <c r="I23" s="5" t="s">
        <v>553</v>
      </c>
      <c r="J23" s="5" t="s">
        <v>34</v>
      </c>
      <c r="K23" s="5" t="s">
        <v>55</v>
      </c>
      <c r="L23" s="5" t="s">
        <v>390</v>
      </c>
      <c r="M23" s="5" t="s">
        <v>391</v>
      </c>
      <c r="N23" s="5" t="s">
        <v>56</v>
      </c>
      <c r="O23" s="6" t="s">
        <v>554</v>
      </c>
      <c r="P23" s="5" t="s">
        <v>392</v>
      </c>
      <c r="Q23" s="5" t="s">
        <v>64</v>
      </c>
      <c r="R23" s="5" t="s">
        <v>139</v>
      </c>
      <c r="S23" s="5" t="s">
        <v>555</v>
      </c>
      <c r="T23" s="5" t="s">
        <v>377</v>
      </c>
      <c r="U23" s="5" t="s">
        <v>556</v>
      </c>
      <c r="V23" s="8">
        <v>89</v>
      </c>
      <c r="W23" s="9">
        <v>104894</v>
      </c>
      <c r="X23" s="5" t="s">
        <v>35</v>
      </c>
      <c r="Y23" s="10">
        <v>100</v>
      </c>
      <c r="Z23" s="10">
        <v>18.18</v>
      </c>
      <c r="AA23" s="10">
        <v>18.18</v>
      </c>
      <c r="AB23" s="10">
        <v>181016</v>
      </c>
      <c r="AC23" s="10">
        <v>34493</v>
      </c>
      <c r="AD23" s="10">
        <v>0</v>
      </c>
      <c r="AE23" s="11">
        <v>215509</v>
      </c>
      <c r="AF23" s="12" t="s">
        <v>57</v>
      </c>
      <c r="AG23" s="14" t="s">
        <v>242</v>
      </c>
      <c r="AH23" s="14" t="s">
        <v>65</v>
      </c>
      <c r="AI23" s="14" t="s">
        <v>36</v>
      </c>
      <c r="AJ23" s="14" t="s">
        <v>136</v>
      </c>
      <c r="AK23" s="14" t="s">
        <v>136</v>
      </c>
      <c r="AL23" s="13" t="s">
        <v>121</v>
      </c>
      <c r="AM23" s="13" t="s">
        <v>121</v>
      </c>
      <c r="AN23" s="14" t="s">
        <v>58</v>
      </c>
      <c r="AO23" s="14" t="s">
        <v>59</v>
      </c>
      <c r="AP23" s="14" t="s">
        <v>37</v>
      </c>
      <c r="AQ23" s="18">
        <v>202605</v>
      </c>
      <c r="AR23" s="14" t="s">
        <v>147</v>
      </c>
      <c r="AS23" s="14" t="s">
        <v>157</v>
      </c>
      <c r="AT23" s="12" t="s">
        <v>157</v>
      </c>
      <c r="AU23" s="22" t="s">
        <v>275</v>
      </c>
      <c r="AV23" s="22" t="s">
        <v>363</v>
      </c>
    </row>
    <row r="24" spans="1:48" x14ac:dyDescent="0.3">
      <c r="A24" s="5" t="s">
        <v>30</v>
      </c>
      <c r="B24" s="5" t="s">
        <v>54</v>
      </c>
      <c r="C24" s="5" t="s">
        <v>425</v>
      </c>
      <c r="D24" s="5" t="s">
        <v>32</v>
      </c>
      <c r="E24" s="6" t="s">
        <v>33</v>
      </c>
      <c r="F24" s="7">
        <v>67</v>
      </c>
      <c r="G24" s="5" t="s">
        <v>426</v>
      </c>
      <c r="H24" s="5" t="s">
        <v>557</v>
      </c>
      <c r="I24" s="5" t="s">
        <v>558</v>
      </c>
      <c r="J24" s="5" t="s">
        <v>34</v>
      </c>
      <c r="K24" s="5" t="s">
        <v>131</v>
      </c>
      <c r="L24" s="5" t="s">
        <v>212</v>
      </c>
      <c r="M24" s="5" t="s">
        <v>39</v>
      </c>
      <c r="N24" s="5" t="s">
        <v>56</v>
      </c>
      <c r="O24" s="6" t="s">
        <v>559</v>
      </c>
      <c r="P24" s="5" t="s">
        <v>171</v>
      </c>
      <c r="Q24" s="5" t="s">
        <v>281</v>
      </c>
      <c r="R24" s="5" t="s">
        <v>139</v>
      </c>
      <c r="S24" s="5" t="s">
        <v>560</v>
      </c>
      <c r="T24" s="5" t="s">
        <v>364</v>
      </c>
      <c r="U24" s="5" t="s">
        <v>561</v>
      </c>
      <c r="V24" s="8">
        <v>23</v>
      </c>
      <c r="W24" s="9">
        <v>51467</v>
      </c>
      <c r="X24" s="5" t="s">
        <v>35</v>
      </c>
      <c r="Y24" s="10">
        <v>100</v>
      </c>
      <c r="Z24" s="10">
        <v>18.18</v>
      </c>
      <c r="AA24" s="10">
        <v>18.18</v>
      </c>
      <c r="AB24" s="10">
        <v>193870</v>
      </c>
      <c r="AC24" s="10">
        <v>66123</v>
      </c>
      <c r="AD24" s="10">
        <v>0</v>
      </c>
      <c r="AE24" s="11">
        <v>259993</v>
      </c>
      <c r="AF24" s="12" t="s">
        <v>132</v>
      </c>
      <c r="AG24" s="14" t="s">
        <v>187</v>
      </c>
      <c r="AH24" s="14" t="s">
        <v>283</v>
      </c>
      <c r="AI24" s="14" t="s">
        <v>36</v>
      </c>
      <c r="AJ24" s="14">
        <v>60000</v>
      </c>
      <c r="AK24" s="14">
        <v>55000</v>
      </c>
      <c r="AL24" s="13">
        <v>24</v>
      </c>
      <c r="AM24" s="13">
        <v>24</v>
      </c>
      <c r="AN24" s="14" t="s">
        <v>58</v>
      </c>
      <c r="AO24" s="14" t="s">
        <v>59</v>
      </c>
      <c r="AP24" s="14" t="s">
        <v>37</v>
      </c>
      <c r="AQ24" s="18">
        <v>202605</v>
      </c>
      <c r="AR24" s="14" t="s">
        <v>147</v>
      </c>
      <c r="AS24" s="14" t="s">
        <v>174</v>
      </c>
      <c r="AT24" s="14" t="s">
        <v>174</v>
      </c>
      <c r="AU24" s="22" t="s">
        <v>275</v>
      </c>
      <c r="AV24" s="22" t="s">
        <v>363</v>
      </c>
    </row>
    <row r="25" spans="1:48" x14ac:dyDescent="0.3">
      <c r="A25" s="5" t="s">
        <v>30</v>
      </c>
      <c r="B25" s="5" t="s">
        <v>54</v>
      </c>
      <c r="C25" s="5" t="s">
        <v>425</v>
      </c>
      <c r="D25" s="5" t="s">
        <v>32</v>
      </c>
      <c r="E25" s="6" t="s">
        <v>33</v>
      </c>
      <c r="F25" s="7">
        <v>68</v>
      </c>
      <c r="G25" s="5" t="s">
        <v>426</v>
      </c>
      <c r="H25" s="5" t="s">
        <v>562</v>
      </c>
      <c r="I25" s="5" t="s">
        <v>316</v>
      </c>
      <c r="J25" s="5" t="s">
        <v>34</v>
      </c>
      <c r="K25" s="5" t="s">
        <v>131</v>
      </c>
      <c r="L25" s="5" t="s">
        <v>212</v>
      </c>
      <c r="M25" s="5" t="s">
        <v>39</v>
      </c>
      <c r="N25" s="5" t="s">
        <v>56</v>
      </c>
      <c r="O25" s="6" t="s">
        <v>317</v>
      </c>
      <c r="P25" s="5" t="s">
        <v>171</v>
      </c>
      <c r="Q25" s="5" t="s">
        <v>64</v>
      </c>
      <c r="R25" s="5" t="s">
        <v>139</v>
      </c>
      <c r="S25" s="5" t="s">
        <v>318</v>
      </c>
      <c r="T25" s="5" t="s">
        <v>397</v>
      </c>
      <c r="U25" s="5" t="s">
        <v>319</v>
      </c>
      <c r="V25" s="8">
        <v>7</v>
      </c>
      <c r="W25" s="9">
        <v>13310</v>
      </c>
      <c r="X25" s="5" t="s">
        <v>35</v>
      </c>
      <c r="Y25" s="10">
        <v>100</v>
      </c>
      <c r="Z25" s="10">
        <v>18.18</v>
      </c>
      <c r="AA25" s="10">
        <v>18.18</v>
      </c>
      <c r="AB25" s="10">
        <v>195645</v>
      </c>
      <c r="AC25" s="10">
        <v>113088</v>
      </c>
      <c r="AD25" s="10">
        <v>0</v>
      </c>
      <c r="AE25" s="11">
        <v>308733</v>
      </c>
      <c r="AF25" s="12" t="s">
        <v>132</v>
      </c>
      <c r="AG25" s="14" t="s">
        <v>320</v>
      </c>
      <c r="AH25" s="14" t="s">
        <v>65</v>
      </c>
      <c r="AI25" s="14" t="s">
        <v>36</v>
      </c>
      <c r="AJ25" s="14">
        <v>20000</v>
      </c>
      <c r="AK25" s="14">
        <v>15000</v>
      </c>
      <c r="AL25" s="13">
        <v>12</v>
      </c>
      <c r="AM25" s="13">
        <v>9</v>
      </c>
      <c r="AN25" s="14" t="s">
        <v>58</v>
      </c>
      <c r="AO25" s="14" t="s">
        <v>59</v>
      </c>
      <c r="AP25" s="14" t="s">
        <v>37</v>
      </c>
      <c r="AQ25" s="18">
        <v>202605</v>
      </c>
      <c r="AR25" s="14" t="s">
        <v>147</v>
      </c>
      <c r="AS25" s="14" t="s">
        <v>174</v>
      </c>
      <c r="AT25" s="14" t="s">
        <v>174</v>
      </c>
      <c r="AU25" s="22" t="s">
        <v>275</v>
      </c>
      <c r="AV25" s="22" t="s">
        <v>363</v>
      </c>
    </row>
    <row r="26" spans="1:48" x14ac:dyDescent="0.3">
      <c r="A26" s="5" t="s">
        <v>30</v>
      </c>
      <c r="B26" s="5" t="s">
        <v>54</v>
      </c>
      <c r="C26" s="5" t="s">
        <v>425</v>
      </c>
      <c r="D26" s="5" t="s">
        <v>32</v>
      </c>
      <c r="E26" s="6" t="s">
        <v>33</v>
      </c>
      <c r="F26" s="7">
        <v>69</v>
      </c>
      <c r="G26" s="5" t="s">
        <v>426</v>
      </c>
      <c r="H26" s="5" t="s">
        <v>563</v>
      </c>
      <c r="I26" s="5" t="s">
        <v>564</v>
      </c>
      <c r="J26" s="5" t="s">
        <v>34</v>
      </c>
      <c r="K26" s="5" t="s">
        <v>131</v>
      </c>
      <c r="L26" s="5" t="s">
        <v>212</v>
      </c>
      <c r="M26" s="5" t="s">
        <v>39</v>
      </c>
      <c r="N26" s="5" t="s">
        <v>56</v>
      </c>
      <c r="O26" s="6" t="s">
        <v>565</v>
      </c>
      <c r="P26" s="5" t="s">
        <v>171</v>
      </c>
      <c r="Q26" s="5" t="s">
        <v>64</v>
      </c>
      <c r="R26" s="5" t="s">
        <v>139</v>
      </c>
      <c r="S26" s="5" t="s">
        <v>566</v>
      </c>
      <c r="T26" s="5" t="s">
        <v>401</v>
      </c>
      <c r="U26" s="5" t="s">
        <v>449</v>
      </c>
      <c r="V26" s="8">
        <v>5</v>
      </c>
      <c r="W26" s="9">
        <v>13496</v>
      </c>
      <c r="X26" s="5" t="s">
        <v>35</v>
      </c>
      <c r="Y26" s="10">
        <v>100</v>
      </c>
      <c r="Z26" s="10">
        <v>18.18</v>
      </c>
      <c r="AA26" s="10">
        <v>18.18</v>
      </c>
      <c r="AB26" s="10">
        <v>195309</v>
      </c>
      <c r="AC26" s="10">
        <v>60749</v>
      </c>
      <c r="AD26" s="10">
        <v>0</v>
      </c>
      <c r="AE26" s="11">
        <v>256058</v>
      </c>
      <c r="AF26" s="12" t="s">
        <v>132</v>
      </c>
      <c r="AG26" s="14" t="s">
        <v>282</v>
      </c>
      <c r="AH26" s="14" t="s">
        <v>65</v>
      </c>
      <c r="AI26" s="14" t="s">
        <v>36</v>
      </c>
      <c r="AJ26" s="14">
        <v>20000</v>
      </c>
      <c r="AK26" s="14">
        <v>15000</v>
      </c>
      <c r="AL26" s="13">
        <v>6</v>
      </c>
      <c r="AM26" s="13">
        <v>6</v>
      </c>
      <c r="AN26" s="14" t="s">
        <v>58</v>
      </c>
      <c r="AO26" s="14" t="s">
        <v>59</v>
      </c>
      <c r="AP26" s="14" t="s">
        <v>37</v>
      </c>
      <c r="AQ26" s="18">
        <v>202605</v>
      </c>
      <c r="AR26" s="14" t="s">
        <v>147</v>
      </c>
      <c r="AS26" s="14" t="s">
        <v>174</v>
      </c>
      <c r="AT26" s="14" t="s">
        <v>174</v>
      </c>
      <c r="AU26" s="22" t="s">
        <v>275</v>
      </c>
      <c r="AV26" s="22" t="s">
        <v>363</v>
      </c>
    </row>
    <row r="27" spans="1:48" x14ac:dyDescent="0.3">
      <c r="A27" s="5" t="s">
        <v>30</v>
      </c>
      <c r="B27" s="5" t="s">
        <v>54</v>
      </c>
      <c r="C27" s="5" t="s">
        <v>425</v>
      </c>
      <c r="D27" s="5" t="s">
        <v>32</v>
      </c>
      <c r="E27" s="6" t="s">
        <v>33</v>
      </c>
      <c r="F27" s="7">
        <v>70</v>
      </c>
      <c r="G27" s="5" t="s">
        <v>426</v>
      </c>
      <c r="H27" s="5" t="s">
        <v>567</v>
      </c>
      <c r="I27" s="5" t="s">
        <v>568</v>
      </c>
      <c r="J27" s="5" t="s">
        <v>34</v>
      </c>
      <c r="K27" s="5" t="s">
        <v>131</v>
      </c>
      <c r="L27" s="5" t="s">
        <v>212</v>
      </c>
      <c r="M27" s="5" t="s">
        <v>39</v>
      </c>
      <c r="N27" s="5" t="s">
        <v>56</v>
      </c>
      <c r="O27" s="6" t="s">
        <v>569</v>
      </c>
      <c r="P27" s="5" t="s">
        <v>171</v>
      </c>
      <c r="Q27" s="5" t="s">
        <v>64</v>
      </c>
      <c r="R27" s="5" t="s">
        <v>139</v>
      </c>
      <c r="S27" s="5" t="s">
        <v>570</v>
      </c>
      <c r="T27" s="5" t="s">
        <v>571</v>
      </c>
      <c r="U27" s="5" t="s">
        <v>572</v>
      </c>
      <c r="V27" s="8">
        <v>4</v>
      </c>
      <c r="W27" s="9">
        <v>9514</v>
      </c>
      <c r="X27" s="5" t="s">
        <v>35</v>
      </c>
      <c r="Y27" s="10">
        <v>100</v>
      </c>
      <c r="Z27" s="10">
        <v>18.18</v>
      </c>
      <c r="AA27" s="10">
        <v>18.18</v>
      </c>
      <c r="AB27" s="10">
        <v>192053</v>
      </c>
      <c r="AC27" s="10">
        <v>68187</v>
      </c>
      <c r="AD27" s="10">
        <v>0</v>
      </c>
      <c r="AE27" s="11">
        <v>260240</v>
      </c>
      <c r="AF27" s="12" t="s">
        <v>132</v>
      </c>
      <c r="AG27" s="14" t="s">
        <v>420</v>
      </c>
      <c r="AH27" s="14" t="s">
        <v>65</v>
      </c>
      <c r="AI27" s="14" t="s">
        <v>36</v>
      </c>
      <c r="AJ27" s="14">
        <v>10000</v>
      </c>
      <c r="AK27" s="14">
        <v>10000</v>
      </c>
      <c r="AL27" s="13">
        <v>6</v>
      </c>
      <c r="AM27" s="13">
        <v>6</v>
      </c>
      <c r="AN27" s="14" t="s">
        <v>58</v>
      </c>
      <c r="AO27" s="14" t="s">
        <v>59</v>
      </c>
      <c r="AP27" s="14" t="s">
        <v>37</v>
      </c>
      <c r="AQ27" s="18">
        <v>202605</v>
      </c>
      <c r="AR27" s="14" t="s">
        <v>147</v>
      </c>
      <c r="AS27" s="14" t="s">
        <v>174</v>
      </c>
      <c r="AT27" s="14" t="s">
        <v>174</v>
      </c>
      <c r="AU27" s="22" t="s">
        <v>275</v>
      </c>
      <c r="AV27" s="22" t="s">
        <v>363</v>
      </c>
    </row>
    <row r="28" spans="1:48" x14ac:dyDescent="0.3">
      <c r="A28" s="5" t="s">
        <v>30</v>
      </c>
      <c r="B28" s="5" t="s">
        <v>54</v>
      </c>
      <c r="C28" s="5" t="s">
        <v>425</v>
      </c>
      <c r="D28" s="5" t="s">
        <v>32</v>
      </c>
      <c r="E28" s="6" t="s">
        <v>33</v>
      </c>
      <c r="F28" s="7">
        <v>71</v>
      </c>
      <c r="G28" s="5" t="s">
        <v>426</v>
      </c>
      <c r="H28" s="5" t="s">
        <v>573</v>
      </c>
      <c r="I28" s="5" t="s">
        <v>574</v>
      </c>
      <c r="J28" s="5" t="s">
        <v>34</v>
      </c>
      <c r="K28" s="5" t="s">
        <v>131</v>
      </c>
      <c r="L28" s="5" t="s">
        <v>221</v>
      </c>
      <c r="M28" s="5" t="s">
        <v>39</v>
      </c>
      <c r="N28" s="5" t="s">
        <v>56</v>
      </c>
      <c r="O28" s="6" t="s">
        <v>575</v>
      </c>
      <c r="P28" s="5" t="s">
        <v>171</v>
      </c>
      <c r="Q28" s="5" t="s">
        <v>64</v>
      </c>
      <c r="R28" s="5" t="s">
        <v>139</v>
      </c>
      <c r="S28" s="5" t="s">
        <v>576</v>
      </c>
      <c r="T28" s="5" t="s">
        <v>473</v>
      </c>
      <c r="U28" s="5" t="s">
        <v>577</v>
      </c>
      <c r="V28" s="8">
        <v>33</v>
      </c>
      <c r="W28" s="9">
        <v>19653</v>
      </c>
      <c r="X28" s="5" t="s">
        <v>35</v>
      </c>
      <c r="Y28" s="10">
        <v>100</v>
      </c>
      <c r="Z28" s="10">
        <v>18.18</v>
      </c>
      <c r="AA28" s="10">
        <v>18.18</v>
      </c>
      <c r="AB28" s="10">
        <v>61827</v>
      </c>
      <c r="AC28" s="10">
        <v>11210</v>
      </c>
      <c r="AD28" s="10">
        <v>0</v>
      </c>
      <c r="AE28" s="11">
        <v>73037</v>
      </c>
      <c r="AF28" s="12" t="s">
        <v>132</v>
      </c>
      <c r="AG28" s="14" t="s">
        <v>146</v>
      </c>
      <c r="AH28" s="14" t="s">
        <v>65</v>
      </c>
      <c r="AI28" s="14" t="s">
        <v>36</v>
      </c>
      <c r="AJ28" s="14">
        <v>20000</v>
      </c>
      <c r="AK28" s="14">
        <v>20000</v>
      </c>
      <c r="AL28" s="13">
        <v>36</v>
      </c>
      <c r="AM28" s="13">
        <v>36</v>
      </c>
      <c r="AN28" s="14" t="s">
        <v>578</v>
      </c>
      <c r="AO28" s="14" t="s">
        <v>579</v>
      </c>
      <c r="AP28" s="14" t="s">
        <v>37</v>
      </c>
      <c r="AQ28" s="18">
        <v>202605</v>
      </c>
      <c r="AR28" s="14" t="s">
        <v>147</v>
      </c>
      <c r="AS28" s="14" t="s">
        <v>174</v>
      </c>
      <c r="AT28" s="14" t="s">
        <v>174</v>
      </c>
      <c r="AU28" s="22" t="s">
        <v>275</v>
      </c>
      <c r="AV28" s="22" t="s">
        <v>363</v>
      </c>
    </row>
    <row r="29" spans="1:48" x14ac:dyDescent="0.3">
      <c r="A29" s="5" t="s">
        <v>30</v>
      </c>
      <c r="B29" s="5" t="s">
        <v>54</v>
      </c>
      <c r="C29" s="5" t="s">
        <v>425</v>
      </c>
      <c r="D29" s="5" t="s">
        <v>32</v>
      </c>
      <c r="E29" s="6" t="s">
        <v>33</v>
      </c>
      <c r="F29" s="7">
        <v>72</v>
      </c>
      <c r="G29" s="5" t="s">
        <v>426</v>
      </c>
      <c r="H29" s="5" t="s">
        <v>580</v>
      </c>
      <c r="I29" s="5" t="s">
        <v>581</v>
      </c>
      <c r="J29" s="5" t="s">
        <v>34</v>
      </c>
      <c r="K29" s="5" t="s">
        <v>131</v>
      </c>
      <c r="L29" s="5" t="s">
        <v>582</v>
      </c>
      <c r="M29" s="5" t="s">
        <v>39</v>
      </c>
      <c r="N29" s="5" t="s">
        <v>56</v>
      </c>
      <c r="O29" s="6" t="s">
        <v>583</v>
      </c>
      <c r="P29" s="5" t="s">
        <v>171</v>
      </c>
      <c r="Q29" s="5" t="s">
        <v>64</v>
      </c>
      <c r="R29" s="5" t="s">
        <v>139</v>
      </c>
      <c r="S29" s="5" t="s">
        <v>584</v>
      </c>
      <c r="T29" s="5" t="s">
        <v>370</v>
      </c>
      <c r="U29" s="5" t="s">
        <v>585</v>
      </c>
      <c r="V29" s="8">
        <v>5</v>
      </c>
      <c r="W29" s="9">
        <v>15577</v>
      </c>
      <c r="X29" s="5" t="s">
        <v>35</v>
      </c>
      <c r="Y29" s="10">
        <v>100</v>
      </c>
      <c r="Z29" s="10">
        <v>18.18</v>
      </c>
      <c r="AA29" s="10">
        <v>18.18</v>
      </c>
      <c r="AB29" s="10">
        <v>454912</v>
      </c>
      <c r="AC29" s="10">
        <v>25374</v>
      </c>
      <c r="AD29" s="10">
        <v>0</v>
      </c>
      <c r="AE29" s="11">
        <v>480286</v>
      </c>
      <c r="AF29" s="12" t="s">
        <v>132</v>
      </c>
      <c r="AG29" s="14" t="s">
        <v>282</v>
      </c>
      <c r="AH29" s="14" t="s">
        <v>65</v>
      </c>
      <c r="AI29" s="14" t="s">
        <v>36</v>
      </c>
      <c r="AJ29" s="14">
        <v>20000</v>
      </c>
      <c r="AK29" s="14">
        <v>20000</v>
      </c>
      <c r="AL29" s="13">
        <v>6</v>
      </c>
      <c r="AM29" s="13">
        <v>6</v>
      </c>
      <c r="AN29" s="14" t="s">
        <v>586</v>
      </c>
      <c r="AO29" s="14" t="s">
        <v>587</v>
      </c>
      <c r="AP29" s="14" t="s">
        <v>37</v>
      </c>
      <c r="AQ29" s="18">
        <v>202605</v>
      </c>
      <c r="AR29" s="14" t="s">
        <v>147</v>
      </c>
      <c r="AS29" s="14" t="s">
        <v>174</v>
      </c>
      <c r="AT29" s="14" t="s">
        <v>174</v>
      </c>
      <c r="AU29" s="22" t="s">
        <v>275</v>
      </c>
      <c r="AV29" s="22" t="s">
        <v>363</v>
      </c>
    </row>
    <row r="30" spans="1:48" x14ac:dyDescent="0.3">
      <c r="A30" s="5" t="s">
        <v>30</v>
      </c>
      <c r="B30" s="5" t="s">
        <v>54</v>
      </c>
      <c r="C30" s="5" t="s">
        <v>425</v>
      </c>
      <c r="D30" s="5" t="s">
        <v>32</v>
      </c>
      <c r="E30" s="6" t="s">
        <v>33</v>
      </c>
      <c r="F30" s="7">
        <v>73</v>
      </c>
      <c r="G30" s="5" t="s">
        <v>426</v>
      </c>
      <c r="H30" s="5" t="s">
        <v>588</v>
      </c>
      <c r="I30" s="5" t="s">
        <v>589</v>
      </c>
      <c r="J30" s="5" t="s">
        <v>34</v>
      </c>
      <c r="K30" s="5" t="s">
        <v>38</v>
      </c>
      <c r="L30" s="5" t="s">
        <v>590</v>
      </c>
      <c r="M30" s="5" t="s">
        <v>39</v>
      </c>
      <c r="N30" s="5" t="s">
        <v>56</v>
      </c>
      <c r="O30" s="6" t="s">
        <v>591</v>
      </c>
      <c r="P30" s="5" t="s">
        <v>68</v>
      </c>
      <c r="Q30" s="5" t="s">
        <v>64</v>
      </c>
      <c r="R30" s="5" t="s">
        <v>139</v>
      </c>
      <c r="S30" s="5" t="s">
        <v>592</v>
      </c>
      <c r="T30" s="5" t="s">
        <v>257</v>
      </c>
      <c r="U30" s="5" t="s">
        <v>593</v>
      </c>
      <c r="V30" s="8">
        <v>83</v>
      </c>
      <c r="W30" s="9">
        <v>81780</v>
      </c>
      <c r="X30" s="5" t="s">
        <v>35</v>
      </c>
      <c r="Y30" s="10">
        <v>100</v>
      </c>
      <c r="Z30" s="10">
        <v>18.18</v>
      </c>
      <c r="AA30" s="10">
        <v>18.18</v>
      </c>
      <c r="AB30" s="10">
        <v>208829</v>
      </c>
      <c r="AC30" s="10">
        <v>9590</v>
      </c>
      <c r="AD30" s="10">
        <v>0</v>
      </c>
      <c r="AE30" s="11">
        <v>218419</v>
      </c>
      <c r="AF30" s="12" t="s">
        <v>41</v>
      </c>
      <c r="AG30" s="14" t="s">
        <v>594</v>
      </c>
      <c r="AH30" s="14" t="s">
        <v>65</v>
      </c>
      <c r="AI30" s="14" t="s">
        <v>36</v>
      </c>
      <c r="AJ30" s="14">
        <v>90000</v>
      </c>
      <c r="AK30" s="14">
        <v>85000</v>
      </c>
      <c r="AL30" s="13" t="s">
        <v>121</v>
      </c>
      <c r="AM30" s="13" t="s">
        <v>121</v>
      </c>
      <c r="AN30" s="14" t="s">
        <v>595</v>
      </c>
      <c r="AO30" s="14" t="s">
        <v>596</v>
      </c>
      <c r="AP30" s="14" t="s">
        <v>37</v>
      </c>
      <c r="AQ30" s="18">
        <v>202605</v>
      </c>
      <c r="AR30" s="14" t="s">
        <v>147</v>
      </c>
      <c r="AS30" s="14" t="s">
        <v>157</v>
      </c>
      <c r="AT30" s="12" t="s">
        <v>157</v>
      </c>
      <c r="AU30" s="22" t="s">
        <v>275</v>
      </c>
      <c r="AV30" s="22" t="s">
        <v>363</v>
      </c>
    </row>
    <row r="31" spans="1:48" x14ac:dyDescent="0.3">
      <c r="A31" s="5" t="s">
        <v>30</v>
      </c>
      <c r="B31" s="5" t="s">
        <v>54</v>
      </c>
      <c r="C31" s="5" t="s">
        <v>425</v>
      </c>
      <c r="D31" s="5" t="s">
        <v>32</v>
      </c>
      <c r="E31" s="6" t="s">
        <v>33</v>
      </c>
      <c r="F31" s="7">
        <v>74</v>
      </c>
      <c r="G31" s="5" t="s">
        <v>426</v>
      </c>
      <c r="H31" s="5" t="s">
        <v>597</v>
      </c>
      <c r="I31" s="5" t="s">
        <v>598</v>
      </c>
      <c r="J31" s="5" t="s">
        <v>34</v>
      </c>
      <c r="K31" s="5" t="s">
        <v>38</v>
      </c>
      <c r="L31" s="5" t="s">
        <v>69</v>
      </c>
      <c r="M31" s="5" t="s">
        <v>39</v>
      </c>
      <c r="N31" s="5" t="s">
        <v>56</v>
      </c>
      <c r="O31" s="6" t="s">
        <v>599</v>
      </c>
      <c r="P31" s="5" t="s">
        <v>181</v>
      </c>
      <c r="Q31" s="5" t="s">
        <v>64</v>
      </c>
      <c r="R31" s="5" t="s">
        <v>40</v>
      </c>
      <c r="S31" s="5" t="s">
        <v>600</v>
      </c>
      <c r="T31" s="5" t="s">
        <v>601</v>
      </c>
      <c r="U31" s="5" t="s">
        <v>602</v>
      </c>
      <c r="V31" s="8">
        <v>95</v>
      </c>
      <c r="W31" s="9">
        <v>102981</v>
      </c>
      <c r="X31" s="5" t="s">
        <v>35</v>
      </c>
      <c r="Y31" s="10">
        <v>100</v>
      </c>
      <c r="Z31" s="10">
        <v>18.18</v>
      </c>
      <c r="AA31" s="10">
        <v>18.18</v>
      </c>
      <c r="AB31" s="10">
        <v>0</v>
      </c>
      <c r="AC31" s="10">
        <v>0</v>
      </c>
      <c r="AD31" s="10">
        <v>134140</v>
      </c>
      <c r="AE31" s="11">
        <v>134140</v>
      </c>
      <c r="AF31" s="12" t="s">
        <v>41</v>
      </c>
      <c r="AG31" s="14" t="s">
        <v>603</v>
      </c>
      <c r="AH31" s="14" t="s">
        <v>65</v>
      </c>
      <c r="AI31" s="14" t="s">
        <v>36</v>
      </c>
      <c r="AJ31" s="14" t="s">
        <v>136</v>
      </c>
      <c r="AK31" s="14" t="s">
        <v>136</v>
      </c>
      <c r="AL31" s="13" t="s">
        <v>121</v>
      </c>
      <c r="AM31" s="13" t="s">
        <v>121</v>
      </c>
      <c r="AN31" s="14" t="s">
        <v>58</v>
      </c>
      <c r="AO31" s="14" t="s">
        <v>59</v>
      </c>
      <c r="AP31" s="14" t="s">
        <v>37</v>
      </c>
      <c r="AQ31" s="18">
        <v>202605</v>
      </c>
      <c r="AR31" s="14" t="s">
        <v>147</v>
      </c>
      <c r="AS31" s="14" t="s">
        <v>157</v>
      </c>
      <c r="AT31" s="12" t="s">
        <v>157</v>
      </c>
      <c r="AU31" s="22" t="s">
        <v>275</v>
      </c>
      <c r="AV31" s="22" t="s">
        <v>363</v>
      </c>
    </row>
    <row r="32" spans="1:48" x14ac:dyDescent="0.3">
      <c r="A32" s="5" t="s">
        <v>30</v>
      </c>
      <c r="B32" s="5" t="s">
        <v>54</v>
      </c>
      <c r="C32" s="5" t="s">
        <v>425</v>
      </c>
      <c r="D32" s="5" t="s">
        <v>32</v>
      </c>
      <c r="E32" s="6" t="s">
        <v>33</v>
      </c>
      <c r="F32" s="7">
        <v>75</v>
      </c>
      <c r="G32" s="5" t="s">
        <v>426</v>
      </c>
      <c r="H32" s="5" t="s">
        <v>604</v>
      </c>
      <c r="I32" s="5" t="s">
        <v>598</v>
      </c>
      <c r="J32" s="5" t="s">
        <v>34</v>
      </c>
      <c r="K32" s="5" t="s">
        <v>38</v>
      </c>
      <c r="L32" s="5" t="s">
        <v>69</v>
      </c>
      <c r="M32" s="5" t="s">
        <v>39</v>
      </c>
      <c r="N32" s="5" t="s">
        <v>56</v>
      </c>
      <c r="O32" s="6" t="s">
        <v>599</v>
      </c>
      <c r="P32" s="5" t="s">
        <v>68</v>
      </c>
      <c r="Q32" s="5" t="s">
        <v>64</v>
      </c>
      <c r="R32" s="5" t="s">
        <v>40</v>
      </c>
      <c r="S32" s="5" t="s">
        <v>600</v>
      </c>
      <c r="T32" s="5" t="s">
        <v>601</v>
      </c>
      <c r="U32" s="5" t="s">
        <v>602</v>
      </c>
      <c r="V32" s="8">
        <v>95</v>
      </c>
      <c r="W32" s="9">
        <v>102981</v>
      </c>
      <c r="X32" s="5" t="s">
        <v>35</v>
      </c>
      <c r="Y32" s="10">
        <v>100</v>
      </c>
      <c r="Z32" s="10">
        <v>18.18</v>
      </c>
      <c r="AA32" s="10">
        <v>18.18</v>
      </c>
      <c r="AB32" s="10">
        <v>665866</v>
      </c>
      <c r="AC32" s="10">
        <v>272506</v>
      </c>
      <c r="AD32" s="10">
        <v>0</v>
      </c>
      <c r="AE32" s="11">
        <v>938372</v>
      </c>
      <c r="AF32" s="12" t="s">
        <v>41</v>
      </c>
      <c r="AG32" s="14" t="s">
        <v>603</v>
      </c>
      <c r="AH32" s="14" t="s">
        <v>65</v>
      </c>
      <c r="AI32" s="14" t="s">
        <v>36</v>
      </c>
      <c r="AJ32" s="14" t="s">
        <v>136</v>
      </c>
      <c r="AK32" s="14" t="s">
        <v>136</v>
      </c>
      <c r="AL32" s="13" t="s">
        <v>121</v>
      </c>
      <c r="AM32" s="13" t="s">
        <v>121</v>
      </c>
      <c r="AN32" s="14" t="s">
        <v>58</v>
      </c>
      <c r="AO32" s="14" t="s">
        <v>59</v>
      </c>
      <c r="AP32" s="14" t="s">
        <v>37</v>
      </c>
      <c r="AQ32" s="18">
        <v>202605</v>
      </c>
      <c r="AR32" s="14" t="s">
        <v>147</v>
      </c>
      <c r="AS32" s="14" t="s">
        <v>157</v>
      </c>
      <c r="AT32" s="12" t="s">
        <v>157</v>
      </c>
      <c r="AU32" s="22" t="s">
        <v>275</v>
      </c>
      <c r="AV32" s="22" t="s">
        <v>363</v>
      </c>
    </row>
    <row r="33" spans="1:48" x14ac:dyDescent="0.3">
      <c r="A33" s="5" t="s">
        <v>30</v>
      </c>
      <c r="B33" s="5" t="s">
        <v>54</v>
      </c>
      <c r="C33" s="5" t="s">
        <v>425</v>
      </c>
      <c r="D33" s="5" t="s">
        <v>32</v>
      </c>
      <c r="E33" s="6" t="s">
        <v>33</v>
      </c>
      <c r="F33" s="7">
        <v>76</v>
      </c>
      <c r="G33" s="5" t="s">
        <v>426</v>
      </c>
      <c r="H33" s="5" t="s">
        <v>605</v>
      </c>
      <c r="I33" s="5" t="s">
        <v>606</v>
      </c>
      <c r="J33" s="5" t="s">
        <v>34</v>
      </c>
      <c r="K33" s="5" t="s">
        <v>38</v>
      </c>
      <c r="L33" s="5" t="s">
        <v>69</v>
      </c>
      <c r="M33" s="5" t="s">
        <v>39</v>
      </c>
      <c r="N33" s="5" t="s">
        <v>56</v>
      </c>
      <c r="O33" s="6" t="s">
        <v>607</v>
      </c>
      <c r="P33" s="5" t="s">
        <v>137</v>
      </c>
      <c r="Q33" s="5" t="s">
        <v>64</v>
      </c>
      <c r="R33" s="5" t="s">
        <v>139</v>
      </c>
      <c r="S33" s="5" t="s">
        <v>608</v>
      </c>
      <c r="T33" s="5" t="s">
        <v>601</v>
      </c>
      <c r="U33" s="5" t="s">
        <v>609</v>
      </c>
      <c r="V33" s="8">
        <v>83</v>
      </c>
      <c r="W33" s="9">
        <v>94030</v>
      </c>
      <c r="X33" s="5" t="s">
        <v>35</v>
      </c>
      <c r="Y33" s="10">
        <v>100</v>
      </c>
      <c r="Z33" s="10">
        <v>18.18</v>
      </c>
      <c r="AA33" s="10">
        <v>18.18</v>
      </c>
      <c r="AB33" s="10">
        <v>659644</v>
      </c>
      <c r="AC33" s="10">
        <v>86233</v>
      </c>
      <c r="AD33" s="10">
        <v>0</v>
      </c>
      <c r="AE33" s="11">
        <v>745877</v>
      </c>
      <c r="AF33" s="12" t="s">
        <v>41</v>
      </c>
      <c r="AG33" s="14" t="s">
        <v>610</v>
      </c>
      <c r="AH33" s="14" t="s">
        <v>65</v>
      </c>
      <c r="AI33" s="14" t="s">
        <v>36</v>
      </c>
      <c r="AJ33" s="14">
        <v>100000</v>
      </c>
      <c r="AK33" s="14">
        <v>95000</v>
      </c>
      <c r="AL33" s="13" t="s">
        <v>121</v>
      </c>
      <c r="AM33" s="13" t="s">
        <v>121</v>
      </c>
      <c r="AN33" s="14" t="s">
        <v>58</v>
      </c>
      <c r="AO33" s="14" t="s">
        <v>59</v>
      </c>
      <c r="AP33" s="14" t="s">
        <v>37</v>
      </c>
      <c r="AQ33" s="18">
        <v>202605</v>
      </c>
      <c r="AR33" s="14" t="s">
        <v>147</v>
      </c>
      <c r="AS33" s="14" t="s">
        <v>157</v>
      </c>
      <c r="AT33" s="12" t="s">
        <v>157</v>
      </c>
      <c r="AU33" s="22" t="s">
        <v>275</v>
      </c>
      <c r="AV33" s="22" t="s">
        <v>363</v>
      </c>
    </row>
    <row r="34" spans="1:48" x14ac:dyDescent="0.3">
      <c r="A34" s="5" t="s">
        <v>30</v>
      </c>
      <c r="B34" s="5" t="s">
        <v>54</v>
      </c>
      <c r="C34" s="5" t="s">
        <v>425</v>
      </c>
      <c r="D34" s="5" t="s">
        <v>32</v>
      </c>
      <c r="E34" s="6" t="s">
        <v>33</v>
      </c>
      <c r="F34" s="7">
        <v>77</v>
      </c>
      <c r="G34" s="5" t="s">
        <v>426</v>
      </c>
      <c r="H34" s="5" t="s">
        <v>611</v>
      </c>
      <c r="I34" s="5" t="s">
        <v>612</v>
      </c>
      <c r="J34" s="5" t="s">
        <v>34</v>
      </c>
      <c r="K34" s="5" t="s">
        <v>38</v>
      </c>
      <c r="L34" s="5" t="s">
        <v>69</v>
      </c>
      <c r="M34" s="5" t="s">
        <v>39</v>
      </c>
      <c r="N34" s="5" t="s">
        <v>56</v>
      </c>
      <c r="O34" s="6" t="s">
        <v>613</v>
      </c>
      <c r="P34" s="5" t="s">
        <v>137</v>
      </c>
      <c r="Q34" s="5" t="s">
        <v>64</v>
      </c>
      <c r="R34" s="5" t="s">
        <v>40</v>
      </c>
      <c r="S34" s="5" t="s">
        <v>614</v>
      </c>
      <c r="T34" s="5" t="s">
        <v>366</v>
      </c>
      <c r="U34" s="5" t="s">
        <v>615</v>
      </c>
      <c r="V34" s="8">
        <v>71</v>
      </c>
      <c r="W34" s="9">
        <v>81888</v>
      </c>
      <c r="X34" s="5" t="s">
        <v>35</v>
      </c>
      <c r="Y34" s="10">
        <v>100</v>
      </c>
      <c r="Z34" s="10">
        <v>18.18</v>
      </c>
      <c r="AA34" s="10">
        <v>18.18</v>
      </c>
      <c r="AB34" s="10">
        <v>523094</v>
      </c>
      <c r="AC34" s="10">
        <v>151770</v>
      </c>
      <c r="AD34" s="10">
        <v>0</v>
      </c>
      <c r="AE34" s="11">
        <v>674864</v>
      </c>
      <c r="AF34" s="12" t="s">
        <v>41</v>
      </c>
      <c r="AG34" s="14" t="s">
        <v>323</v>
      </c>
      <c r="AH34" s="14" t="s">
        <v>65</v>
      </c>
      <c r="AI34" s="14" t="s">
        <v>36</v>
      </c>
      <c r="AJ34" s="14">
        <v>90000</v>
      </c>
      <c r="AK34" s="14">
        <v>85000</v>
      </c>
      <c r="AL34" s="13" t="s">
        <v>121</v>
      </c>
      <c r="AM34" s="13" t="s">
        <v>121</v>
      </c>
      <c r="AN34" s="14" t="s">
        <v>58</v>
      </c>
      <c r="AO34" s="14" t="s">
        <v>59</v>
      </c>
      <c r="AP34" s="14" t="s">
        <v>37</v>
      </c>
      <c r="AQ34" s="18">
        <v>202605</v>
      </c>
      <c r="AR34" s="14" t="s">
        <v>147</v>
      </c>
      <c r="AS34" s="14" t="s">
        <v>157</v>
      </c>
      <c r="AT34" s="12" t="s">
        <v>157</v>
      </c>
      <c r="AU34" s="22" t="s">
        <v>275</v>
      </c>
      <c r="AV34" s="22" t="s">
        <v>363</v>
      </c>
    </row>
    <row r="35" spans="1:48" x14ac:dyDescent="0.3">
      <c r="A35" s="5" t="s">
        <v>30</v>
      </c>
      <c r="B35" s="5" t="s">
        <v>54</v>
      </c>
      <c r="C35" s="5" t="s">
        <v>425</v>
      </c>
      <c r="D35" s="5" t="s">
        <v>32</v>
      </c>
      <c r="E35" s="6" t="s">
        <v>33</v>
      </c>
      <c r="F35" s="7">
        <v>78</v>
      </c>
      <c r="G35" s="5" t="s">
        <v>426</v>
      </c>
      <c r="H35" s="5" t="s">
        <v>616</v>
      </c>
      <c r="I35" s="5" t="s">
        <v>617</v>
      </c>
      <c r="J35" s="5" t="s">
        <v>34</v>
      </c>
      <c r="K35" s="5" t="s">
        <v>38</v>
      </c>
      <c r="L35" s="5" t="s">
        <v>69</v>
      </c>
      <c r="M35" s="5" t="s">
        <v>39</v>
      </c>
      <c r="N35" s="5" t="s">
        <v>56</v>
      </c>
      <c r="O35" s="6" t="s">
        <v>618</v>
      </c>
      <c r="P35" s="5" t="s">
        <v>137</v>
      </c>
      <c r="Q35" s="5" t="s">
        <v>281</v>
      </c>
      <c r="R35" s="5" t="s">
        <v>139</v>
      </c>
      <c r="S35" s="5" t="s">
        <v>619</v>
      </c>
      <c r="T35" s="5" t="s">
        <v>571</v>
      </c>
      <c r="U35" s="5" t="s">
        <v>620</v>
      </c>
      <c r="V35" s="8">
        <v>75</v>
      </c>
      <c r="W35" s="9">
        <v>79654</v>
      </c>
      <c r="X35" s="5" t="s">
        <v>35</v>
      </c>
      <c r="Y35" s="10">
        <v>100</v>
      </c>
      <c r="Z35" s="10">
        <v>18.18</v>
      </c>
      <c r="AA35" s="10">
        <v>18.18</v>
      </c>
      <c r="AB35" s="10">
        <v>522072</v>
      </c>
      <c r="AC35" s="10">
        <v>382298</v>
      </c>
      <c r="AD35" s="10">
        <v>0</v>
      </c>
      <c r="AE35" s="11">
        <v>904370</v>
      </c>
      <c r="AF35" s="12" t="s">
        <v>41</v>
      </c>
      <c r="AG35" s="14" t="s">
        <v>621</v>
      </c>
      <c r="AH35" s="14" t="s">
        <v>283</v>
      </c>
      <c r="AI35" s="14" t="s">
        <v>36</v>
      </c>
      <c r="AJ35" s="14">
        <v>80000</v>
      </c>
      <c r="AK35" s="14">
        <v>80000</v>
      </c>
      <c r="AL35" s="13" t="s">
        <v>121</v>
      </c>
      <c r="AM35" s="13" t="s">
        <v>121</v>
      </c>
      <c r="AN35" s="14" t="s">
        <v>58</v>
      </c>
      <c r="AO35" s="14" t="s">
        <v>59</v>
      </c>
      <c r="AP35" s="14" t="s">
        <v>37</v>
      </c>
      <c r="AQ35" s="18">
        <v>202605</v>
      </c>
      <c r="AR35" s="14" t="s">
        <v>147</v>
      </c>
      <c r="AS35" s="14" t="s">
        <v>157</v>
      </c>
      <c r="AT35" s="12" t="s">
        <v>157</v>
      </c>
      <c r="AU35" s="22" t="s">
        <v>275</v>
      </c>
      <c r="AV35" s="22" t="s">
        <v>363</v>
      </c>
    </row>
    <row r="36" spans="1:48" x14ac:dyDescent="0.3">
      <c r="A36" s="5" t="s">
        <v>30</v>
      </c>
      <c r="B36" s="5" t="s">
        <v>54</v>
      </c>
      <c r="C36" s="5" t="s">
        <v>425</v>
      </c>
      <c r="D36" s="5" t="s">
        <v>32</v>
      </c>
      <c r="E36" s="6" t="s">
        <v>33</v>
      </c>
      <c r="F36" s="7">
        <v>79</v>
      </c>
      <c r="G36" s="5" t="s">
        <v>426</v>
      </c>
      <c r="H36" s="5" t="s">
        <v>622</v>
      </c>
      <c r="I36" s="5" t="s">
        <v>623</v>
      </c>
      <c r="J36" s="5" t="s">
        <v>34</v>
      </c>
      <c r="K36" s="5" t="s">
        <v>38</v>
      </c>
      <c r="L36" s="5" t="s">
        <v>69</v>
      </c>
      <c r="M36" s="5" t="s">
        <v>39</v>
      </c>
      <c r="N36" s="5" t="s">
        <v>56</v>
      </c>
      <c r="O36" s="6" t="s">
        <v>624</v>
      </c>
      <c r="P36" s="5" t="s">
        <v>181</v>
      </c>
      <c r="Q36" s="5" t="s">
        <v>64</v>
      </c>
      <c r="R36" s="5" t="s">
        <v>139</v>
      </c>
      <c r="S36" s="5" t="s">
        <v>625</v>
      </c>
      <c r="T36" s="5" t="s">
        <v>409</v>
      </c>
      <c r="U36" s="5" t="s">
        <v>626</v>
      </c>
      <c r="V36" s="8">
        <v>59</v>
      </c>
      <c r="W36" s="9">
        <v>91829</v>
      </c>
      <c r="X36" s="5" t="s">
        <v>35</v>
      </c>
      <c r="Y36" s="10">
        <v>100</v>
      </c>
      <c r="Z36" s="10">
        <v>18.18</v>
      </c>
      <c r="AA36" s="10">
        <v>18.18</v>
      </c>
      <c r="AB36" s="10">
        <v>0</v>
      </c>
      <c r="AC36" s="10">
        <v>0</v>
      </c>
      <c r="AD36" s="10">
        <v>81031</v>
      </c>
      <c r="AE36" s="11">
        <v>81031</v>
      </c>
      <c r="AF36" s="12" t="s">
        <v>41</v>
      </c>
      <c r="AG36" s="14" t="s">
        <v>261</v>
      </c>
      <c r="AH36" s="14" t="s">
        <v>65</v>
      </c>
      <c r="AI36" s="14" t="s">
        <v>36</v>
      </c>
      <c r="AJ36" s="14">
        <v>100000</v>
      </c>
      <c r="AK36" s="14">
        <v>95000</v>
      </c>
      <c r="AL36" s="13">
        <v>60</v>
      </c>
      <c r="AM36" s="13">
        <v>60</v>
      </c>
      <c r="AN36" s="14" t="s">
        <v>58</v>
      </c>
      <c r="AO36" s="14" t="s">
        <v>59</v>
      </c>
      <c r="AP36" s="14" t="s">
        <v>37</v>
      </c>
      <c r="AQ36" s="18">
        <v>202605</v>
      </c>
      <c r="AR36" s="14" t="s">
        <v>147</v>
      </c>
      <c r="AS36" s="14" t="s">
        <v>157</v>
      </c>
      <c r="AT36" s="12" t="s">
        <v>157</v>
      </c>
      <c r="AU36" s="22" t="s">
        <v>275</v>
      </c>
      <c r="AV36" s="22" t="s">
        <v>363</v>
      </c>
    </row>
    <row r="37" spans="1:48" x14ac:dyDescent="0.3">
      <c r="A37" s="5" t="s">
        <v>30</v>
      </c>
      <c r="B37" s="5" t="s">
        <v>54</v>
      </c>
      <c r="C37" s="5" t="s">
        <v>425</v>
      </c>
      <c r="D37" s="5" t="s">
        <v>32</v>
      </c>
      <c r="E37" s="6" t="s">
        <v>33</v>
      </c>
      <c r="F37" s="7">
        <v>80</v>
      </c>
      <c r="G37" s="5" t="s">
        <v>426</v>
      </c>
      <c r="H37" s="5" t="s">
        <v>627</v>
      </c>
      <c r="I37" s="5" t="s">
        <v>623</v>
      </c>
      <c r="J37" s="5" t="s">
        <v>34</v>
      </c>
      <c r="K37" s="5" t="s">
        <v>38</v>
      </c>
      <c r="L37" s="5" t="s">
        <v>69</v>
      </c>
      <c r="M37" s="5" t="s">
        <v>39</v>
      </c>
      <c r="N37" s="5" t="s">
        <v>56</v>
      </c>
      <c r="O37" s="6" t="s">
        <v>624</v>
      </c>
      <c r="P37" s="5" t="s">
        <v>68</v>
      </c>
      <c r="Q37" s="5" t="s">
        <v>64</v>
      </c>
      <c r="R37" s="5" t="s">
        <v>139</v>
      </c>
      <c r="S37" s="5" t="s">
        <v>625</v>
      </c>
      <c r="T37" s="5" t="s">
        <v>409</v>
      </c>
      <c r="U37" s="5" t="s">
        <v>626</v>
      </c>
      <c r="V37" s="8">
        <v>59</v>
      </c>
      <c r="W37" s="9">
        <v>91829</v>
      </c>
      <c r="X37" s="5" t="s">
        <v>35</v>
      </c>
      <c r="Y37" s="10">
        <v>100</v>
      </c>
      <c r="Z37" s="10">
        <v>18.18</v>
      </c>
      <c r="AA37" s="10">
        <v>18.18</v>
      </c>
      <c r="AB37" s="10">
        <v>520450</v>
      </c>
      <c r="AC37" s="10">
        <v>76583</v>
      </c>
      <c r="AD37" s="10">
        <v>49276</v>
      </c>
      <c r="AE37" s="11">
        <v>646309</v>
      </c>
      <c r="AF37" s="12" t="s">
        <v>41</v>
      </c>
      <c r="AG37" s="14" t="s">
        <v>261</v>
      </c>
      <c r="AH37" s="14" t="s">
        <v>65</v>
      </c>
      <c r="AI37" s="14" t="s">
        <v>36</v>
      </c>
      <c r="AJ37" s="14">
        <v>100000</v>
      </c>
      <c r="AK37" s="14">
        <v>95000</v>
      </c>
      <c r="AL37" s="13">
        <v>60</v>
      </c>
      <c r="AM37" s="13">
        <v>60</v>
      </c>
      <c r="AN37" s="14" t="s">
        <v>58</v>
      </c>
      <c r="AO37" s="14" t="s">
        <v>59</v>
      </c>
      <c r="AP37" s="14" t="s">
        <v>37</v>
      </c>
      <c r="AQ37" s="18">
        <v>202605</v>
      </c>
      <c r="AR37" s="14" t="s">
        <v>147</v>
      </c>
      <c r="AS37" s="14" t="s">
        <v>157</v>
      </c>
      <c r="AT37" s="12" t="s">
        <v>157</v>
      </c>
      <c r="AU37" s="22" t="s">
        <v>275</v>
      </c>
      <c r="AV37" s="22" t="s">
        <v>363</v>
      </c>
    </row>
    <row r="38" spans="1:48" x14ac:dyDescent="0.3">
      <c r="A38" s="5" t="s">
        <v>30</v>
      </c>
      <c r="B38" s="5" t="s">
        <v>54</v>
      </c>
      <c r="C38" s="5" t="s">
        <v>425</v>
      </c>
      <c r="D38" s="5" t="s">
        <v>32</v>
      </c>
      <c r="E38" s="6" t="s">
        <v>33</v>
      </c>
      <c r="F38" s="7">
        <v>81</v>
      </c>
      <c r="G38" s="5" t="s">
        <v>426</v>
      </c>
      <c r="H38" s="5" t="s">
        <v>628</v>
      </c>
      <c r="I38" s="5" t="s">
        <v>629</v>
      </c>
      <c r="J38" s="5" t="s">
        <v>34</v>
      </c>
      <c r="K38" s="5" t="s">
        <v>55</v>
      </c>
      <c r="L38" s="5" t="s">
        <v>286</v>
      </c>
      <c r="M38" s="5" t="s">
        <v>39</v>
      </c>
      <c r="N38" s="5" t="s">
        <v>56</v>
      </c>
      <c r="O38" s="6" t="s">
        <v>630</v>
      </c>
      <c r="P38" s="5" t="s">
        <v>68</v>
      </c>
      <c r="Q38" s="5" t="s">
        <v>64</v>
      </c>
      <c r="R38" s="5" t="s">
        <v>140</v>
      </c>
      <c r="S38" s="5" t="s">
        <v>631</v>
      </c>
      <c r="T38" s="5" t="s">
        <v>378</v>
      </c>
      <c r="U38" s="5" t="s">
        <v>632</v>
      </c>
      <c r="V38" s="8">
        <v>77</v>
      </c>
      <c r="W38" s="9">
        <v>99038</v>
      </c>
      <c r="X38" s="5" t="s">
        <v>35</v>
      </c>
      <c r="Y38" s="10">
        <v>100</v>
      </c>
      <c r="Z38" s="10">
        <v>18.18</v>
      </c>
      <c r="AA38" s="10">
        <v>18.18</v>
      </c>
      <c r="AB38" s="10">
        <v>229465</v>
      </c>
      <c r="AC38" s="10">
        <v>80465</v>
      </c>
      <c r="AD38" s="10">
        <v>0</v>
      </c>
      <c r="AE38" s="11">
        <v>309930</v>
      </c>
      <c r="AF38" s="12" t="s">
        <v>57</v>
      </c>
      <c r="AG38" s="14" t="s">
        <v>633</v>
      </c>
      <c r="AH38" s="14" t="s">
        <v>65</v>
      </c>
      <c r="AI38" s="14" t="s">
        <v>36</v>
      </c>
      <c r="AJ38" s="14">
        <v>100000</v>
      </c>
      <c r="AK38" s="14">
        <v>100000</v>
      </c>
      <c r="AL38" s="13" t="s">
        <v>121</v>
      </c>
      <c r="AM38" s="13" t="s">
        <v>121</v>
      </c>
      <c r="AN38" s="14" t="s">
        <v>58</v>
      </c>
      <c r="AO38" s="14" t="s">
        <v>59</v>
      </c>
      <c r="AP38" s="14" t="s">
        <v>37</v>
      </c>
      <c r="AQ38" s="18">
        <v>202605</v>
      </c>
      <c r="AR38" s="14" t="s">
        <v>147</v>
      </c>
      <c r="AS38" s="14" t="s">
        <v>157</v>
      </c>
      <c r="AT38" s="12" t="s">
        <v>157</v>
      </c>
      <c r="AU38" s="22" t="s">
        <v>275</v>
      </c>
      <c r="AV38" s="22" t="s">
        <v>363</v>
      </c>
    </row>
    <row r="39" spans="1:48" x14ac:dyDescent="0.3">
      <c r="A39" s="5" t="s">
        <v>30</v>
      </c>
      <c r="B39" s="5" t="s">
        <v>54</v>
      </c>
      <c r="C39" s="5" t="s">
        <v>425</v>
      </c>
      <c r="D39" s="5" t="s">
        <v>32</v>
      </c>
      <c r="E39" s="6" t="s">
        <v>33</v>
      </c>
      <c r="F39" s="7">
        <v>82</v>
      </c>
      <c r="G39" s="5" t="s">
        <v>426</v>
      </c>
      <c r="H39" s="5" t="s">
        <v>634</v>
      </c>
      <c r="I39" s="5" t="s">
        <v>635</v>
      </c>
      <c r="J39" s="5" t="s">
        <v>34</v>
      </c>
      <c r="K39" s="5" t="s">
        <v>55</v>
      </c>
      <c r="L39" s="5" t="s">
        <v>286</v>
      </c>
      <c r="M39" s="5" t="s">
        <v>39</v>
      </c>
      <c r="N39" s="5" t="s">
        <v>56</v>
      </c>
      <c r="O39" s="6" t="s">
        <v>636</v>
      </c>
      <c r="P39" s="5" t="s">
        <v>68</v>
      </c>
      <c r="Q39" s="5" t="s">
        <v>64</v>
      </c>
      <c r="R39" s="5" t="s">
        <v>79</v>
      </c>
      <c r="S39" s="5" t="s">
        <v>637</v>
      </c>
      <c r="T39" s="5" t="s">
        <v>638</v>
      </c>
      <c r="U39" s="5" t="s">
        <v>639</v>
      </c>
      <c r="V39" s="8">
        <v>73</v>
      </c>
      <c r="W39" s="9">
        <v>113483</v>
      </c>
      <c r="X39" s="5" t="s">
        <v>35</v>
      </c>
      <c r="Y39" s="10">
        <v>100</v>
      </c>
      <c r="Z39" s="10">
        <v>18.18</v>
      </c>
      <c r="AA39" s="10">
        <v>18.18</v>
      </c>
      <c r="AB39" s="10">
        <v>227224</v>
      </c>
      <c r="AC39" s="10">
        <v>80484</v>
      </c>
      <c r="AD39" s="10">
        <v>0</v>
      </c>
      <c r="AE39" s="11">
        <v>307708</v>
      </c>
      <c r="AF39" s="12" t="s">
        <v>57</v>
      </c>
      <c r="AG39" s="14" t="s">
        <v>640</v>
      </c>
      <c r="AH39" s="14" t="s">
        <v>65</v>
      </c>
      <c r="AI39" s="14" t="s">
        <v>45</v>
      </c>
      <c r="AJ39" s="14" t="s">
        <v>136</v>
      </c>
      <c r="AK39" s="14" t="s">
        <v>136</v>
      </c>
      <c r="AL39" s="13" t="s">
        <v>121</v>
      </c>
      <c r="AM39" s="13" t="s">
        <v>121</v>
      </c>
      <c r="AN39" s="14" t="s">
        <v>58</v>
      </c>
      <c r="AO39" s="14" t="s">
        <v>59</v>
      </c>
      <c r="AP39" s="14" t="s">
        <v>37</v>
      </c>
      <c r="AQ39" s="18">
        <v>202605</v>
      </c>
      <c r="AR39" s="14" t="s">
        <v>147</v>
      </c>
      <c r="AS39" s="14" t="s">
        <v>157</v>
      </c>
      <c r="AT39" s="12" t="s">
        <v>157</v>
      </c>
      <c r="AU39" s="22" t="s">
        <v>275</v>
      </c>
      <c r="AV39" s="22" t="s">
        <v>363</v>
      </c>
    </row>
    <row r="40" spans="1:48" x14ac:dyDescent="0.3">
      <c r="A40" s="5" t="s">
        <v>30</v>
      </c>
      <c r="B40" s="5" t="s">
        <v>54</v>
      </c>
      <c r="C40" s="5" t="s">
        <v>425</v>
      </c>
      <c r="D40" s="5" t="s">
        <v>32</v>
      </c>
      <c r="E40" s="6" t="s">
        <v>33</v>
      </c>
      <c r="F40" s="7">
        <v>83</v>
      </c>
      <c r="G40" s="5" t="s">
        <v>426</v>
      </c>
      <c r="H40" s="5" t="s">
        <v>641</v>
      </c>
      <c r="I40" s="5" t="s">
        <v>393</v>
      </c>
      <c r="J40" s="5" t="s">
        <v>34</v>
      </c>
      <c r="K40" s="5" t="s">
        <v>55</v>
      </c>
      <c r="L40" s="5" t="s">
        <v>286</v>
      </c>
      <c r="M40" s="5" t="s">
        <v>39</v>
      </c>
      <c r="N40" s="5" t="s">
        <v>56</v>
      </c>
      <c r="O40" s="6" t="s">
        <v>642</v>
      </c>
      <c r="P40" s="5" t="s">
        <v>181</v>
      </c>
      <c r="Q40" s="5" t="s">
        <v>281</v>
      </c>
      <c r="R40" s="5" t="s">
        <v>264</v>
      </c>
      <c r="S40" s="5" t="s">
        <v>394</v>
      </c>
      <c r="T40" s="5" t="s">
        <v>395</v>
      </c>
      <c r="U40" s="5" t="s">
        <v>396</v>
      </c>
      <c r="V40" s="8">
        <v>69</v>
      </c>
      <c r="W40" s="9">
        <v>121824</v>
      </c>
      <c r="X40" s="5" t="s">
        <v>35</v>
      </c>
      <c r="Y40" s="10">
        <v>100</v>
      </c>
      <c r="Z40" s="10">
        <v>18.18</v>
      </c>
      <c r="AA40" s="10">
        <v>18.18</v>
      </c>
      <c r="AB40" s="10">
        <v>0</v>
      </c>
      <c r="AC40" s="10">
        <v>0</v>
      </c>
      <c r="AD40" s="10">
        <v>134140</v>
      </c>
      <c r="AE40" s="11">
        <v>134140</v>
      </c>
      <c r="AF40" s="12" t="s">
        <v>57</v>
      </c>
      <c r="AG40" s="14" t="s">
        <v>285</v>
      </c>
      <c r="AH40" s="14" t="s">
        <v>283</v>
      </c>
      <c r="AI40" s="14" t="s">
        <v>36</v>
      </c>
      <c r="AJ40" s="14" t="s">
        <v>136</v>
      </c>
      <c r="AK40" s="14" t="s">
        <v>136</v>
      </c>
      <c r="AL40" s="13" t="s">
        <v>121</v>
      </c>
      <c r="AM40" s="13" t="s">
        <v>121</v>
      </c>
      <c r="AN40" s="14" t="s">
        <v>58</v>
      </c>
      <c r="AO40" s="14" t="s">
        <v>59</v>
      </c>
      <c r="AP40" s="14" t="s">
        <v>37</v>
      </c>
      <c r="AQ40" s="18">
        <v>202605</v>
      </c>
      <c r="AR40" s="14" t="s">
        <v>147</v>
      </c>
      <c r="AS40" s="14" t="s">
        <v>157</v>
      </c>
      <c r="AT40" s="12" t="s">
        <v>157</v>
      </c>
      <c r="AU40" s="22" t="s">
        <v>275</v>
      </c>
      <c r="AV40" s="22" t="s">
        <v>363</v>
      </c>
    </row>
    <row r="41" spans="1:48" x14ac:dyDescent="0.3">
      <c r="A41" s="5" t="s">
        <v>30</v>
      </c>
      <c r="B41" s="5" t="s">
        <v>54</v>
      </c>
      <c r="C41" s="5" t="s">
        <v>425</v>
      </c>
      <c r="D41" s="5" t="s">
        <v>32</v>
      </c>
      <c r="E41" s="6" t="s">
        <v>33</v>
      </c>
      <c r="F41" s="7">
        <v>84</v>
      </c>
      <c r="G41" s="5" t="s">
        <v>426</v>
      </c>
      <c r="H41" s="5" t="s">
        <v>643</v>
      </c>
      <c r="I41" s="5" t="s">
        <v>644</v>
      </c>
      <c r="J41" s="5" t="s">
        <v>34</v>
      </c>
      <c r="K41" s="5" t="s">
        <v>55</v>
      </c>
      <c r="L41" s="5" t="s">
        <v>222</v>
      </c>
      <c r="M41" s="5" t="s">
        <v>39</v>
      </c>
      <c r="N41" s="5" t="s">
        <v>56</v>
      </c>
      <c r="O41" s="6" t="s">
        <v>645</v>
      </c>
      <c r="P41" s="5" t="s">
        <v>392</v>
      </c>
      <c r="Q41" s="5" t="s">
        <v>281</v>
      </c>
      <c r="R41" s="5" t="s">
        <v>139</v>
      </c>
      <c r="S41" s="5" t="s">
        <v>646</v>
      </c>
      <c r="T41" s="5" t="s">
        <v>372</v>
      </c>
      <c r="U41" s="5" t="s">
        <v>647</v>
      </c>
      <c r="V41" s="8">
        <v>82</v>
      </c>
      <c r="W41" s="9">
        <v>60128</v>
      </c>
      <c r="X41" s="5" t="s">
        <v>35</v>
      </c>
      <c r="Y41" s="10">
        <v>100</v>
      </c>
      <c r="Z41" s="10">
        <v>18.18</v>
      </c>
      <c r="AA41" s="10">
        <v>18.18</v>
      </c>
      <c r="AB41" s="10">
        <v>230733</v>
      </c>
      <c r="AC41" s="10">
        <v>43979</v>
      </c>
      <c r="AD41" s="10">
        <v>0</v>
      </c>
      <c r="AE41" s="11">
        <v>274712</v>
      </c>
      <c r="AF41" s="12" t="s">
        <v>57</v>
      </c>
      <c r="AG41" s="14" t="s">
        <v>648</v>
      </c>
      <c r="AH41" s="14" t="s">
        <v>283</v>
      </c>
      <c r="AI41" s="14" t="s">
        <v>36</v>
      </c>
      <c r="AJ41" s="14">
        <v>70000</v>
      </c>
      <c r="AK41" s="14">
        <v>65000</v>
      </c>
      <c r="AL41" s="13" t="s">
        <v>121</v>
      </c>
      <c r="AM41" s="13" t="s">
        <v>121</v>
      </c>
      <c r="AN41" s="14" t="s">
        <v>58</v>
      </c>
      <c r="AO41" s="14" t="s">
        <v>59</v>
      </c>
      <c r="AP41" s="14" t="s">
        <v>37</v>
      </c>
      <c r="AQ41" s="18">
        <v>202605</v>
      </c>
      <c r="AR41" s="14" t="s">
        <v>147</v>
      </c>
      <c r="AS41" s="14" t="s">
        <v>157</v>
      </c>
      <c r="AT41" s="12" t="s">
        <v>157</v>
      </c>
      <c r="AU41" s="22" t="s">
        <v>275</v>
      </c>
      <c r="AV41" s="22" t="s">
        <v>363</v>
      </c>
    </row>
    <row r="42" spans="1:48" x14ac:dyDescent="0.3">
      <c r="A42" s="5" t="s">
        <v>30</v>
      </c>
      <c r="B42" s="5" t="s">
        <v>54</v>
      </c>
      <c r="C42" s="5" t="s">
        <v>425</v>
      </c>
      <c r="D42" s="5" t="s">
        <v>32</v>
      </c>
      <c r="E42" s="6" t="s">
        <v>33</v>
      </c>
      <c r="F42" s="7">
        <v>85</v>
      </c>
      <c r="G42" s="5" t="s">
        <v>426</v>
      </c>
      <c r="H42" s="5" t="s">
        <v>649</v>
      </c>
      <c r="I42" s="5" t="s">
        <v>650</v>
      </c>
      <c r="J42" s="5" t="s">
        <v>34</v>
      </c>
      <c r="K42" s="5" t="s">
        <v>55</v>
      </c>
      <c r="L42" s="5" t="s">
        <v>222</v>
      </c>
      <c r="M42" s="5" t="s">
        <v>39</v>
      </c>
      <c r="N42" s="5" t="s">
        <v>56</v>
      </c>
      <c r="O42" s="6" t="s">
        <v>651</v>
      </c>
      <c r="P42" s="5" t="s">
        <v>68</v>
      </c>
      <c r="Q42" s="5" t="s">
        <v>281</v>
      </c>
      <c r="R42" s="5" t="s">
        <v>652</v>
      </c>
      <c r="S42" s="5" t="s">
        <v>653</v>
      </c>
      <c r="T42" s="5" t="s">
        <v>313</v>
      </c>
      <c r="U42" s="5" t="s">
        <v>274</v>
      </c>
      <c r="V42" s="8">
        <v>73</v>
      </c>
      <c r="W42" s="9">
        <v>124411</v>
      </c>
      <c r="X42" s="5" t="s">
        <v>35</v>
      </c>
      <c r="Y42" s="10">
        <v>100</v>
      </c>
      <c r="Z42" s="10">
        <v>18.18</v>
      </c>
      <c r="AA42" s="10">
        <v>18.18</v>
      </c>
      <c r="AB42" s="10">
        <v>215140</v>
      </c>
      <c r="AC42" s="10">
        <v>39905</v>
      </c>
      <c r="AD42" s="10">
        <v>24509</v>
      </c>
      <c r="AE42" s="11">
        <v>279554</v>
      </c>
      <c r="AF42" s="12" t="s">
        <v>57</v>
      </c>
      <c r="AG42" s="14" t="s">
        <v>243</v>
      </c>
      <c r="AH42" s="14" t="s">
        <v>283</v>
      </c>
      <c r="AI42" s="14" t="s">
        <v>85</v>
      </c>
      <c r="AJ42" s="14" t="s">
        <v>136</v>
      </c>
      <c r="AK42" s="14" t="s">
        <v>136</v>
      </c>
      <c r="AL42" s="13" t="s">
        <v>121</v>
      </c>
      <c r="AM42" s="13" t="s">
        <v>121</v>
      </c>
      <c r="AN42" s="14" t="s">
        <v>75</v>
      </c>
      <c r="AO42" s="14" t="s">
        <v>76</v>
      </c>
      <c r="AP42" s="14" t="s">
        <v>37</v>
      </c>
      <c r="AQ42" s="18">
        <v>202605</v>
      </c>
      <c r="AR42" s="14" t="s">
        <v>147</v>
      </c>
      <c r="AS42" s="14" t="s">
        <v>157</v>
      </c>
      <c r="AT42" s="12" t="s">
        <v>157</v>
      </c>
      <c r="AU42" s="22" t="s">
        <v>275</v>
      </c>
      <c r="AV42" s="22" t="s">
        <v>363</v>
      </c>
    </row>
    <row r="43" spans="1:48" x14ac:dyDescent="0.3">
      <c r="A43" s="5" t="s">
        <v>30</v>
      </c>
      <c r="B43" s="5" t="s">
        <v>54</v>
      </c>
      <c r="C43" s="5" t="s">
        <v>425</v>
      </c>
      <c r="D43" s="5" t="s">
        <v>32</v>
      </c>
      <c r="E43" s="6" t="s">
        <v>33</v>
      </c>
      <c r="F43" s="7">
        <v>86</v>
      </c>
      <c r="G43" s="5" t="s">
        <v>426</v>
      </c>
      <c r="H43" s="5" t="s">
        <v>654</v>
      </c>
      <c r="I43" s="5" t="s">
        <v>655</v>
      </c>
      <c r="J43" s="5" t="s">
        <v>34</v>
      </c>
      <c r="K43" s="5" t="s">
        <v>55</v>
      </c>
      <c r="L43" s="5" t="s">
        <v>222</v>
      </c>
      <c r="M43" s="5" t="s">
        <v>39</v>
      </c>
      <c r="N43" s="5" t="s">
        <v>56</v>
      </c>
      <c r="O43" s="6" t="s">
        <v>656</v>
      </c>
      <c r="P43" s="5" t="s">
        <v>68</v>
      </c>
      <c r="Q43" s="5" t="s">
        <v>64</v>
      </c>
      <c r="R43" s="5" t="s">
        <v>139</v>
      </c>
      <c r="S43" s="5" t="s">
        <v>657</v>
      </c>
      <c r="T43" s="5" t="s">
        <v>372</v>
      </c>
      <c r="U43" s="5" t="s">
        <v>658</v>
      </c>
      <c r="V43" s="8">
        <v>73</v>
      </c>
      <c r="W43" s="9">
        <v>106070</v>
      </c>
      <c r="X43" s="5" t="s">
        <v>35</v>
      </c>
      <c r="Y43" s="10">
        <v>100</v>
      </c>
      <c r="Z43" s="10">
        <v>18.18</v>
      </c>
      <c r="AA43" s="10">
        <v>18.18</v>
      </c>
      <c r="AB43" s="10">
        <v>229096</v>
      </c>
      <c r="AC43" s="10">
        <v>55805</v>
      </c>
      <c r="AD43" s="10">
        <v>0</v>
      </c>
      <c r="AE43" s="11">
        <v>284901</v>
      </c>
      <c r="AF43" s="12" t="s">
        <v>57</v>
      </c>
      <c r="AG43" s="14" t="s">
        <v>219</v>
      </c>
      <c r="AH43" s="14" t="s">
        <v>65</v>
      </c>
      <c r="AI43" s="14" t="s">
        <v>36</v>
      </c>
      <c r="AJ43" s="14" t="s">
        <v>136</v>
      </c>
      <c r="AK43" s="14" t="s">
        <v>136</v>
      </c>
      <c r="AL43" s="13" t="s">
        <v>121</v>
      </c>
      <c r="AM43" s="13" t="s">
        <v>121</v>
      </c>
      <c r="AN43" s="14" t="s">
        <v>58</v>
      </c>
      <c r="AO43" s="14" t="s">
        <v>59</v>
      </c>
      <c r="AP43" s="14" t="s">
        <v>37</v>
      </c>
      <c r="AQ43" s="18">
        <v>202605</v>
      </c>
      <c r="AR43" s="14" t="s">
        <v>147</v>
      </c>
      <c r="AS43" s="14" t="s">
        <v>157</v>
      </c>
      <c r="AT43" s="12" t="s">
        <v>157</v>
      </c>
      <c r="AU43" s="22" t="s">
        <v>275</v>
      </c>
      <c r="AV43" s="22" t="s">
        <v>363</v>
      </c>
    </row>
    <row r="44" spans="1:48" x14ac:dyDescent="0.3">
      <c r="A44" s="5" t="s">
        <v>30</v>
      </c>
      <c r="B44" s="5" t="s">
        <v>54</v>
      </c>
      <c r="C44" s="5" t="s">
        <v>425</v>
      </c>
      <c r="D44" s="5" t="s">
        <v>32</v>
      </c>
      <c r="E44" s="6" t="s">
        <v>33</v>
      </c>
      <c r="F44" s="7">
        <v>87</v>
      </c>
      <c r="G44" s="5" t="s">
        <v>426</v>
      </c>
      <c r="H44" s="5" t="s">
        <v>659</v>
      </c>
      <c r="I44" s="5" t="s">
        <v>660</v>
      </c>
      <c r="J44" s="5" t="s">
        <v>34</v>
      </c>
      <c r="K44" s="5" t="s">
        <v>55</v>
      </c>
      <c r="L44" s="5" t="s">
        <v>222</v>
      </c>
      <c r="M44" s="5" t="s">
        <v>39</v>
      </c>
      <c r="N44" s="5" t="s">
        <v>56</v>
      </c>
      <c r="O44" s="6" t="s">
        <v>661</v>
      </c>
      <c r="P44" s="5" t="s">
        <v>392</v>
      </c>
      <c r="Q44" s="5" t="s">
        <v>64</v>
      </c>
      <c r="R44" s="5" t="s">
        <v>79</v>
      </c>
      <c r="S44" s="5" t="s">
        <v>662</v>
      </c>
      <c r="T44" s="5" t="s">
        <v>395</v>
      </c>
      <c r="U44" s="5" t="s">
        <v>663</v>
      </c>
      <c r="V44" s="8">
        <v>60</v>
      </c>
      <c r="W44" s="9">
        <v>76723</v>
      </c>
      <c r="X44" s="5" t="s">
        <v>35</v>
      </c>
      <c r="Y44" s="10">
        <v>100</v>
      </c>
      <c r="Z44" s="10">
        <v>18.18</v>
      </c>
      <c r="AA44" s="10">
        <v>18.18</v>
      </c>
      <c r="AB44" s="10">
        <v>229543</v>
      </c>
      <c r="AC44" s="10">
        <v>47206</v>
      </c>
      <c r="AD44" s="10">
        <v>0</v>
      </c>
      <c r="AE44" s="11">
        <v>276749</v>
      </c>
      <c r="AF44" s="12" t="s">
        <v>57</v>
      </c>
      <c r="AG44" s="14" t="s">
        <v>261</v>
      </c>
      <c r="AH44" s="14" t="s">
        <v>65</v>
      </c>
      <c r="AI44" s="14" t="s">
        <v>45</v>
      </c>
      <c r="AJ44" s="14">
        <v>80000</v>
      </c>
      <c r="AK44" s="14">
        <v>80000</v>
      </c>
      <c r="AL44" s="13" t="s">
        <v>121</v>
      </c>
      <c r="AM44" s="13" t="s">
        <v>121</v>
      </c>
      <c r="AN44" s="14" t="s">
        <v>58</v>
      </c>
      <c r="AO44" s="14" t="s">
        <v>59</v>
      </c>
      <c r="AP44" s="14" t="s">
        <v>37</v>
      </c>
      <c r="AQ44" s="18">
        <v>202605</v>
      </c>
      <c r="AR44" s="14" t="s">
        <v>147</v>
      </c>
      <c r="AS44" s="14" t="s">
        <v>157</v>
      </c>
      <c r="AT44" s="12" t="s">
        <v>157</v>
      </c>
      <c r="AU44" s="22" t="s">
        <v>275</v>
      </c>
      <c r="AV44" s="22" t="s">
        <v>363</v>
      </c>
    </row>
    <row r="45" spans="1:48" x14ac:dyDescent="0.3">
      <c r="A45" s="5" t="s">
        <v>30</v>
      </c>
      <c r="B45" s="5" t="s">
        <v>54</v>
      </c>
      <c r="C45" s="5" t="s">
        <v>425</v>
      </c>
      <c r="D45" s="5" t="s">
        <v>32</v>
      </c>
      <c r="E45" s="6" t="s">
        <v>33</v>
      </c>
      <c r="F45" s="7">
        <v>91</v>
      </c>
      <c r="G45" s="5" t="s">
        <v>426</v>
      </c>
      <c r="H45" s="5" t="s">
        <v>664</v>
      </c>
      <c r="I45" s="5" t="s">
        <v>665</v>
      </c>
      <c r="J45" s="5" t="s">
        <v>34</v>
      </c>
      <c r="K45" s="5" t="s">
        <v>42</v>
      </c>
      <c r="L45" s="5" t="s">
        <v>124</v>
      </c>
      <c r="M45" s="5" t="s">
        <v>43</v>
      </c>
      <c r="N45" s="5" t="s">
        <v>56</v>
      </c>
      <c r="O45" s="6" t="s">
        <v>666</v>
      </c>
      <c r="P45" s="5" t="s">
        <v>47</v>
      </c>
      <c r="Q45" s="5" t="s">
        <v>64</v>
      </c>
      <c r="R45" s="5" t="s">
        <v>667</v>
      </c>
      <c r="S45" s="5" t="s">
        <v>668</v>
      </c>
      <c r="T45" s="5" t="s">
        <v>669</v>
      </c>
      <c r="U45" s="5" t="s">
        <v>670</v>
      </c>
      <c r="V45" s="8">
        <v>26</v>
      </c>
      <c r="W45" s="9">
        <v>53878</v>
      </c>
      <c r="X45" s="5" t="s">
        <v>35</v>
      </c>
      <c r="Y45" s="10">
        <v>100</v>
      </c>
      <c r="Z45" s="10">
        <v>18.18</v>
      </c>
      <c r="AA45" s="10">
        <v>18.18</v>
      </c>
      <c r="AB45" s="10">
        <v>169186</v>
      </c>
      <c r="AC45" s="10">
        <v>5037</v>
      </c>
      <c r="AD45" s="10">
        <v>0</v>
      </c>
      <c r="AE45" s="11">
        <v>174223</v>
      </c>
      <c r="AF45" s="12" t="s">
        <v>44</v>
      </c>
      <c r="AG45" s="14" t="s">
        <v>167</v>
      </c>
      <c r="AH45" s="14" t="s">
        <v>65</v>
      </c>
      <c r="AI45" s="14" t="s">
        <v>215</v>
      </c>
      <c r="AJ45" s="14">
        <v>60000</v>
      </c>
      <c r="AK45" s="14">
        <v>55000</v>
      </c>
      <c r="AL45" s="13">
        <v>30</v>
      </c>
      <c r="AM45" s="13">
        <v>27</v>
      </c>
      <c r="AN45" s="14" t="s">
        <v>165</v>
      </c>
      <c r="AO45" s="14" t="s">
        <v>166</v>
      </c>
      <c r="AP45" s="14" t="s">
        <v>46</v>
      </c>
      <c r="AQ45" s="18">
        <v>202605</v>
      </c>
      <c r="AR45" s="14" t="s">
        <v>417</v>
      </c>
      <c r="AS45" s="14" t="s">
        <v>671</v>
      </c>
      <c r="AT45" s="12" t="s">
        <v>44</v>
      </c>
      <c r="AU45" s="22" t="s">
        <v>275</v>
      </c>
      <c r="AV45" s="22" t="s">
        <v>363</v>
      </c>
    </row>
    <row r="46" spans="1:48" x14ac:dyDescent="0.3">
      <c r="A46" s="5" t="s">
        <v>30</v>
      </c>
      <c r="B46" s="5" t="s">
        <v>54</v>
      </c>
      <c r="C46" s="5" t="s">
        <v>425</v>
      </c>
      <c r="D46" s="5" t="s">
        <v>32</v>
      </c>
      <c r="E46" s="6" t="s">
        <v>33</v>
      </c>
      <c r="F46" s="7">
        <v>100</v>
      </c>
      <c r="G46" s="5" t="s">
        <v>426</v>
      </c>
      <c r="H46" s="5" t="s">
        <v>672</v>
      </c>
      <c r="I46" s="5" t="s">
        <v>673</v>
      </c>
      <c r="J46" s="5" t="s">
        <v>34</v>
      </c>
      <c r="K46" s="5" t="s">
        <v>183</v>
      </c>
      <c r="L46" s="5" t="s">
        <v>400</v>
      </c>
      <c r="M46" s="5" t="s">
        <v>43</v>
      </c>
      <c r="N46" s="5" t="s">
        <v>56</v>
      </c>
      <c r="O46" s="21" t="s">
        <v>674</v>
      </c>
      <c r="P46" s="5" t="s">
        <v>253</v>
      </c>
      <c r="Q46" s="5" t="s">
        <v>64</v>
      </c>
      <c r="R46" s="5" t="s">
        <v>74</v>
      </c>
      <c r="S46" s="5" t="s">
        <v>675</v>
      </c>
      <c r="T46" s="5" t="s">
        <v>364</v>
      </c>
      <c r="U46" s="5" t="s">
        <v>318</v>
      </c>
      <c r="V46" s="8">
        <v>9</v>
      </c>
      <c r="W46" s="9">
        <v>26015</v>
      </c>
      <c r="X46" s="5" t="s">
        <v>35</v>
      </c>
      <c r="Y46" s="10">
        <v>100</v>
      </c>
      <c r="Z46" s="10">
        <v>18.18</v>
      </c>
      <c r="AA46" s="10">
        <v>18.18</v>
      </c>
      <c r="AB46" s="10">
        <v>91572</v>
      </c>
      <c r="AC46" s="10">
        <v>22010</v>
      </c>
      <c r="AD46" s="10">
        <v>0</v>
      </c>
      <c r="AE46" s="11">
        <v>113582</v>
      </c>
      <c r="AF46" s="12" t="s">
        <v>184</v>
      </c>
      <c r="AG46" s="14" t="s">
        <v>213</v>
      </c>
      <c r="AH46" s="14" t="s">
        <v>65</v>
      </c>
      <c r="AI46" s="14" t="s">
        <v>49</v>
      </c>
      <c r="AJ46" s="14">
        <v>30000</v>
      </c>
      <c r="AK46" s="14">
        <v>30000</v>
      </c>
      <c r="AL46" s="13">
        <v>12</v>
      </c>
      <c r="AM46" s="13">
        <v>12</v>
      </c>
      <c r="AN46" s="14" t="s">
        <v>75</v>
      </c>
      <c r="AO46" s="14" t="s">
        <v>76</v>
      </c>
      <c r="AP46" s="14" t="s">
        <v>46</v>
      </c>
      <c r="AQ46" s="18">
        <v>202605</v>
      </c>
      <c r="AR46" s="22" t="s">
        <v>158</v>
      </c>
      <c r="AS46" s="22"/>
      <c r="AT46" s="12" t="s">
        <v>184</v>
      </c>
      <c r="AU46" s="22" t="s">
        <v>275</v>
      </c>
      <c r="AV46" s="22" t="s">
        <v>363</v>
      </c>
    </row>
    <row r="47" spans="1:48" x14ac:dyDescent="0.3">
      <c r="A47" s="5" t="s">
        <v>30</v>
      </c>
      <c r="B47" s="5" t="s">
        <v>54</v>
      </c>
      <c r="C47" s="5" t="s">
        <v>425</v>
      </c>
      <c r="D47" s="5" t="s">
        <v>32</v>
      </c>
      <c r="E47" s="6" t="s">
        <v>33</v>
      </c>
      <c r="F47" s="7">
        <v>101</v>
      </c>
      <c r="G47" s="5" t="s">
        <v>426</v>
      </c>
      <c r="H47" s="5" t="s">
        <v>676</v>
      </c>
      <c r="I47" s="5" t="s">
        <v>677</v>
      </c>
      <c r="J47" s="5" t="s">
        <v>34</v>
      </c>
      <c r="K47" s="5" t="s">
        <v>183</v>
      </c>
      <c r="L47" s="5" t="s">
        <v>400</v>
      </c>
      <c r="M47" s="5" t="s">
        <v>43</v>
      </c>
      <c r="N47" s="5" t="s">
        <v>56</v>
      </c>
      <c r="O47" s="6" t="s">
        <v>678</v>
      </c>
      <c r="P47" s="5" t="s">
        <v>51</v>
      </c>
      <c r="Q47" s="5" t="s">
        <v>64</v>
      </c>
      <c r="R47" s="5" t="s">
        <v>679</v>
      </c>
      <c r="S47" s="5" t="s">
        <v>680</v>
      </c>
      <c r="T47" s="5" t="s">
        <v>681</v>
      </c>
      <c r="U47" s="5" t="s">
        <v>682</v>
      </c>
      <c r="V47" s="8">
        <v>6</v>
      </c>
      <c r="W47" s="9">
        <v>16936</v>
      </c>
      <c r="X47" s="5" t="s">
        <v>35</v>
      </c>
      <c r="Y47" s="10">
        <v>100</v>
      </c>
      <c r="Z47" s="10">
        <v>18.18</v>
      </c>
      <c r="AA47" s="10">
        <v>18.18</v>
      </c>
      <c r="AB47" s="10">
        <v>80463</v>
      </c>
      <c r="AC47" s="10">
        <v>11654</v>
      </c>
      <c r="AD47" s="10">
        <v>26609</v>
      </c>
      <c r="AE47" s="11">
        <v>118726</v>
      </c>
      <c r="AF47" s="12" t="s">
        <v>184</v>
      </c>
      <c r="AG47" s="14" t="s">
        <v>322</v>
      </c>
      <c r="AH47" s="14" t="s">
        <v>65</v>
      </c>
      <c r="AI47" s="14" t="s">
        <v>215</v>
      </c>
      <c r="AJ47" s="14">
        <v>20000</v>
      </c>
      <c r="AK47" s="14">
        <v>20000</v>
      </c>
      <c r="AL47" s="13">
        <v>12</v>
      </c>
      <c r="AM47" s="13">
        <v>9</v>
      </c>
      <c r="AN47" s="14" t="s">
        <v>75</v>
      </c>
      <c r="AO47" s="14" t="s">
        <v>76</v>
      </c>
      <c r="AP47" s="14" t="s">
        <v>46</v>
      </c>
      <c r="AQ47" s="18">
        <v>202605</v>
      </c>
      <c r="AR47" s="22" t="s">
        <v>158</v>
      </c>
      <c r="AS47" s="22"/>
      <c r="AT47" s="12" t="s">
        <v>184</v>
      </c>
      <c r="AU47" s="22" t="s">
        <v>275</v>
      </c>
      <c r="AV47" s="22" t="s">
        <v>363</v>
      </c>
    </row>
    <row r="48" spans="1:48" x14ac:dyDescent="0.3">
      <c r="A48" s="5" t="s">
        <v>30</v>
      </c>
      <c r="B48" s="5" t="s">
        <v>54</v>
      </c>
      <c r="C48" s="5" t="s">
        <v>425</v>
      </c>
      <c r="D48" s="5" t="s">
        <v>32</v>
      </c>
      <c r="E48" s="6" t="s">
        <v>33</v>
      </c>
      <c r="F48" s="7">
        <v>103</v>
      </c>
      <c r="G48" s="5" t="s">
        <v>426</v>
      </c>
      <c r="H48" s="5" t="s">
        <v>683</v>
      </c>
      <c r="I48" s="5" t="s">
        <v>684</v>
      </c>
      <c r="J48" s="5" t="s">
        <v>34</v>
      </c>
      <c r="K48" s="5" t="s">
        <v>131</v>
      </c>
      <c r="L48" s="5" t="s">
        <v>152</v>
      </c>
      <c r="M48" s="5" t="s">
        <v>149</v>
      </c>
      <c r="N48" s="5" t="s">
        <v>56</v>
      </c>
      <c r="O48" s="6" t="s">
        <v>685</v>
      </c>
      <c r="P48" s="5" t="s">
        <v>153</v>
      </c>
      <c r="Q48" s="5" t="s">
        <v>281</v>
      </c>
      <c r="R48" s="5" t="s">
        <v>686</v>
      </c>
      <c r="S48" s="5" t="s">
        <v>687</v>
      </c>
      <c r="T48" s="5" t="s">
        <v>370</v>
      </c>
      <c r="U48" s="5" t="s">
        <v>688</v>
      </c>
      <c r="V48" s="8">
        <v>39</v>
      </c>
      <c r="W48" s="9">
        <v>83058</v>
      </c>
      <c r="X48" s="5" t="s">
        <v>35</v>
      </c>
      <c r="Y48" s="10">
        <v>100</v>
      </c>
      <c r="Z48" s="10">
        <v>18.18</v>
      </c>
      <c r="AA48" s="10">
        <v>18.18</v>
      </c>
      <c r="AB48" s="10">
        <v>66920</v>
      </c>
      <c r="AC48" s="10">
        <v>49084</v>
      </c>
      <c r="AD48" s="10">
        <v>0</v>
      </c>
      <c r="AE48" s="11">
        <v>116004</v>
      </c>
      <c r="AF48" s="12" t="s">
        <v>132</v>
      </c>
      <c r="AG48" s="14" t="s">
        <v>229</v>
      </c>
      <c r="AH48" s="14" t="s">
        <v>283</v>
      </c>
      <c r="AI48" s="14" t="s">
        <v>689</v>
      </c>
      <c r="AJ48" s="14">
        <v>90000</v>
      </c>
      <c r="AK48" s="14">
        <v>85000</v>
      </c>
      <c r="AL48" s="13">
        <v>42</v>
      </c>
      <c r="AM48" s="13">
        <v>42</v>
      </c>
      <c r="AN48" s="14" t="s">
        <v>58</v>
      </c>
      <c r="AO48" s="14" t="s">
        <v>59</v>
      </c>
      <c r="AP48" s="14" t="s">
        <v>359</v>
      </c>
      <c r="AQ48" s="18">
        <v>202605</v>
      </c>
      <c r="AR48" s="22" t="s">
        <v>158</v>
      </c>
      <c r="AS48" s="22"/>
      <c r="AT48" s="12" t="s">
        <v>132</v>
      </c>
      <c r="AU48" s="22" t="s">
        <v>275</v>
      </c>
      <c r="AV48" s="22" t="s">
        <v>363</v>
      </c>
    </row>
    <row r="49" spans="1:48" x14ac:dyDescent="0.3">
      <c r="A49" s="5" t="s">
        <v>30</v>
      </c>
      <c r="B49" s="5" t="s">
        <v>54</v>
      </c>
      <c r="C49" s="5" t="s">
        <v>425</v>
      </c>
      <c r="D49" s="5" t="s">
        <v>32</v>
      </c>
      <c r="E49" s="6" t="s">
        <v>33</v>
      </c>
      <c r="F49" s="7">
        <v>104</v>
      </c>
      <c r="G49" s="5" t="s">
        <v>426</v>
      </c>
      <c r="H49" s="5" t="s">
        <v>690</v>
      </c>
      <c r="I49" s="5" t="s">
        <v>691</v>
      </c>
      <c r="J49" s="5" t="s">
        <v>34</v>
      </c>
      <c r="K49" s="5" t="s">
        <v>131</v>
      </c>
      <c r="L49" s="5" t="s">
        <v>152</v>
      </c>
      <c r="M49" s="5" t="s">
        <v>149</v>
      </c>
      <c r="N49" s="5" t="s">
        <v>56</v>
      </c>
      <c r="O49" s="6" t="s">
        <v>692</v>
      </c>
      <c r="P49" s="5"/>
      <c r="Q49" s="5" t="s">
        <v>404</v>
      </c>
      <c r="R49" s="5" t="s">
        <v>405</v>
      </c>
      <c r="S49" s="5" t="s">
        <v>693</v>
      </c>
      <c r="T49" s="5" t="s">
        <v>694</v>
      </c>
      <c r="U49" s="5" t="s">
        <v>695</v>
      </c>
      <c r="V49" s="8">
        <v>37</v>
      </c>
      <c r="W49" s="9">
        <v>67262</v>
      </c>
      <c r="X49" s="5" t="s">
        <v>35</v>
      </c>
      <c r="Y49" s="10">
        <v>100</v>
      </c>
      <c r="Z49" s="10">
        <v>18.18</v>
      </c>
      <c r="AA49" s="10">
        <v>18.18</v>
      </c>
      <c r="AB49" s="10">
        <v>0</v>
      </c>
      <c r="AC49" s="10">
        <v>0</v>
      </c>
      <c r="AD49" s="10">
        <v>17367</v>
      </c>
      <c r="AE49" s="11">
        <v>17367</v>
      </c>
      <c r="AF49" s="12" t="s">
        <v>132</v>
      </c>
      <c r="AG49" s="14" t="s">
        <v>308</v>
      </c>
      <c r="AH49" s="14" t="s">
        <v>406</v>
      </c>
      <c r="AI49" s="14" t="e">
        <v>#N/A</v>
      </c>
      <c r="AJ49" s="14">
        <v>70000</v>
      </c>
      <c r="AK49" s="14">
        <v>70000</v>
      </c>
      <c r="AL49" s="13">
        <v>42</v>
      </c>
      <c r="AM49" s="13">
        <v>39</v>
      </c>
      <c r="AN49" s="14" t="s">
        <v>58</v>
      </c>
      <c r="AO49" s="14" t="s">
        <v>59</v>
      </c>
      <c r="AP49" s="14" t="s">
        <v>359</v>
      </c>
      <c r="AQ49" s="18">
        <v>202605</v>
      </c>
      <c r="AR49" s="22" t="s">
        <v>158</v>
      </c>
      <c r="AS49" s="22"/>
      <c r="AT49" s="12" t="s">
        <v>132</v>
      </c>
      <c r="AU49" s="22" t="s">
        <v>275</v>
      </c>
      <c r="AV49" s="22" t="s">
        <v>363</v>
      </c>
    </row>
    <row r="50" spans="1:48" x14ac:dyDescent="0.3">
      <c r="A50" s="5" t="s">
        <v>30</v>
      </c>
      <c r="B50" s="5" t="s">
        <v>54</v>
      </c>
      <c r="C50" s="5" t="s">
        <v>425</v>
      </c>
      <c r="D50" s="5" t="s">
        <v>32</v>
      </c>
      <c r="E50" s="6" t="s">
        <v>33</v>
      </c>
      <c r="F50" s="7">
        <v>105</v>
      </c>
      <c r="G50" s="5" t="s">
        <v>426</v>
      </c>
      <c r="H50" s="5" t="s">
        <v>696</v>
      </c>
      <c r="I50" s="5" t="s">
        <v>691</v>
      </c>
      <c r="J50" s="5" t="s">
        <v>34</v>
      </c>
      <c r="K50" s="5" t="s">
        <v>131</v>
      </c>
      <c r="L50" s="5" t="s">
        <v>152</v>
      </c>
      <c r="M50" s="5" t="s">
        <v>149</v>
      </c>
      <c r="N50" s="5" t="s">
        <v>56</v>
      </c>
      <c r="O50" s="6" t="s">
        <v>692</v>
      </c>
      <c r="P50" s="5" t="s">
        <v>51</v>
      </c>
      <c r="Q50" s="5" t="s">
        <v>281</v>
      </c>
      <c r="R50" s="5" t="s">
        <v>143</v>
      </c>
      <c r="S50" s="5" t="s">
        <v>693</v>
      </c>
      <c r="T50" s="5" t="s">
        <v>694</v>
      </c>
      <c r="U50" s="5" t="s">
        <v>695</v>
      </c>
      <c r="V50" s="8">
        <v>37</v>
      </c>
      <c r="W50" s="9">
        <v>67262</v>
      </c>
      <c r="X50" s="5" t="s">
        <v>35</v>
      </c>
      <c r="Y50" s="10">
        <v>100</v>
      </c>
      <c r="Z50" s="10">
        <v>18.18</v>
      </c>
      <c r="AA50" s="10">
        <v>18.18</v>
      </c>
      <c r="AB50" s="10">
        <v>64275</v>
      </c>
      <c r="AC50" s="10">
        <v>70163</v>
      </c>
      <c r="AD50" s="10">
        <v>0</v>
      </c>
      <c r="AE50" s="11">
        <v>134438</v>
      </c>
      <c r="AF50" s="12" t="s">
        <v>132</v>
      </c>
      <c r="AG50" s="14" t="s">
        <v>308</v>
      </c>
      <c r="AH50" s="14" t="s">
        <v>283</v>
      </c>
      <c r="AI50" s="14" t="s">
        <v>138</v>
      </c>
      <c r="AJ50" s="14">
        <v>70000</v>
      </c>
      <c r="AK50" s="14">
        <v>70000</v>
      </c>
      <c r="AL50" s="13">
        <v>42</v>
      </c>
      <c r="AM50" s="13">
        <v>39</v>
      </c>
      <c r="AN50" s="14" t="s">
        <v>58</v>
      </c>
      <c r="AO50" s="14" t="s">
        <v>59</v>
      </c>
      <c r="AP50" s="14" t="s">
        <v>359</v>
      </c>
      <c r="AQ50" s="18">
        <v>202605</v>
      </c>
      <c r="AR50" s="22" t="s">
        <v>158</v>
      </c>
      <c r="AS50" s="22"/>
      <c r="AT50" s="12" t="s">
        <v>132</v>
      </c>
      <c r="AU50" s="22" t="s">
        <v>275</v>
      </c>
      <c r="AV50" s="22" t="s">
        <v>363</v>
      </c>
    </row>
    <row r="51" spans="1:48" x14ac:dyDescent="0.3">
      <c r="A51" s="5" t="s">
        <v>30</v>
      </c>
      <c r="B51" s="5" t="s">
        <v>54</v>
      </c>
      <c r="C51" s="5" t="s">
        <v>425</v>
      </c>
      <c r="D51" s="5" t="s">
        <v>32</v>
      </c>
      <c r="E51" s="6" t="s">
        <v>33</v>
      </c>
      <c r="F51" s="7">
        <v>106</v>
      </c>
      <c r="G51" s="5" t="s">
        <v>426</v>
      </c>
      <c r="H51" s="5" t="s">
        <v>697</v>
      </c>
      <c r="I51" s="5" t="s">
        <v>691</v>
      </c>
      <c r="J51" s="5" t="s">
        <v>34</v>
      </c>
      <c r="K51" s="5" t="s">
        <v>131</v>
      </c>
      <c r="L51" s="5" t="s">
        <v>152</v>
      </c>
      <c r="M51" s="5" t="s">
        <v>149</v>
      </c>
      <c r="N51" s="5" t="s">
        <v>56</v>
      </c>
      <c r="O51" s="6" t="s">
        <v>692</v>
      </c>
      <c r="P51" s="5" t="s">
        <v>698</v>
      </c>
      <c r="Q51" s="5" t="s">
        <v>281</v>
      </c>
      <c r="R51" s="5" t="s">
        <v>143</v>
      </c>
      <c r="S51" s="5" t="s">
        <v>693</v>
      </c>
      <c r="T51" s="5" t="s">
        <v>694</v>
      </c>
      <c r="U51" s="5" t="s">
        <v>695</v>
      </c>
      <c r="V51" s="8">
        <v>37</v>
      </c>
      <c r="W51" s="9">
        <v>67262</v>
      </c>
      <c r="X51" s="5" t="s">
        <v>35</v>
      </c>
      <c r="Y51" s="10">
        <v>100</v>
      </c>
      <c r="Z51" s="10">
        <v>18.18</v>
      </c>
      <c r="AA51" s="10">
        <v>18.18</v>
      </c>
      <c r="AB51" s="10">
        <v>0</v>
      </c>
      <c r="AC51" s="10">
        <v>0</v>
      </c>
      <c r="AD51" s="10">
        <v>80484</v>
      </c>
      <c r="AE51" s="11">
        <v>80484</v>
      </c>
      <c r="AF51" s="12" t="s">
        <v>132</v>
      </c>
      <c r="AG51" s="14" t="s">
        <v>308</v>
      </c>
      <c r="AH51" s="14" t="s">
        <v>283</v>
      </c>
      <c r="AI51" s="14" t="s">
        <v>138</v>
      </c>
      <c r="AJ51" s="14">
        <v>70000</v>
      </c>
      <c r="AK51" s="14">
        <v>70000</v>
      </c>
      <c r="AL51" s="13">
        <v>42</v>
      </c>
      <c r="AM51" s="13">
        <v>39</v>
      </c>
      <c r="AN51" s="14" t="s">
        <v>58</v>
      </c>
      <c r="AO51" s="14" t="s">
        <v>59</v>
      </c>
      <c r="AP51" s="14" t="s">
        <v>359</v>
      </c>
      <c r="AQ51" s="18">
        <v>202605</v>
      </c>
      <c r="AR51" s="22" t="s">
        <v>158</v>
      </c>
      <c r="AS51" s="22"/>
      <c r="AT51" s="12" t="s">
        <v>132</v>
      </c>
      <c r="AU51" s="22" t="s">
        <v>275</v>
      </c>
      <c r="AV51" s="22" t="s">
        <v>363</v>
      </c>
    </row>
    <row r="52" spans="1:48" x14ac:dyDescent="0.3">
      <c r="A52" s="5" t="s">
        <v>30</v>
      </c>
      <c r="B52" s="5" t="s">
        <v>54</v>
      </c>
      <c r="C52" s="5" t="s">
        <v>425</v>
      </c>
      <c r="D52" s="5" t="s">
        <v>32</v>
      </c>
      <c r="E52" s="6" t="s">
        <v>33</v>
      </c>
      <c r="F52" s="7">
        <v>107</v>
      </c>
      <c r="G52" s="5" t="s">
        <v>426</v>
      </c>
      <c r="H52" s="5" t="s">
        <v>699</v>
      </c>
      <c r="I52" s="5" t="s">
        <v>700</v>
      </c>
      <c r="J52" s="5" t="s">
        <v>34</v>
      </c>
      <c r="K52" s="5" t="s">
        <v>129</v>
      </c>
      <c r="L52" s="5" t="s">
        <v>701</v>
      </c>
      <c r="M52" s="5" t="s">
        <v>46</v>
      </c>
      <c r="N52" s="5" t="s">
        <v>56</v>
      </c>
      <c r="O52" s="6" t="s">
        <v>702</v>
      </c>
      <c r="P52" s="5" t="s">
        <v>47</v>
      </c>
      <c r="Q52" s="5" t="s">
        <v>64</v>
      </c>
      <c r="R52" s="5" t="s">
        <v>70</v>
      </c>
      <c r="S52" s="5" t="s">
        <v>703</v>
      </c>
      <c r="T52" s="5" t="s">
        <v>704</v>
      </c>
      <c r="U52" s="5" t="s">
        <v>705</v>
      </c>
      <c r="V52" s="8">
        <v>14</v>
      </c>
      <c r="W52" s="9">
        <v>10027</v>
      </c>
      <c r="X52" s="5" t="s">
        <v>35</v>
      </c>
      <c r="Y52" s="10">
        <v>100</v>
      </c>
      <c r="Z52" s="10">
        <v>18.18</v>
      </c>
      <c r="AA52" s="10">
        <v>18.18</v>
      </c>
      <c r="AB52" s="10">
        <v>27418</v>
      </c>
      <c r="AC52" s="10">
        <v>1643</v>
      </c>
      <c r="AD52" s="10">
        <v>0</v>
      </c>
      <c r="AE52" s="11">
        <v>29061</v>
      </c>
      <c r="AF52" s="12" t="s">
        <v>130</v>
      </c>
      <c r="AG52" s="14" t="s">
        <v>706</v>
      </c>
      <c r="AH52" s="14" t="s">
        <v>65</v>
      </c>
      <c r="AI52" s="14" t="s">
        <v>49</v>
      </c>
      <c r="AJ52" s="14">
        <v>20000</v>
      </c>
      <c r="AK52" s="14">
        <v>15000</v>
      </c>
      <c r="AL52" s="13">
        <v>18</v>
      </c>
      <c r="AM52" s="13">
        <v>15</v>
      </c>
      <c r="AN52" s="14" t="s">
        <v>388</v>
      </c>
      <c r="AO52" s="14" t="s">
        <v>389</v>
      </c>
      <c r="AP52" s="14" t="s">
        <v>46</v>
      </c>
      <c r="AQ52" s="18">
        <v>202605</v>
      </c>
      <c r="AR52" s="22" t="s">
        <v>158</v>
      </c>
      <c r="AS52" s="22"/>
      <c r="AT52" s="12" t="s">
        <v>130</v>
      </c>
      <c r="AU52" s="22" t="s">
        <v>275</v>
      </c>
      <c r="AV52" s="22" t="s">
        <v>363</v>
      </c>
    </row>
    <row r="53" spans="1:48" x14ac:dyDescent="0.3">
      <c r="A53" s="5" t="s">
        <v>30</v>
      </c>
      <c r="B53" s="5" t="s">
        <v>54</v>
      </c>
      <c r="C53" s="5" t="s">
        <v>425</v>
      </c>
      <c r="D53" s="5" t="s">
        <v>32</v>
      </c>
      <c r="E53" s="6" t="s">
        <v>33</v>
      </c>
      <c r="F53" s="7">
        <v>124</v>
      </c>
      <c r="G53" s="5" t="s">
        <v>426</v>
      </c>
      <c r="H53" s="5" t="s">
        <v>707</v>
      </c>
      <c r="I53" s="5" t="s">
        <v>708</v>
      </c>
      <c r="J53" s="5" t="s">
        <v>34</v>
      </c>
      <c r="K53" s="5" t="s">
        <v>183</v>
      </c>
      <c r="L53" s="5" t="s">
        <v>252</v>
      </c>
      <c r="M53" s="5" t="s">
        <v>46</v>
      </c>
      <c r="N53" s="5" t="s">
        <v>56</v>
      </c>
      <c r="O53" s="6" t="e">
        <v>#N/A</v>
      </c>
      <c r="P53" s="5" t="s">
        <v>253</v>
      </c>
      <c r="Q53" s="5" t="s">
        <v>64</v>
      </c>
      <c r="R53" s="5" t="s">
        <v>143</v>
      </c>
      <c r="S53" s="5" t="s">
        <v>309</v>
      </c>
      <c r="T53" s="5" t="s">
        <v>370</v>
      </c>
      <c r="U53" s="5" t="s">
        <v>709</v>
      </c>
      <c r="V53" s="8">
        <v>34</v>
      </c>
      <c r="W53" s="9">
        <v>64058</v>
      </c>
      <c r="X53" s="5" t="s">
        <v>35</v>
      </c>
      <c r="Y53" s="10">
        <v>100</v>
      </c>
      <c r="Z53" s="10">
        <v>18.18</v>
      </c>
      <c r="AA53" s="10">
        <v>18.18</v>
      </c>
      <c r="AB53" s="10">
        <v>51215</v>
      </c>
      <c r="AC53" s="10">
        <v>10107</v>
      </c>
      <c r="AD53" s="10">
        <v>0</v>
      </c>
      <c r="AE53" s="11">
        <v>61322</v>
      </c>
      <c r="AF53" s="12" t="s">
        <v>184</v>
      </c>
      <c r="AG53" s="14" t="s">
        <v>178</v>
      </c>
      <c r="AH53" s="14" t="s">
        <v>65</v>
      </c>
      <c r="AI53" s="14" t="s">
        <v>138</v>
      </c>
      <c r="AJ53" s="14">
        <v>70000</v>
      </c>
      <c r="AK53" s="14">
        <v>65000</v>
      </c>
      <c r="AL53" s="13">
        <v>36</v>
      </c>
      <c r="AM53" s="13">
        <v>36</v>
      </c>
      <c r="AN53" s="14" t="s">
        <v>710</v>
      </c>
      <c r="AO53" s="14" t="s">
        <v>711</v>
      </c>
      <c r="AP53" s="14" t="s">
        <v>46</v>
      </c>
      <c r="AQ53" s="18">
        <v>202605</v>
      </c>
      <c r="AR53" s="22" t="s">
        <v>158</v>
      </c>
      <c r="AS53" s="22"/>
      <c r="AT53" s="12" t="s">
        <v>184</v>
      </c>
      <c r="AU53" s="22" t="s">
        <v>275</v>
      </c>
      <c r="AV53" s="22" t="s">
        <v>363</v>
      </c>
    </row>
    <row r="54" spans="1:48" x14ac:dyDescent="0.3">
      <c r="A54" s="5" t="s">
        <v>30</v>
      </c>
      <c r="B54" s="5" t="s">
        <v>54</v>
      </c>
      <c r="C54" s="5" t="s">
        <v>425</v>
      </c>
      <c r="D54" s="5" t="s">
        <v>32</v>
      </c>
      <c r="E54" s="6" t="s">
        <v>33</v>
      </c>
      <c r="F54" s="7">
        <v>125</v>
      </c>
      <c r="G54" s="5" t="s">
        <v>426</v>
      </c>
      <c r="H54" s="5" t="s">
        <v>712</v>
      </c>
      <c r="I54" s="5" t="s">
        <v>713</v>
      </c>
      <c r="J54" s="5" t="s">
        <v>34</v>
      </c>
      <c r="K54" s="5" t="s">
        <v>42</v>
      </c>
      <c r="L54" s="5" t="s">
        <v>216</v>
      </c>
      <c r="M54" s="5" t="s">
        <v>188</v>
      </c>
      <c r="N54" s="5" t="s">
        <v>56</v>
      </c>
      <c r="O54" s="6" t="s">
        <v>714</v>
      </c>
      <c r="P54" s="5" t="s">
        <v>214</v>
      </c>
      <c r="Q54" s="5" t="s">
        <v>71</v>
      </c>
      <c r="R54" s="5" t="s">
        <v>74</v>
      </c>
      <c r="S54" s="5" t="s">
        <v>291</v>
      </c>
      <c r="T54" s="5" t="s">
        <v>366</v>
      </c>
      <c r="U54" s="5" t="s">
        <v>715</v>
      </c>
      <c r="V54" s="8">
        <v>15</v>
      </c>
      <c r="W54" s="9">
        <v>31237</v>
      </c>
      <c r="X54" s="5" t="s">
        <v>35</v>
      </c>
      <c r="Y54" s="10">
        <v>100</v>
      </c>
      <c r="Z54" s="10">
        <v>18.18</v>
      </c>
      <c r="AA54" s="10">
        <v>18.18</v>
      </c>
      <c r="AB54" s="10">
        <v>31271</v>
      </c>
      <c r="AC54" s="10">
        <v>7339</v>
      </c>
      <c r="AD54" s="10">
        <v>0</v>
      </c>
      <c r="AE54" s="11">
        <v>38610</v>
      </c>
      <c r="AF54" s="12" t="s">
        <v>44</v>
      </c>
      <c r="AG54" s="14" t="s">
        <v>185</v>
      </c>
      <c r="AH54" s="14" t="s">
        <v>72</v>
      </c>
      <c r="AI54" s="14" t="s">
        <v>49</v>
      </c>
      <c r="AJ54" s="14">
        <v>40000</v>
      </c>
      <c r="AK54" s="14">
        <v>35000</v>
      </c>
      <c r="AL54" s="13">
        <v>18</v>
      </c>
      <c r="AM54" s="13">
        <v>18</v>
      </c>
      <c r="AN54" s="14" t="s">
        <v>217</v>
      </c>
      <c r="AO54" s="14" t="s">
        <v>218</v>
      </c>
      <c r="AP54" s="14" t="s">
        <v>53</v>
      </c>
      <c r="AQ54" s="18">
        <v>202605</v>
      </c>
      <c r="AR54" s="22" t="s">
        <v>158</v>
      </c>
      <c r="AS54" s="22"/>
      <c r="AT54" s="12" t="s">
        <v>44</v>
      </c>
      <c r="AU54" s="22" t="s">
        <v>275</v>
      </c>
      <c r="AV54" s="22" t="s">
        <v>363</v>
      </c>
    </row>
    <row r="55" spans="1:48" x14ac:dyDescent="0.3">
      <c r="A55" s="5" t="s">
        <v>30</v>
      </c>
      <c r="B55" s="5" t="s">
        <v>54</v>
      </c>
      <c r="C55" s="5" t="s">
        <v>425</v>
      </c>
      <c r="D55" s="5" t="s">
        <v>32</v>
      </c>
      <c r="E55" s="6" t="s">
        <v>33</v>
      </c>
      <c r="F55" s="7">
        <v>126</v>
      </c>
      <c r="G55" s="5" t="s">
        <v>426</v>
      </c>
      <c r="H55" s="5" t="s">
        <v>716</v>
      </c>
      <c r="I55" s="5" t="s">
        <v>717</v>
      </c>
      <c r="J55" s="5" t="s">
        <v>34</v>
      </c>
      <c r="K55" s="5" t="s">
        <v>42</v>
      </c>
      <c r="L55" s="5" t="s">
        <v>216</v>
      </c>
      <c r="M55" s="5" t="s">
        <v>188</v>
      </c>
      <c r="N55" s="5" t="s">
        <v>56</v>
      </c>
      <c r="O55" s="6" t="s">
        <v>718</v>
      </c>
      <c r="P55" s="5" t="s">
        <v>214</v>
      </c>
      <c r="Q55" s="5" t="s">
        <v>64</v>
      </c>
      <c r="R55" s="5" t="s">
        <v>70</v>
      </c>
      <c r="S55" s="5" t="s">
        <v>719</v>
      </c>
      <c r="T55" s="5" t="s">
        <v>381</v>
      </c>
      <c r="U55" s="5" t="s">
        <v>720</v>
      </c>
      <c r="V55" s="8">
        <v>9</v>
      </c>
      <c r="W55" s="9">
        <v>38945</v>
      </c>
      <c r="X55" s="5" t="s">
        <v>35</v>
      </c>
      <c r="Y55" s="10">
        <v>100</v>
      </c>
      <c r="Z55" s="10">
        <v>18.18</v>
      </c>
      <c r="AA55" s="10">
        <v>18.18</v>
      </c>
      <c r="AB55" s="10">
        <v>31528</v>
      </c>
      <c r="AC55" s="10">
        <v>7339</v>
      </c>
      <c r="AD55" s="10">
        <v>0</v>
      </c>
      <c r="AE55" s="11">
        <v>38867</v>
      </c>
      <c r="AF55" s="12" t="s">
        <v>44</v>
      </c>
      <c r="AG55" s="14" t="s">
        <v>204</v>
      </c>
      <c r="AH55" s="14" t="s">
        <v>65</v>
      </c>
      <c r="AI55" s="14" t="s">
        <v>49</v>
      </c>
      <c r="AJ55" s="14">
        <v>40000</v>
      </c>
      <c r="AK55" s="14">
        <v>40000</v>
      </c>
      <c r="AL55" s="13">
        <v>12</v>
      </c>
      <c r="AM55" s="13">
        <v>12</v>
      </c>
      <c r="AN55" s="14" t="s">
        <v>217</v>
      </c>
      <c r="AO55" s="14" t="s">
        <v>218</v>
      </c>
      <c r="AP55" s="14" t="s">
        <v>53</v>
      </c>
      <c r="AQ55" s="18">
        <v>202605</v>
      </c>
      <c r="AR55" s="22" t="s">
        <v>158</v>
      </c>
      <c r="AS55" s="22"/>
      <c r="AT55" s="12" t="s">
        <v>44</v>
      </c>
      <c r="AU55" s="22" t="s">
        <v>275</v>
      </c>
      <c r="AV55" s="22" t="s">
        <v>363</v>
      </c>
    </row>
    <row r="56" spans="1:48" x14ac:dyDescent="0.3">
      <c r="A56" s="5" t="s">
        <v>30</v>
      </c>
      <c r="B56" s="5" t="s">
        <v>54</v>
      </c>
      <c r="C56" s="5" t="s">
        <v>425</v>
      </c>
      <c r="D56" s="5" t="s">
        <v>32</v>
      </c>
      <c r="E56" s="6" t="s">
        <v>33</v>
      </c>
      <c r="F56" s="7">
        <v>127</v>
      </c>
      <c r="G56" s="5" t="s">
        <v>426</v>
      </c>
      <c r="H56" s="5" t="s">
        <v>721</v>
      </c>
      <c r="I56" s="5" t="s">
        <v>722</v>
      </c>
      <c r="J56" s="5" t="s">
        <v>34</v>
      </c>
      <c r="K56" s="5" t="s">
        <v>42</v>
      </c>
      <c r="L56" s="5" t="s">
        <v>216</v>
      </c>
      <c r="M56" s="5" t="s">
        <v>188</v>
      </c>
      <c r="N56" s="5" t="s">
        <v>56</v>
      </c>
      <c r="O56" s="6" t="s">
        <v>723</v>
      </c>
      <c r="P56" s="5" t="s">
        <v>214</v>
      </c>
      <c r="Q56" s="5" t="s">
        <v>71</v>
      </c>
      <c r="R56" s="5" t="s">
        <v>223</v>
      </c>
      <c r="S56" s="5" t="s">
        <v>724</v>
      </c>
      <c r="T56" s="5" t="s">
        <v>381</v>
      </c>
      <c r="U56" s="5" t="s">
        <v>725</v>
      </c>
      <c r="V56" s="8">
        <v>8</v>
      </c>
      <c r="W56" s="9">
        <v>17962</v>
      </c>
      <c r="X56" s="5" t="s">
        <v>35</v>
      </c>
      <c r="Y56" s="10">
        <v>100</v>
      </c>
      <c r="Z56" s="10">
        <v>18.18</v>
      </c>
      <c r="AA56" s="10">
        <v>18.18</v>
      </c>
      <c r="AB56" s="10">
        <v>31271</v>
      </c>
      <c r="AC56" s="10">
        <v>6359</v>
      </c>
      <c r="AD56" s="10">
        <v>0</v>
      </c>
      <c r="AE56" s="11">
        <v>37630</v>
      </c>
      <c r="AF56" s="12" t="s">
        <v>44</v>
      </c>
      <c r="AG56" s="14" t="s">
        <v>726</v>
      </c>
      <c r="AH56" s="14" t="s">
        <v>72</v>
      </c>
      <c r="AI56" s="14" t="s">
        <v>49</v>
      </c>
      <c r="AJ56" s="14">
        <v>20000</v>
      </c>
      <c r="AK56" s="14">
        <v>20000</v>
      </c>
      <c r="AL56" s="13">
        <v>12</v>
      </c>
      <c r="AM56" s="13">
        <v>9</v>
      </c>
      <c r="AN56" s="14" t="s">
        <v>217</v>
      </c>
      <c r="AO56" s="14" t="s">
        <v>218</v>
      </c>
      <c r="AP56" s="14" t="s">
        <v>53</v>
      </c>
      <c r="AQ56" s="18">
        <v>202605</v>
      </c>
      <c r="AR56" s="22" t="s">
        <v>158</v>
      </c>
      <c r="AS56" s="22"/>
      <c r="AT56" s="12" t="s">
        <v>44</v>
      </c>
      <c r="AU56" s="22" t="s">
        <v>275</v>
      </c>
      <c r="AV56" s="22" t="s">
        <v>363</v>
      </c>
    </row>
    <row r="57" spans="1:48" x14ac:dyDescent="0.3">
      <c r="A57" s="5" t="s">
        <v>30</v>
      </c>
      <c r="B57" s="5" t="s">
        <v>54</v>
      </c>
      <c r="C57" s="5" t="s">
        <v>425</v>
      </c>
      <c r="D57" s="5" t="s">
        <v>32</v>
      </c>
      <c r="E57" s="6" t="s">
        <v>33</v>
      </c>
      <c r="F57" s="7">
        <v>128</v>
      </c>
      <c r="G57" s="5" t="s">
        <v>426</v>
      </c>
      <c r="H57" s="5" t="s">
        <v>727</v>
      </c>
      <c r="I57" s="5" t="s">
        <v>728</v>
      </c>
      <c r="J57" s="5" t="s">
        <v>34</v>
      </c>
      <c r="K57" s="5" t="s">
        <v>42</v>
      </c>
      <c r="L57" s="5" t="s">
        <v>216</v>
      </c>
      <c r="M57" s="5" t="s">
        <v>188</v>
      </c>
      <c r="N57" s="5" t="s">
        <v>56</v>
      </c>
      <c r="O57" s="6" t="s">
        <v>729</v>
      </c>
      <c r="P57" s="5" t="s">
        <v>214</v>
      </c>
      <c r="Q57" s="5" t="s">
        <v>71</v>
      </c>
      <c r="R57" s="5" t="s">
        <v>227</v>
      </c>
      <c r="S57" s="5" t="s">
        <v>730</v>
      </c>
      <c r="T57" s="5" t="s">
        <v>731</v>
      </c>
      <c r="U57" s="5" t="s">
        <v>732</v>
      </c>
      <c r="V57" s="8">
        <v>9</v>
      </c>
      <c r="W57" s="9">
        <v>45619</v>
      </c>
      <c r="X57" s="5" t="s">
        <v>35</v>
      </c>
      <c r="Y57" s="10">
        <v>100</v>
      </c>
      <c r="Z57" s="10">
        <v>18.18</v>
      </c>
      <c r="AA57" s="10">
        <v>18.18</v>
      </c>
      <c r="AB57" s="10">
        <v>31528</v>
      </c>
      <c r="AC57" s="10">
        <v>7339</v>
      </c>
      <c r="AD57" s="10">
        <v>0</v>
      </c>
      <c r="AE57" s="11">
        <v>38867</v>
      </c>
      <c r="AF57" s="12" t="s">
        <v>44</v>
      </c>
      <c r="AG57" s="14" t="s">
        <v>726</v>
      </c>
      <c r="AH57" s="14" t="s">
        <v>72</v>
      </c>
      <c r="AI57" s="14" t="s">
        <v>49</v>
      </c>
      <c r="AJ57" s="14">
        <v>50000</v>
      </c>
      <c r="AK57" s="14">
        <v>50000</v>
      </c>
      <c r="AL57" s="13">
        <v>12</v>
      </c>
      <c r="AM57" s="13">
        <v>12</v>
      </c>
      <c r="AN57" s="14" t="s">
        <v>217</v>
      </c>
      <c r="AO57" s="14" t="s">
        <v>218</v>
      </c>
      <c r="AP57" s="14" t="s">
        <v>53</v>
      </c>
      <c r="AQ57" s="18">
        <v>202605</v>
      </c>
      <c r="AR57" s="22" t="s">
        <v>158</v>
      </c>
      <c r="AS57" s="22"/>
      <c r="AT57" s="12" t="s">
        <v>44</v>
      </c>
      <c r="AU57" s="22" t="s">
        <v>275</v>
      </c>
      <c r="AV57" s="22" t="s">
        <v>363</v>
      </c>
    </row>
    <row r="58" spans="1:48" x14ac:dyDescent="0.3">
      <c r="A58" s="5" t="s">
        <v>30</v>
      </c>
      <c r="B58" s="5" t="s">
        <v>54</v>
      </c>
      <c r="C58" s="5" t="s">
        <v>425</v>
      </c>
      <c r="D58" s="5" t="s">
        <v>32</v>
      </c>
      <c r="E58" s="6" t="s">
        <v>33</v>
      </c>
      <c r="F58" s="7">
        <v>129</v>
      </c>
      <c r="G58" s="5" t="s">
        <v>426</v>
      </c>
      <c r="H58" s="5" t="s">
        <v>733</v>
      </c>
      <c r="I58" s="5" t="s">
        <v>734</v>
      </c>
      <c r="J58" s="5" t="s">
        <v>34</v>
      </c>
      <c r="K58" s="5" t="s">
        <v>131</v>
      </c>
      <c r="L58" s="5" t="s">
        <v>263</v>
      </c>
      <c r="M58" s="5" t="s">
        <v>53</v>
      </c>
      <c r="N58" s="5" t="s">
        <v>56</v>
      </c>
      <c r="O58" s="6" t="s">
        <v>735</v>
      </c>
      <c r="P58" s="5" t="s">
        <v>73</v>
      </c>
      <c r="Q58" s="5" t="s">
        <v>64</v>
      </c>
      <c r="R58" s="5" t="s">
        <v>70</v>
      </c>
      <c r="S58" s="5" t="s">
        <v>736</v>
      </c>
      <c r="T58" s="5" t="s">
        <v>509</v>
      </c>
      <c r="U58" s="5" t="s">
        <v>737</v>
      </c>
      <c r="V58" s="8">
        <v>14</v>
      </c>
      <c r="W58" s="9">
        <v>25145</v>
      </c>
      <c r="X58" s="5" t="s">
        <v>35</v>
      </c>
      <c r="Y58" s="10">
        <v>100</v>
      </c>
      <c r="Z58" s="10">
        <v>18.18</v>
      </c>
      <c r="AA58" s="10">
        <v>18.18</v>
      </c>
      <c r="AB58" s="10">
        <v>22530</v>
      </c>
      <c r="AC58" s="10">
        <v>7241</v>
      </c>
      <c r="AD58" s="10">
        <v>0</v>
      </c>
      <c r="AE58" s="11">
        <v>29771</v>
      </c>
      <c r="AF58" s="12" t="s">
        <v>132</v>
      </c>
      <c r="AG58" s="14" t="s">
        <v>233</v>
      </c>
      <c r="AH58" s="14" t="s">
        <v>65</v>
      </c>
      <c r="AI58" s="14" t="s">
        <v>49</v>
      </c>
      <c r="AJ58" s="14">
        <v>30000</v>
      </c>
      <c r="AK58" s="14">
        <v>30000</v>
      </c>
      <c r="AL58" s="13">
        <v>18</v>
      </c>
      <c r="AM58" s="13">
        <v>15</v>
      </c>
      <c r="AN58" s="14" t="s">
        <v>75</v>
      </c>
      <c r="AO58" s="14" t="s">
        <v>76</v>
      </c>
      <c r="AP58" s="14" t="s">
        <v>53</v>
      </c>
      <c r="AQ58" s="18">
        <v>202605</v>
      </c>
      <c r="AR58" s="22" t="s">
        <v>158</v>
      </c>
      <c r="AS58" s="22"/>
      <c r="AT58" s="12" t="s">
        <v>132</v>
      </c>
      <c r="AU58" s="22" t="s">
        <v>275</v>
      </c>
      <c r="AV58" s="22" t="s">
        <v>363</v>
      </c>
    </row>
    <row r="59" spans="1:48" x14ac:dyDescent="0.3">
      <c r="A59" s="5" t="s">
        <v>30</v>
      </c>
      <c r="B59" s="5" t="s">
        <v>54</v>
      </c>
      <c r="C59" s="5" t="s">
        <v>425</v>
      </c>
      <c r="D59" s="5" t="s">
        <v>32</v>
      </c>
      <c r="E59" s="6" t="s">
        <v>33</v>
      </c>
      <c r="F59" s="7">
        <v>130</v>
      </c>
      <c r="G59" s="5" t="s">
        <v>426</v>
      </c>
      <c r="H59" s="5" t="s">
        <v>738</v>
      </c>
      <c r="I59" s="5" t="s">
        <v>739</v>
      </c>
      <c r="J59" s="5" t="s">
        <v>34</v>
      </c>
      <c r="K59" s="5" t="s">
        <v>60</v>
      </c>
      <c r="L59" s="5" t="s">
        <v>330</v>
      </c>
      <c r="M59" s="5" t="s">
        <v>53</v>
      </c>
      <c r="N59" s="5" t="s">
        <v>56</v>
      </c>
      <c r="O59" s="6" t="s">
        <v>740</v>
      </c>
      <c r="P59" s="5" t="s">
        <v>73</v>
      </c>
      <c r="Q59" s="5" t="s">
        <v>61</v>
      </c>
      <c r="R59" s="5" t="s">
        <v>334</v>
      </c>
      <c r="S59" s="5" t="s">
        <v>277</v>
      </c>
      <c r="T59" s="5" t="s">
        <v>369</v>
      </c>
      <c r="U59" s="5" t="s">
        <v>304</v>
      </c>
      <c r="V59" s="8">
        <v>2</v>
      </c>
      <c r="W59" s="9">
        <v>16</v>
      </c>
      <c r="X59" s="5" t="s">
        <v>35</v>
      </c>
      <c r="Y59" s="10">
        <v>100</v>
      </c>
      <c r="Z59" s="10">
        <v>18.18</v>
      </c>
      <c r="AA59" s="10">
        <v>18.18</v>
      </c>
      <c r="AB59" s="10">
        <v>35576</v>
      </c>
      <c r="AC59" s="10">
        <v>24638</v>
      </c>
      <c r="AD59" s="10">
        <v>0</v>
      </c>
      <c r="AE59" s="11">
        <v>60214</v>
      </c>
      <c r="AF59" s="12" t="s">
        <v>62</v>
      </c>
      <c r="AG59" s="14" t="s">
        <v>336</v>
      </c>
      <c r="AH59" s="14" t="s">
        <v>63</v>
      </c>
      <c r="AI59" s="14" t="s">
        <v>335</v>
      </c>
      <c r="AJ59" s="14">
        <v>10000</v>
      </c>
      <c r="AK59" s="14">
        <v>5000</v>
      </c>
      <c r="AL59" s="13">
        <v>6</v>
      </c>
      <c r="AM59" s="13">
        <v>3</v>
      </c>
      <c r="AN59" s="14" t="s">
        <v>77</v>
      </c>
      <c r="AO59" s="14" t="s">
        <v>78</v>
      </c>
      <c r="AP59" s="14" t="s">
        <v>53</v>
      </c>
      <c r="AQ59" s="18">
        <v>202605</v>
      </c>
      <c r="AR59" s="22" t="s">
        <v>158</v>
      </c>
      <c r="AS59" s="22"/>
      <c r="AT59" s="12" t="s">
        <v>62</v>
      </c>
      <c r="AU59" s="22" t="s">
        <v>275</v>
      </c>
      <c r="AV59" s="22" t="s">
        <v>363</v>
      </c>
    </row>
    <row r="60" spans="1:48" x14ac:dyDescent="0.3">
      <c r="A60" s="5" t="s">
        <v>30</v>
      </c>
      <c r="B60" s="5" t="s">
        <v>54</v>
      </c>
      <c r="C60" s="5" t="s">
        <v>425</v>
      </c>
      <c r="D60" s="5" t="s">
        <v>32</v>
      </c>
      <c r="E60" s="6" t="s">
        <v>33</v>
      </c>
      <c r="F60" s="7">
        <v>135</v>
      </c>
      <c r="G60" s="5" t="s">
        <v>426</v>
      </c>
      <c r="H60" s="5" t="s">
        <v>741</v>
      </c>
      <c r="I60" s="5" t="s">
        <v>742</v>
      </c>
      <c r="J60" s="5" t="s">
        <v>34</v>
      </c>
      <c r="K60" s="5" t="s">
        <v>42</v>
      </c>
      <c r="L60" s="5" t="s">
        <v>161</v>
      </c>
      <c r="M60" s="5" t="s">
        <v>162</v>
      </c>
      <c r="N60" s="5" t="s">
        <v>56</v>
      </c>
      <c r="O60" s="6" t="s">
        <v>743</v>
      </c>
      <c r="P60" s="5" t="s">
        <v>163</v>
      </c>
      <c r="Q60" s="5" t="s">
        <v>71</v>
      </c>
      <c r="R60" s="5" t="s">
        <v>70</v>
      </c>
      <c r="S60" s="5" t="s">
        <v>744</v>
      </c>
      <c r="T60" s="5" t="s">
        <v>465</v>
      </c>
      <c r="U60" s="5" t="s">
        <v>745</v>
      </c>
      <c r="V60" s="8">
        <v>24</v>
      </c>
      <c r="W60" s="9">
        <v>30734</v>
      </c>
      <c r="X60" s="5" t="s">
        <v>35</v>
      </c>
      <c r="Y60" s="10">
        <v>100</v>
      </c>
      <c r="Z60" s="10">
        <v>18.18</v>
      </c>
      <c r="AA60" s="10">
        <v>18.18</v>
      </c>
      <c r="AB60" s="10">
        <v>8194</v>
      </c>
      <c r="AC60" s="10">
        <v>1051</v>
      </c>
      <c r="AD60" s="10">
        <v>0</v>
      </c>
      <c r="AE60" s="11">
        <v>9245</v>
      </c>
      <c r="AF60" s="12" t="s">
        <v>44</v>
      </c>
      <c r="AG60" s="14" t="s">
        <v>167</v>
      </c>
      <c r="AH60" s="14" t="s">
        <v>72</v>
      </c>
      <c r="AI60" s="14" t="s">
        <v>49</v>
      </c>
      <c r="AJ60" s="14">
        <v>40000</v>
      </c>
      <c r="AK60" s="14">
        <v>35000</v>
      </c>
      <c r="AL60" s="13">
        <v>30</v>
      </c>
      <c r="AM60" s="13">
        <v>27</v>
      </c>
      <c r="AN60" s="14" t="s">
        <v>240</v>
      </c>
      <c r="AO60" s="14" t="s">
        <v>331</v>
      </c>
      <c r="AP60" s="14" t="s">
        <v>162</v>
      </c>
      <c r="AQ60" s="18">
        <v>202605</v>
      </c>
      <c r="AR60" s="22" t="s">
        <v>158</v>
      </c>
      <c r="AS60" s="22"/>
      <c r="AT60" s="12" t="s">
        <v>44</v>
      </c>
      <c r="AU60" s="22" t="s">
        <v>275</v>
      </c>
      <c r="AV60" s="22" t="s">
        <v>363</v>
      </c>
    </row>
    <row r="61" spans="1:48" x14ac:dyDescent="0.3">
      <c r="A61" s="5" t="s">
        <v>30</v>
      </c>
      <c r="B61" s="5" t="s">
        <v>54</v>
      </c>
      <c r="C61" s="5" t="s">
        <v>425</v>
      </c>
      <c r="D61" s="5" t="s">
        <v>32</v>
      </c>
      <c r="E61" s="6" t="s">
        <v>33</v>
      </c>
      <c r="F61" s="7">
        <v>136</v>
      </c>
      <c r="G61" s="5" t="s">
        <v>426</v>
      </c>
      <c r="H61" s="5" t="s">
        <v>746</v>
      </c>
      <c r="I61" s="5" t="s">
        <v>747</v>
      </c>
      <c r="J61" s="5" t="s">
        <v>34</v>
      </c>
      <c r="K61" s="5" t="s">
        <v>42</v>
      </c>
      <c r="L61" s="5" t="s">
        <v>161</v>
      </c>
      <c r="M61" s="5" t="s">
        <v>162</v>
      </c>
      <c r="N61" s="5" t="s">
        <v>56</v>
      </c>
      <c r="O61" s="6" t="s">
        <v>748</v>
      </c>
      <c r="P61" s="5" t="s">
        <v>163</v>
      </c>
      <c r="Q61" s="5" t="s">
        <v>71</v>
      </c>
      <c r="R61" s="5" t="s">
        <v>70</v>
      </c>
      <c r="S61" s="5" t="s">
        <v>749</v>
      </c>
      <c r="T61" s="5" t="s">
        <v>750</v>
      </c>
      <c r="U61" s="5" t="s">
        <v>407</v>
      </c>
      <c r="V61" s="8">
        <v>8</v>
      </c>
      <c r="W61" s="9">
        <v>20549</v>
      </c>
      <c r="X61" s="5" t="s">
        <v>35</v>
      </c>
      <c r="Y61" s="10">
        <v>100</v>
      </c>
      <c r="Z61" s="10">
        <v>18.18</v>
      </c>
      <c r="AA61" s="10">
        <v>18.18</v>
      </c>
      <c r="AB61" s="10">
        <v>8194</v>
      </c>
      <c r="AC61" s="10">
        <v>1051</v>
      </c>
      <c r="AD61" s="10">
        <v>0</v>
      </c>
      <c r="AE61" s="11">
        <v>9245</v>
      </c>
      <c r="AF61" s="12" t="s">
        <v>44</v>
      </c>
      <c r="AG61" s="14" t="s">
        <v>320</v>
      </c>
      <c r="AH61" s="14" t="s">
        <v>72</v>
      </c>
      <c r="AI61" s="14" t="s">
        <v>49</v>
      </c>
      <c r="AJ61" s="14">
        <v>30000</v>
      </c>
      <c r="AK61" s="14">
        <v>25000</v>
      </c>
      <c r="AL61" s="13">
        <v>12</v>
      </c>
      <c r="AM61" s="13">
        <v>9</v>
      </c>
      <c r="AN61" s="14" t="s">
        <v>240</v>
      </c>
      <c r="AO61" s="14" t="s">
        <v>331</v>
      </c>
      <c r="AP61" s="14" t="s">
        <v>162</v>
      </c>
      <c r="AQ61" s="18">
        <v>202605</v>
      </c>
      <c r="AR61" s="22" t="s">
        <v>158</v>
      </c>
      <c r="AS61" s="22"/>
      <c r="AT61" s="12" t="s">
        <v>44</v>
      </c>
      <c r="AU61" s="22" t="s">
        <v>275</v>
      </c>
      <c r="AV61" s="22" t="s">
        <v>363</v>
      </c>
    </row>
    <row r="62" spans="1:48" x14ac:dyDescent="0.3">
      <c r="A62" s="5" t="s">
        <v>30</v>
      </c>
      <c r="B62" s="5" t="s">
        <v>54</v>
      </c>
      <c r="C62" s="5" t="s">
        <v>425</v>
      </c>
      <c r="D62" s="5" t="s">
        <v>32</v>
      </c>
      <c r="E62" s="6" t="s">
        <v>33</v>
      </c>
      <c r="F62" s="7">
        <v>137</v>
      </c>
      <c r="G62" s="5" t="s">
        <v>426</v>
      </c>
      <c r="H62" s="5" t="s">
        <v>751</v>
      </c>
      <c r="I62" s="5" t="s">
        <v>752</v>
      </c>
      <c r="J62" s="5" t="s">
        <v>34</v>
      </c>
      <c r="K62" s="5" t="s">
        <v>183</v>
      </c>
      <c r="L62" s="5" t="s">
        <v>753</v>
      </c>
      <c r="M62" s="5" t="s">
        <v>754</v>
      </c>
      <c r="N62" s="5" t="s">
        <v>56</v>
      </c>
      <c r="O62" s="6" t="e">
        <v>#N/A</v>
      </c>
      <c r="P62" s="5" t="s">
        <v>755</v>
      </c>
      <c r="Q62" s="5" t="s">
        <v>64</v>
      </c>
      <c r="R62" s="5" t="s">
        <v>416</v>
      </c>
      <c r="S62" s="5" t="s">
        <v>756</v>
      </c>
      <c r="T62" s="5" t="s">
        <v>380</v>
      </c>
      <c r="U62" s="5" t="s">
        <v>757</v>
      </c>
      <c r="V62" s="8">
        <v>28</v>
      </c>
      <c r="W62" s="9">
        <v>69696</v>
      </c>
      <c r="X62" s="5" t="s">
        <v>35</v>
      </c>
      <c r="Y62" s="10">
        <v>100</v>
      </c>
      <c r="Z62" s="10">
        <v>18.18</v>
      </c>
      <c r="AA62" s="10">
        <v>18.18</v>
      </c>
      <c r="AB62" s="10">
        <v>53651</v>
      </c>
      <c r="AC62" s="10">
        <v>67322</v>
      </c>
      <c r="AD62" s="10">
        <v>0</v>
      </c>
      <c r="AE62" s="11">
        <v>120973</v>
      </c>
      <c r="AF62" s="12" t="s">
        <v>184</v>
      </c>
      <c r="AG62" s="14" t="s">
        <v>225</v>
      </c>
      <c r="AH62" s="14" t="s">
        <v>65</v>
      </c>
      <c r="AI62" s="14" t="s">
        <v>120</v>
      </c>
      <c r="AJ62" s="14">
        <v>70000</v>
      </c>
      <c r="AK62" s="14">
        <v>70000</v>
      </c>
      <c r="AL62" s="13">
        <v>30</v>
      </c>
      <c r="AM62" s="13">
        <v>30</v>
      </c>
      <c r="AN62" s="14" t="s">
        <v>58</v>
      </c>
      <c r="AO62" s="14" t="s">
        <v>59</v>
      </c>
      <c r="AP62" s="14" t="s">
        <v>754</v>
      </c>
      <c r="AQ62" s="18">
        <v>202605</v>
      </c>
      <c r="AR62" s="22" t="s">
        <v>158</v>
      </c>
      <c r="AS62" s="22"/>
      <c r="AT62" s="12" t="s">
        <v>184</v>
      </c>
      <c r="AU62" s="22" t="s">
        <v>275</v>
      </c>
      <c r="AV62" s="22" t="s">
        <v>363</v>
      </c>
    </row>
    <row r="63" spans="1:48" x14ac:dyDescent="0.3">
      <c r="A63" s="5" t="s">
        <v>30</v>
      </c>
      <c r="B63" s="5" t="s">
        <v>54</v>
      </c>
      <c r="C63" s="5" t="s">
        <v>525</v>
      </c>
      <c r="D63" s="5" t="s">
        <v>32</v>
      </c>
      <c r="E63" s="6" t="s">
        <v>33</v>
      </c>
      <c r="F63" s="7">
        <v>1</v>
      </c>
      <c r="G63" s="5" t="s">
        <v>361</v>
      </c>
      <c r="H63" s="5" t="s">
        <v>758</v>
      </c>
      <c r="I63" s="5" t="s">
        <v>759</v>
      </c>
      <c r="J63" s="5" t="s">
        <v>34</v>
      </c>
      <c r="K63" s="5" t="s">
        <v>42</v>
      </c>
      <c r="L63" s="5" t="s">
        <v>266</v>
      </c>
      <c r="M63" s="5" t="s">
        <v>43</v>
      </c>
      <c r="N63" s="5" t="s">
        <v>56</v>
      </c>
      <c r="O63" s="6" t="e">
        <v>#N/A</v>
      </c>
      <c r="P63" s="5" t="s">
        <v>47</v>
      </c>
      <c r="Q63" s="5" t="s">
        <v>61</v>
      </c>
      <c r="R63" s="5" t="s">
        <v>265</v>
      </c>
      <c r="S63" s="5" t="s">
        <v>760</v>
      </c>
      <c r="T63" s="5" t="s">
        <v>324</v>
      </c>
      <c r="U63" s="5" t="s">
        <v>761</v>
      </c>
      <c r="V63" s="8">
        <v>15</v>
      </c>
      <c r="W63" s="9">
        <v>10764</v>
      </c>
      <c r="X63" s="5" t="s">
        <v>35</v>
      </c>
      <c r="Y63" s="10">
        <v>100</v>
      </c>
      <c r="Z63" s="10">
        <v>18.18</v>
      </c>
      <c r="AA63" s="10">
        <v>18.18</v>
      </c>
      <c r="AB63" s="10">
        <v>367133</v>
      </c>
      <c r="AC63" s="10">
        <v>2254</v>
      </c>
      <c r="AD63" s="10">
        <v>0</v>
      </c>
      <c r="AE63" s="11">
        <v>369387</v>
      </c>
      <c r="AF63" s="12" t="s">
        <v>44</v>
      </c>
      <c r="AG63" s="14" t="s">
        <v>326</v>
      </c>
      <c r="AH63" s="14" t="s">
        <v>63</v>
      </c>
      <c r="AI63" s="14" t="s">
        <v>49</v>
      </c>
      <c r="AJ63" s="14">
        <v>20000</v>
      </c>
      <c r="AK63" s="14">
        <v>15000</v>
      </c>
      <c r="AL63" s="13">
        <v>18</v>
      </c>
      <c r="AM63" s="13">
        <v>18</v>
      </c>
      <c r="AN63" s="14" t="s">
        <v>332</v>
      </c>
      <c r="AO63" s="14" t="s">
        <v>333</v>
      </c>
      <c r="AP63" s="14" t="s">
        <v>46</v>
      </c>
      <c r="AQ63" s="18">
        <v>202605</v>
      </c>
      <c r="AR63" s="14" t="s">
        <v>417</v>
      </c>
      <c r="AS63" s="14" t="s">
        <v>671</v>
      </c>
      <c r="AT63" s="12" t="s">
        <v>44</v>
      </c>
      <c r="AU63" s="22" t="s">
        <v>275</v>
      </c>
      <c r="AV63" s="22" t="s">
        <v>363</v>
      </c>
    </row>
    <row r="64" spans="1:48" x14ac:dyDescent="0.3">
      <c r="A64" s="5" t="s">
        <v>80</v>
      </c>
      <c r="B64" s="5" t="s">
        <v>31</v>
      </c>
      <c r="C64" s="5" t="s">
        <v>425</v>
      </c>
      <c r="D64" s="5" t="s">
        <v>81</v>
      </c>
      <c r="E64" s="6" t="s">
        <v>33</v>
      </c>
      <c r="F64" s="7">
        <v>1</v>
      </c>
      <c r="G64" s="5" t="s">
        <v>426</v>
      </c>
      <c r="H64" s="5" t="s">
        <v>762</v>
      </c>
      <c r="I64" s="5" t="s">
        <v>763</v>
      </c>
      <c r="J64" s="5" t="s">
        <v>34</v>
      </c>
      <c r="K64" s="5" t="s">
        <v>38</v>
      </c>
      <c r="L64" s="5" t="s">
        <v>764</v>
      </c>
      <c r="M64" s="5" t="s">
        <v>765</v>
      </c>
      <c r="N64" s="5" t="s">
        <v>56</v>
      </c>
      <c r="O64" s="6" t="s">
        <v>766</v>
      </c>
      <c r="P64" s="5" t="s">
        <v>767</v>
      </c>
      <c r="Q64" s="5"/>
      <c r="R64" s="5" t="s">
        <v>140</v>
      </c>
      <c r="S64" s="5" t="s">
        <v>768</v>
      </c>
      <c r="T64" s="5" t="s">
        <v>376</v>
      </c>
      <c r="U64" s="5" t="s">
        <v>769</v>
      </c>
      <c r="V64" s="8">
        <v>42</v>
      </c>
      <c r="W64" s="9">
        <v>26986</v>
      </c>
      <c r="X64" s="5" t="s">
        <v>35</v>
      </c>
      <c r="Y64" s="10">
        <v>100</v>
      </c>
      <c r="Z64" s="10">
        <v>27.72</v>
      </c>
      <c r="AA64" s="10">
        <v>27.72</v>
      </c>
      <c r="AB64" s="10">
        <v>279922</v>
      </c>
      <c r="AC64" s="10">
        <v>108247</v>
      </c>
      <c r="AD64" s="10">
        <v>0</v>
      </c>
      <c r="AE64" s="11">
        <v>388169</v>
      </c>
      <c r="AF64" s="12" t="s">
        <v>41</v>
      </c>
      <c r="AG64" s="14" t="s">
        <v>134</v>
      </c>
      <c r="AH64" s="14" t="e">
        <v>#N/A</v>
      </c>
      <c r="AI64" s="14" t="s">
        <v>36</v>
      </c>
      <c r="AJ64" s="14">
        <v>30000</v>
      </c>
      <c r="AK64" s="14">
        <v>30000</v>
      </c>
      <c r="AL64" s="13">
        <v>48</v>
      </c>
      <c r="AM64" s="13">
        <v>45</v>
      </c>
      <c r="AN64" s="14" t="s">
        <v>770</v>
      </c>
      <c r="AO64" s="14" t="s">
        <v>86</v>
      </c>
      <c r="AP64" s="14" t="s">
        <v>37</v>
      </c>
      <c r="AQ64" s="18">
        <v>202605</v>
      </c>
      <c r="AR64" s="14" t="s">
        <v>147</v>
      </c>
      <c r="AS64" s="17" t="s">
        <v>159</v>
      </c>
      <c r="AT64" s="17" t="s">
        <v>159</v>
      </c>
      <c r="AU64" s="22" t="s">
        <v>275</v>
      </c>
      <c r="AV64" s="22" t="s">
        <v>363</v>
      </c>
    </row>
    <row r="65" spans="1:48" x14ac:dyDescent="0.3">
      <c r="A65" s="5" t="s">
        <v>80</v>
      </c>
      <c r="B65" s="5" t="s">
        <v>31</v>
      </c>
      <c r="C65" s="5" t="s">
        <v>425</v>
      </c>
      <c r="D65" s="5" t="s">
        <v>81</v>
      </c>
      <c r="E65" s="6" t="s">
        <v>33</v>
      </c>
      <c r="F65" s="7">
        <v>2</v>
      </c>
      <c r="G65" s="5" t="s">
        <v>426</v>
      </c>
      <c r="H65" s="5" t="s">
        <v>771</v>
      </c>
      <c r="I65" s="5" t="s">
        <v>772</v>
      </c>
      <c r="J65" s="5" t="s">
        <v>34</v>
      </c>
      <c r="K65" s="5" t="s">
        <v>82</v>
      </c>
      <c r="L65" s="5" t="s">
        <v>412</v>
      </c>
      <c r="M65" s="5" t="s">
        <v>413</v>
      </c>
      <c r="N65" s="5" t="s">
        <v>56</v>
      </c>
      <c r="O65" s="6" t="s">
        <v>773</v>
      </c>
      <c r="P65" s="5" t="s">
        <v>415</v>
      </c>
      <c r="Q65" s="5"/>
      <c r="R65" s="5" t="s">
        <v>70</v>
      </c>
      <c r="S65" s="5" t="s">
        <v>774</v>
      </c>
      <c r="T65" s="5" t="s">
        <v>704</v>
      </c>
      <c r="U65" s="5" t="s">
        <v>775</v>
      </c>
      <c r="V65" s="8">
        <v>15</v>
      </c>
      <c r="W65" s="9">
        <v>4137</v>
      </c>
      <c r="X65" s="5" t="s">
        <v>35</v>
      </c>
      <c r="Y65" s="10">
        <v>100</v>
      </c>
      <c r="Z65" s="10">
        <v>27.72</v>
      </c>
      <c r="AA65" s="10">
        <v>27.72</v>
      </c>
      <c r="AB65" s="10">
        <v>323325</v>
      </c>
      <c r="AC65" s="10">
        <v>78600</v>
      </c>
      <c r="AD65" s="10">
        <v>0</v>
      </c>
      <c r="AE65" s="11">
        <v>401925</v>
      </c>
      <c r="AF65" s="12" t="s">
        <v>414</v>
      </c>
      <c r="AG65" s="14" t="s">
        <v>258</v>
      </c>
      <c r="AH65" s="14" t="e">
        <v>#N/A</v>
      </c>
      <c r="AI65" s="14" t="s">
        <v>49</v>
      </c>
      <c r="AJ65" s="14">
        <v>10000</v>
      </c>
      <c r="AK65" s="14">
        <v>5000</v>
      </c>
      <c r="AL65" s="13">
        <v>18</v>
      </c>
      <c r="AM65" s="13">
        <v>18</v>
      </c>
      <c r="AN65" s="14" t="s">
        <v>776</v>
      </c>
      <c r="AO65" s="14" t="s">
        <v>86</v>
      </c>
      <c r="AP65" s="14" t="s">
        <v>37</v>
      </c>
      <c r="AQ65" s="18">
        <v>202605</v>
      </c>
      <c r="AR65" s="14" t="s">
        <v>147</v>
      </c>
      <c r="AS65" s="17" t="s">
        <v>159</v>
      </c>
      <c r="AT65" s="17" t="s">
        <v>159</v>
      </c>
      <c r="AU65" s="22" t="s">
        <v>275</v>
      </c>
      <c r="AV65" s="22" t="s">
        <v>363</v>
      </c>
    </row>
    <row r="66" spans="1:48" x14ac:dyDescent="0.3">
      <c r="A66" s="5" t="s">
        <v>80</v>
      </c>
      <c r="B66" s="5" t="s">
        <v>54</v>
      </c>
      <c r="C66" s="5" t="s">
        <v>425</v>
      </c>
      <c r="D66" s="5" t="s">
        <v>81</v>
      </c>
      <c r="E66" s="6" t="s">
        <v>33</v>
      </c>
      <c r="F66" s="7">
        <v>1</v>
      </c>
      <c r="G66" s="5" t="s">
        <v>426</v>
      </c>
      <c r="H66" s="5" t="s">
        <v>777</v>
      </c>
      <c r="I66" s="5" t="s">
        <v>778</v>
      </c>
      <c r="J66" s="5" t="s">
        <v>34</v>
      </c>
      <c r="K66" s="5" t="s">
        <v>244</v>
      </c>
      <c r="L66" s="5" t="s">
        <v>337</v>
      </c>
      <c r="M66" s="5" t="s">
        <v>338</v>
      </c>
      <c r="N66" s="5" t="s">
        <v>56</v>
      </c>
      <c r="O66" s="6" t="s">
        <v>779</v>
      </c>
      <c r="P66" s="5" t="s">
        <v>127</v>
      </c>
      <c r="Q66" s="5" t="s">
        <v>61</v>
      </c>
      <c r="R66" s="5" t="s">
        <v>264</v>
      </c>
      <c r="S66" s="5" t="s">
        <v>780</v>
      </c>
      <c r="T66" s="5" t="s">
        <v>781</v>
      </c>
      <c r="U66" s="5" t="s">
        <v>339</v>
      </c>
      <c r="V66" s="8">
        <v>6</v>
      </c>
      <c r="W66" s="9">
        <v>9740</v>
      </c>
      <c r="X66" s="5" t="s">
        <v>35</v>
      </c>
      <c r="Y66" s="10">
        <v>100</v>
      </c>
      <c r="Z66" s="10">
        <v>19.8</v>
      </c>
      <c r="AA66" s="10">
        <v>19.8</v>
      </c>
      <c r="AB66" s="10">
        <v>65568</v>
      </c>
      <c r="AC66" s="10">
        <v>20047</v>
      </c>
      <c r="AD66" s="10">
        <v>0</v>
      </c>
      <c r="AE66" s="11">
        <v>85615</v>
      </c>
      <c r="AF66" s="12" t="s">
        <v>245</v>
      </c>
      <c r="AG66" s="14" t="s">
        <v>328</v>
      </c>
      <c r="AH66" s="14" t="s">
        <v>63</v>
      </c>
      <c r="AI66" s="14" t="s">
        <v>36</v>
      </c>
      <c r="AJ66" s="14">
        <v>10000</v>
      </c>
      <c r="AK66" s="14">
        <v>10000</v>
      </c>
      <c r="AL66" s="13">
        <v>12</v>
      </c>
      <c r="AM66" s="13">
        <v>9</v>
      </c>
      <c r="AN66" s="14" t="s">
        <v>297</v>
      </c>
      <c r="AO66" s="14" t="s">
        <v>298</v>
      </c>
      <c r="AP66" s="14" t="s">
        <v>37</v>
      </c>
      <c r="AQ66" s="18">
        <v>202605</v>
      </c>
      <c r="AR66" s="14" t="s">
        <v>147</v>
      </c>
      <c r="AS66" s="14" t="s">
        <v>174</v>
      </c>
      <c r="AT66" s="14" t="s">
        <v>174</v>
      </c>
      <c r="AU66" s="22" t="s">
        <v>275</v>
      </c>
      <c r="AV66" s="22" t="s">
        <v>363</v>
      </c>
    </row>
    <row r="67" spans="1:48" x14ac:dyDescent="0.3">
      <c r="A67" s="5" t="s">
        <v>80</v>
      </c>
      <c r="B67" s="5" t="s">
        <v>54</v>
      </c>
      <c r="C67" s="5" t="s">
        <v>425</v>
      </c>
      <c r="D67" s="5" t="s">
        <v>81</v>
      </c>
      <c r="E67" s="6" t="s">
        <v>33</v>
      </c>
      <c r="F67" s="7">
        <v>2</v>
      </c>
      <c r="G67" s="5" t="s">
        <v>426</v>
      </c>
      <c r="H67" s="5" t="s">
        <v>782</v>
      </c>
      <c r="I67" s="5" t="s">
        <v>783</v>
      </c>
      <c r="J67" s="5" t="s">
        <v>34</v>
      </c>
      <c r="K67" s="5" t="s">
        <v>141</v>
      </c>
      <c r="L67" s="5" t="s">
        <v>168</v>
      </c>
      <c r="M67" s="5" t="s">
        <v>39</v>
      </c>
      <c r="N67" s="5" t="s">
        <v>56</v>
      </c>
      <c r="O67" s="6" t="s">
        <v>784</v>
      </c>
      <c r="P67" s="5" t="s">
        <v>127</v>
      </c>
      <c r="Q67" s="5" t="s">
        <v>281</v>
      </c>
      <c r="R67" s="5" t="s">
        <v>139</v>
      </c>
      <c r="S67" s="5" t="s">
        <v>785</v>
      </c>
      <c r="T67" s="5" t="s">
        <v>786</v>
      </c>
      <c r="U67" s="5" t="s">
        <v>787</v>
      </c>
      <c r="V67" s="8">
        <v>44</v>
      </c>
      <c r="W67" s="9">
        <v>68352</v>
      </c>
      <c r="X67" s="5" t="s">
        <v>35</v>
      </c>
      <c r="Y67" s="10">
        <v>100</v>
      </c>
      <c r="Z67" s="10">
        <v>19.8</v>
      </c>
      <c r="AA67" s="10">
        <v>19.8</v>
      </c>
      <c r="AB67" s="10">
        <v>187860</v>
      </c>
      <c r="AC67" s="10">
        <v>106338</v>
      </c>
      <c r="AD67" s="10">
        <v>0</v>
      </c>
      <c r="AE67" s="11">
        <v>294198</v>
      </c>
      <c r="AF67" s="12" t="s">
        <v>142</v>
      </c>
      <c r="AG67" s="14" t="s">
        <v>128</v>
      </c>
      <c r="AH67" s="14" t="s">
        <v>283</v>
      </c>
      <c r="AI67" s="14" t="s">
        <v>36</v>
      </c>
      <c r="AJ67" s="14">
        <v>70000</v>
      </c>
      <c r="AK67" s="14">
        <v>70000</v>
      </c>
      <c r="AL67" s="13">
        <v>48</v>
      </c>
      <c r="AM67" s="13">
        <v>45</v>
      </c>
      <c r="AN67" s="14" t="s">
        <v>58</v>
      </c>
      <c r="AO67" s="14" t="s">
        <v>59</v>
      </c>
      <c r="AP67" s="14" t="s">
        <v>37</v>
      </c>
      <c r="AQ67" s="18">
        <v>202605</v>
      </c>
      <c r="AR67" s="14" t="s">
        <v>147</v>
      </c>
      <c r="AS67" s="14" t="s">
        <v>157</v>
      </c>
      <c r="AT67" s="12" t="s">
        <v>157</v>
      </c>
      <c r="AU67" s="22" t="s">
        <v>275</v>
      </c>
      <c r="AV67" s="22" t="s">
        <v>363</v>
      </c>
    </row>
    <row r="68" spans="1:48" x14ac:dyDescent="0.3">
      <c r="A68" s="5" t="s">
        <v>80</v>
      </c>
      <c r="B68" s="5" t="s">
        <v>54</v>
      </c>
      <c r="C68" s="5" t="s">
        <v>425</v>
      </c>
      <c r="D68" s="5" t="s">
        <v>81</v>
      </c>
      <c r="E68" s="6" t="s">
        <v>33</v>
      </c>
      <c r="F68" s="7">
        <v>3</v>
      </c>
      <c r="G68" s="5" t="s">
        <v>426</v>
      </c>
      <c r="H68" s="5" t="s">
        <v>788</v>
      </c>
      <c r="I68" s="5" t="s">
        <v>789</v>
      </c>
      <c r="J68" s="5" t="s">
        <v>34</v>
      </c>
      <c r="K68" s="5" t="s">
        <v>208</v>
      </c>
      <c r="L68" s="5" t="s">
        <v>790</v>
      </c>
      <c r="M68" s="5" t="s">
        <v>39</v>
      </c>
      <c r="N68" s="5" t="s">
        <v>56</v>
      </c>
      <c r="O68" s="6" t="s">
        <v>791</v>
      </c>
      <c r="P68" s="5" t="s">
        <v>154</v>
      </c>
      <c r="Q68" s="5" t="s">
        <v>64</v>
      </c>
      <c r="R68" s="5" t="s">
        <v>139</v>
      </c>
      <c r="S68" s="5" t="s">
        <v>792</v>
      </c>
      <c r="T68" s="5" t="s">
        <v>306</v>
      </c>
      <c r="U68" s="5" t="s">
        <v>793</v>
      </c>
      <c r="V68" s="8">
        <v>53</v>
      </c>
      <c r="W68" s="9">
        <v>75038</v>
      </c>
      <c r="X68" s="5" t="s">
        <v>35</v>
      </c>
      <c r="Y68" s="10">
        <v>100</v>
      </c>
      <c r="Z68" s="10">
        <v>19.8</v>
      </c>
      <c r="AA68" s="10">
        <v>19.8</v>
      </c>
      <c r="AB68" s="10">
        <v>0</v>
      </c>
      <c r="AC68" s="10">
        <v>0</v>
      </c>
      <c r="AD68" s="10">
        <v>80393</v>
      </c>
      <c r="AE68" s="11">
        <v>80393</v>
      </c>
      <c r="AF68" s="12" t="s">
        <v>411</v>
      </c>
      <c r="AG68" s="14" t="s">
        <v>231</v>
      </c>
      <c r="AH68" s="14" t="s">
        <v>65</v>
      </c>
      <c r="AI68" s="14" t="s">
        <v>36</v>
      </c>
      <c r="AJ68" s="14">
        <v>80000</v>
      </c>
      <c r="AK68" s="14">
        <v>80000</v>
      </c>
      <c r="AL68" s="13">
        <v>54</v>
      </c>
      <c r="AM68" s="13">
        <v>54</v>
      </c>
      <c r="AN68" s="14" t="s">
        <v>58</v>
      </c>
      <c r="AO68" s="14" t="s">
        <v>59</v>
      </c>
      <c r="AP68" s="14" t="s">
        <v>37</v>
      </c>
      <c r="AQ68" s="18">
        <v>202605</v>
      </c>
      <c r="AR68" s="14" t="s">
        <v>147</v>
      </c>
      <c r="AS68" s="14" t="s">
        <v>157</v>
      </c>
      <c r="AT68" s="12" t="s">
        <v>157</v>
      </c>
      <c r="AU68" s="22" t="s">
        <v>275</v>
      </c>
      <c r="AV68" s="22" t="s">
        <v>363</v>
      </c>
    </row>
    <row r="69" spans="1:48" x14ac:dyDescent="0.3">
      <c r="A69" s="5" t="s">
        <v>80</v>
      </c>
      <c r="B69" s="5" t="s">
        <v>54</v>
      </c>
      <c r="C69" s="5" t="s">
        <v>425</v>
      </c>
      <c r="D69" s="5" t="s">
        <v>81</v>
      </c>
      <c r="E69" s="6" t="s">
        <v>33</v>
      </c>
      <c r="F69" s="7">
        <v>4</v>
      </c>
      <c r="G69" s="5" t="s">
        <v>426</v>
      </c>
      <c r="H69" s="5" t="s">
        <v>794</v>
      </c>
      <c r="I69" s="5" t="s">
        <v>789</v>
      </c>
      <c r="J69" s="5" t="s">
        <v>34</v>
      </c>
      <c r="K69" s="5" t="s">
        <v>208</v>
      </c>
      <c r="L69" s="5" t="s">
        <v>790</v>
      </c>
      <c r="M69" s="5" t="s">
        <v>39</v>
      </c>
      <c r="N69" s="5" t="s">
        <v>56</v>
      </c>
      <c r="O69" s="6" t="s">
        <v>791</v>
      </c>
      <c r="P69" s="5" t="s">
        <v>127</v>
      </c>
      <c r="Q69" s="5" t="s">
        <v>64</v>
      </c>
      <c r="R69" s="5" t="s">
        <v>139</v>
      </c>
      <c r="S69" s="5" t="s">
        <v>792</v>
      </c>
      <c r="T69" s="5" t="s">
        <v>306</v>
      </c>
      <c r="U69" s="5" t="s">
        <v>793</v>
      </c>
      <c r="V69" s="8">
        <v>53</v>
      </c>
      <c r="W69" s="9">
        <v>75038</v>
      </c>
      <c r="X69" s="5" t="s">
        <v>35</v>
      </c>
      <c r="Y69" s="10">
        <v>100</v>
      </c>
      <c r="Z69" s="10">
        <v>19.8</v>
      </c>
      <c r="AA69" s="10">
        <v>19.8</v>
      </c>
      <c r="AB69" s="10">
        <v>177046</v>
      </c>
      <c r="AC69" s="10">
        <v>120072</v>
      </c>
      <c r="AD69" s="10">
        <v>0</v>
      </c>
      <c r="AE69" s="11">
        <v>297118</v>
      </c>
      <c r="AF69" s="12" t="s">
        <v>411</v>
      </c>
      <c r="AG69" s="14" t="s">
        <v>231</v>
      </c>
      <c r="AH69" s="14" t="s">
        <v>65</v>
      </c>
      <c r="AI69" s="14" t="s">
        <v>36</v>
      </c>
      <c r="AJ69" s="14">
        <v>80000</v>
      </c>
      <c r="AK69" s="14">
        <v>80000</v>
      </c>
      <c r="AL69" s="13">
        <v>54</v>
      </c>
      <c r="AM69" s="13">
        <v>54</v>
      </c>
      <c r="AN69" s="14" t="s">
        <v>58</v>
      </c>
      <c r="AO69" s="14" t="s">
        <v>59</v>
      </c>
      <c r="AP69" s="14" t="s">
        <v>37</v>
      </c>
      <c r="AQ69" s="18">
        <v>202605</v>
      </c>
      <c r="AR69" s="14" t="s">
        <v>147</v>
      </c>
      <c r="AS69" s="14" t="s">
        <v>157</v>
      </c>
      <c r="AT69" s="12" t="s">
        <v>157</v>
      </c>
      <c r="AU69" s="22" t="s">
        <v>275</v>
      </c>
      <c r="AV69" s="22" t="s">
        <v>363</v>
      </c>
    </row>
    <row r="70" spans="1:48" x14ac:dyDescent="0.3">
      <c r="A70" s="5" t="s">
        <v>80</v>
      </c>
      <c r="B70" s="5" t="s">
        <v>54</v>
      </c>
      <c r="C70" s="5" t="s">
        <v>425</v>
      </c>
      <c r="D70" s="5" t="s">
        <v>81</v>
      </c>
      <c r="E70" s="6" t="s">
        <v>33</v>
      </c>
      <c r="F70" s="7">
        <v>5</v>
      </c>
      <c r="G70" s="5" t="s">
        <v>426</v>
      </c>
      <c r="H70" s="5" t="s">
        <v>795</v>
      </c>
      <c r="I70" s="5" t="s">
        <v>796</v>
      </c>
      <c r="J70" s="5" t="s">
        <v>34</v>
      </c>
      <c r="K70" s="5" t="s">
        <v>190</v>
      </c>
      <c r="L70" s="5" t="s">
        <v>209</v>
      </c>
      <c r="M70" s="5" t="s">
        <v>39</v>
      </c>
      <c r="N70" s="5" t="s">
        <v>56</v>
      </c>
      <c r="O70" s="6" t="s">
        <v>797</v>
      </c>
      <c r="P70" s="5" t="s">
        <v>127</v>
      </c>
      <c r="Q70" s="5" t="s">
        <v>64</v>
      </c>
      <c r="R70" s="5" t="s">
        <v>139</v>
      </c>
      <c r="S70" s="5" t="s">
        <v>798</v>
      </c>
      <c r="T70" s="5" t="s">
        <v>311</v>
      </c>
      <c r="U70" s="5" t="s">
        <v>799</v>
      </c>
      <c r="V70" s="8">
        <v>45</v>
      </c>
      <c r="W70" s="9">
        <v>77354</v>
      </c>
      <c r="X70" s="5" t="s">
        <v>35</v>
      </c>
      <c r="Y70" s="10">
        <v>100</v>
      </c>
      <c r="Z70" s="10">
        <v>19.8</v>
      </c>
      <c r="AA70" s="10">
        <v>19.8</v>
      </c>
      <c r="AB70" s="10">
        <v>196581</v>
      </c>
      <c r="AC70" s="10">
        <v>103355</v>
      </c>
      <c r="AD70" s="10">
        <v>0</v>
      </c>
      <c r="AE70" s="11">
        <v>299936</v>
      </c>
      <c r="AF70" s="12" t="s">
        <v>191</v>
      </c>
      <c r="AG70" s="14" t="s">
        <v>126</v>
      </c>
      <c r="AH70" s="14" t="s">
        <v>65</v>
      </c>
      <c r="AI70" s="14" t="s">
        <v>36</v>
      </c>
      <c r="AJ70" s="14">
        <v>80000</v>
      </c>
      <c r="AK70" s="14">
        <v>80000</v>
      </c>
      <c r="AL70" s="13">
        <v>48</v>
      </c>
      <c r="AM70" s="13">
        <v>48</v>
      </c>
      <c r="AN70" s="14" t="s">
        <v>58</v>
      </c>
      <c r="AO70" s="14" t="s">
        <v>59</v>
      </c>
      <c r="AP70" s="14" t="s">
        <v>37</v>
      </c>
      <c r="AQ70" s="18">
        <v>202605</v>
      </c>
      <c r="AR70" s="14" t="s">
        <v>147</v>
      </c>
      <c r="AS70" s="14" t="s">
        <v>174</v>
      </c>
      <c r="AT70" s="14" t="s">
        <v>174</v>
      </c>
      <c r="AU70" s="22" t="s">
        <v>275</v>
      </c>
      <c r="AV70" s="22" t="s">
        <v>363</v>
      </c>
    </row>
    <row r="71" spans="1:48" x14ac:dyDescent="0.3">
      <c r="A71" s="5" t="s">
        <v>80</v>
      </c>
      <c r="B71" s="5" t="s">
        <v>54</v>
      </c>
      <c r="C71" s="5" t="s">
        <v>425</v>
      </c>
      <c r="D71" s="5" t="s">
        <v>81</v>
      </c>
      <c r="E71" s="6" t="s">
        <v>33</v>
      </c>
      <c r="F71" s="7">
        <v>6</v>
      </c>
      <c r="G71" s="5" t="s">
        <v>426</v>
      </c>
      <c r="H71" s="5" t="s">
        <v>800</v>
      </c>
      <c r="I71" s="5" t="s">
        <v>796</v>
      </c>
      <c r="J71" s="5" t="s">
        <v>34</v>
      </c>
      <c r="K71" s="5" t="s">
        <v>190</v>
      </c>
      <c r="L71" s="5" t="s">
        <v>209</v>
      </c>
      <c r="M71" s="5" t="s">
        <v>39</v>
      </c>
      <c r="N71" s="5" t="s">
        <v>56</v>
      </c>
      <c r="O71" s="6" t="s">
        <v>797</v>
      </c>
      <c r="P71" s="5" t="s">
        <v>154</v>
      </c>
      <c r="Q71" s="5" t="s">
        <v>64</v>
      </c>
      <c r="R71" s="5" t="s">
        <v>139</v>
      </c>
      <c r="S71" s="5" t="s">
        <v>798</v>
      </c>
      <c r="T71" s="5" t="s">
        <v>311</v>
      </c>
      <c r="U71" s="5" t="s">
        <v>799</v>
      </c>
      <c r="V71" s="8">
        <v>45</v>
      </c>
      <c r="W71" s="9">
        <v>77354</v>
      </c>
      <c r="X71" s="5" t="s">
        <v>35</v>
      </c>
      <c r="Y71" s="10">
        <v>100</v>
      </c>
      <c r="Z71" s="10">
        <v>19.8</v>
      </c>
      <c r="AA71" s="10">
        <v>19.8</v>
      </c>
      <c r="AB71" s="10">
        <v>0</v>
      </c>
      <c r="AC71" s="10">
        <v>0</v>
      </c>
      <c r="AD71" s="10">
        <v>120590</v>
      </c>
      <c r="AE71" s="11">
        <v>120590</v>
      </c>
      <c r="AF71" s="12" t="s">
        <v>191</v>
      </c>
      <c r="AG71" s="14" t="s">
        <v>126</v>
      </c>
      <c r="AH71" s="14" t="s">
        <v>65</v>
      </c>
      <c r="AI71" s="14" t="s">
        <v>36</v>
      </c>
      <c r="AJ71" s="14">
        <v>80000</v>
      </c>
      <c r="AK71" s="14">
        <v>80000</v>
      </c>
      <c r="AL71" s="13">
        <v>48</v>
      </c>
      <c r="AM71" s="13">
        <v>48</v>
      </c>
      <c r="AN71" s="14" t="s">
        <v>58</v>
      </c>
      <c r="AO71" s="14" t="s">
        <v>59</v>
      </c>
      <c r="AP71" s="14" t="s">
        <v>37</v>
      </c>
      <c r="AQ71" s="18">
        <v>202605</v>
      </c>
      <c r="AR71" s="14" t="s">
        <v>147</v>
      </c>
      <c r="AS71" s="14" t="s">
        <v>174</v>
      </c>
      <c r="AT71" s="14" t="s">
        <v>174</v>
      </c>
      <c r="AU71" s="22" t="s">
        <v>275</v>
      </c>
      <c r="AV71" s="22" t="s">
        <v>363</v>
      </c>
    </row>
    <row r="72" spans="1:48" x14ac:dyDescent="0.3">
      <c r="A72" s="5" t="s">
        <v>80</v>
      </c>
      <c r="B72" s="5" t="s">
        <v>54</v>
      </c>
      <c r="C72" s="5" t="s">
        <v>425</v>
      </c>
      <c r="D72" s="5" t="s">
        <v>81</v>
      </c>
      <c r="E72" s="6" t="s">
        <v>33</v>
      </c>
      <c r="F72" s="7">
        <v>7</v>
      </c>
      <c r="G72" s="5" t="s">
        <v>426</v>
      </c>
      <c r="H72" s="5" t="s">
        <v>801</v>
      </c>
      <c r="I72" s="5" t="s">
        <v>802</v>
      </c>
      <c r="J72" s="5" t="s">
        <v>34</v>
      </c>
      <c r="K72" s="5" t="s">
        <v>190</v>
      </c>
      <c r="L72" s="5" t="s">
        <v>209</v>
      </c>
      <c r="M72" s="5" t="s">
        <v>39</v>
      </c>
      <c r="N72" s="5" t="s">
        <v>56</v>
      </c>
      <c r="O72" s="6" t="s">
        <v>803</v>
      </c>
      <c r="P72" s="5" t="s">
        <v>127</v>
      </c>
      <c r="Q72" s="5" t="s">
        <v>122</v>
      </c>
      <c r="R72" s="5" t="s">
        <v>139</v>
      </c>
      <c r="S72" s="5" t="s">
        <v>804</v>
      </c>
      <c r="T72" s="5" t="s">
        <v>381</v>
      </c>
      <c r="U72" s="5" t="s">
        <v>805</v>
      </c>
      <c r="V72" s="8">
        <v>29</v>
      </c>
      <c r="W72" s="9">
        <v>38618</v>
      </c>
      <c r="X72" s="5" t="s">
        <v>35</v>
      </c>
      <c r="Y72" s="10">
        <v>100</v>
      </c>
      <c r="Z72" s="10">
        <v>19.8</v>
      </c>
      <c r="AA72" s="10">
        <v>19.8</v>
      </c>
      <c r="AB72" s="10">
        <v>262136</v>
      </c>
      <c r="AC72" s="10">
        <v>260104</v>
      </c>
      <c r="AD72" s="10">
        <v>0</v>
      </c>
      <c r="AE72" s="11">
        <v>522240</v>
      </c>
      <c r="AF72" s="12" t="s">
        <v>191</v>
      </c>
      <c r="AG72" s="14" t="s">
        <v>178</v>
      </c>
      <c r="AH72" s="14" t="s">
        <v>123</v>
      </c>
      <c r="AI72" s="14" t="s">
        <v>36</v>
      </c>
      <c r="AJ72" s="14">
        <v>40000</v>
      </c>
      <c r="AK72" s="14">
        <v>40000</v>
      </c>
      <c r="AL72" s="13">
        <v>30</v>
      </c>
      <c r="AM72" s="13">
        <v>30</v>
      </c>
      <c r="AN72" s="14" t="s">
        <v>75</v>
      </c>
      <c r="AO72" s="14" t="s">
        <v>76</v>
      </c>
      <c r="AP72" s="14" t="s">
        <v>37</v>
      </c>
      <c r="AQ72" s="18">
        <v>202605</v>
      </c>
      <c r="AR72" s="14" t="s">
        <v>147</v>
      </c>
      <c r="AS72" s="14" t="s">
        <v>174</v>
      </c>
      <c r="AT72" s="14" t="s">
        <v>174</v>
      </c>
      <c r="AU72" s="22" t="s">
        <v>275</v>
      </c>
      <c r="AV72" s="22" t="s">
        <v>363</v>
      </c>
    </row>
    <row r="73" spans="1:48" x14ac:dyDescent="0.3">
      <c r="A73" s="5" t="s">
        <v>80</v>
      </c>
      <c r="B73" s="5" t="s">
        <v>54</v>
      </c>
      <c r="C73" s="5" t="s">
        <v>425</v>
      </c>
      <c r="D73" s="5" t="s">
        <v>81</v>
      </c>
      <c r="E73" s="6" t="s">
        <v>33</v>
      </c>
      <c r="F73" s="7">
        <v>8</v>
      </c>
      <c r="G73" s="5" t="s">
        <v>426</v>
      </c>
      <c r="H73" s="5" t="s">
        <v>806</v>
      </c>
      <c r="I73" s="5" t="s">
        <v>807</v>
      </c>
      <c r="J73" s="5" t="s">
        <v>34</v>
      </c>
      <c r="K73" s="5" t="s">
        <v>38</v>
      </c>
      <c r="L73" s="5" t="s">
        <v>808</v>
      </c>
      <c r="M73" s="5" t="s">
        <v>84</v>
      </c>
      <c r="N73" s="5" t="s">
        <v>56</v>
      </c>
      <c r="O73" s="6" t="s">
        <v>809</v>
      </c>
      <c r="P73" s="5" t="s">
        <v>210</v>
      </c>
      <c r="Q73" s="5" t="s">
        <v>64</v>
      </c>
      <c r="R73" s="5" t="s">
        <v>139</v>
      </c>
      <c r="S73" s="5" t="s">
        <v>810</v>
      </c>
      <c r="T73" s="5" t="s">
        <v>288</v>
      </c>
      <c r="U73" s="5" t="s">
        <v>811</v>
      </c>
      <c r="V73" s="8">
        <v>23</v>
      </c>
      <c r="W73" s="9">
        <v>81263</v>
      </c>
      <c r="X73" s="5" t="s">
        <v>35</v>
      </c>
      <c r="Y73" s="10">
        <v>100</v>
      </c>
      <c r="Z73" s="10">
        <v>19.8</v>
      </c>
      <c r="AA73" s="10">
        <v>19.8</v>
      </c>
      <c r="AB73" s="10">
        <v>156473</v>
      </c>
      <c r="AC73" s="10">
        <v>80666</v>
      </c>
      <c r="AD73" s="10">
        <v>0</v>
      </c>
      <c r="AE73" s="11">
        <v>237139</v>
      </c>
      <c r="AF73" s="12" t="s">
        <v>41</v>
      </c>
      <c r="AG73" s="14" t="s">
        <v>250</v>
      </c>
      <c r="AH73" s="14" t="s">
        <v>65</v>
      </c>
      <c r="AI73" s="14" t="s">
        <v>36</v>
      </c>
      <c r="AJ73" s="14">
        <v>90000</v>
      </c>
      <c r="AK73" s="14">
        <v>85000</v>
      </c>
      <c r="AL73" s="13">
        <v>24</v>
      </c>
      <c r="AM73" s="13">
        <v>24</v>
      </c>
      <c r="AN73" s="14" t="s">
        <v>398</v>
      </c>
      <c r="AO73" s="14" t="s">
        <v>399</v>
      </c>
      <c r="AP73" s="14" t="s">
        <v>37</v>
      </c>
      <c r="AQ73" s="18">
        <v>202605</v>
      </c>
      <c r="AR73" s="14" t="s">
        <v>147</v>
      </c>
      <c r="AS73" s="17" t="s">
        <v>159</v>
      </c>
      <c r="AT73" s="17" t="s">
        <v>159</v>
      </c>
      <c r="AU73" s="22" t="s">
        <v>275</v>
      </c>
      <c r="AV73" s="22" t="s">
        <v>363</v>
      </c>
    </row>
    <row r="74" spans="1:48" x14ac:dyDescent="0.3">
      <c r="A74" s="5" t="s">
        <v>341</v>
      </c>
      <c r="B74" s="5" t="s">
        <v>812</v>
      </c>
      <c r="C74" s="5" t="s">
        <v>813</v>
      </c>
      <c r="D74" s="5" t="s">
        <v>81</v>
      </c>
      <c r="E74" s="6" t="s">
        <v>33</v>
      </c>
      <c r="F74" s="7">
        <v>1</v>
      </c>
      <c r="G74" s="5" t="s">
        <v>426</v>
      </c>
      <c r="H74" s="5" t="s">
        <v>814</v>
      </c>
      <c r="I74" s="5" t="s">
        <v>815</v>
      </c>
      <c r="J74" s="5" t="s">
        <v>34</v>
      </c>
      <c r="K74" s="5" t="s">
        <v>342</v>
      </c>
      <c r="L74" s="5" t="s">
        <v>343</v>
      </c>
      <c r="M74" s="5" t="s">
        <v>344</v>
      </c>
      <c r="N74" s="5" t="s">
        <v>56</v>
      </c>
      <c r="O74" s="6" t="e">
        <v>#N/A</v>
      </c>
      <c r="P74" s="5" t="s">
        <v>345</v>
      </c>
      <c r="Q74" s="5" t="s">
        <v>71</v>
      </c>
      <c r="R74" s="5" t="s">
        <v>139</v>
      </c>
      <c r="S74" s="5" t="s">
        <v>816</v>
      </c>
      <c r="T74" s="5" t="s">
        <v>817</v>
      </c>
      <c r="U74" s="5" t="s">
        <v>818</v>
      </c>
      <c r="V74" s="8">
        <v>48</v>
      </c>
      <c r="W74" s="9">
        <v>99651</v>
      </c>
      <c r="X74" s="5" t="s">
        <v>35</v>
      </c>
      <c r="Y74" s="10">
        <v>100</v>
      </c>
      <c r="Z74" s="10">
        <v>19.8</v>
      </c>
      <c r="AA74" s="10">
        <v>19.8</v>
      </c>
      <c r="AB74" s="10">
        <v>115916</v>
      </c>
      <c r="AC74" s="10">
        <v>40934</v>
      </c>
      <c r="AD74" s="10">
        <v>0</v>
      </c>
      <c r="AE74" s="11">
        <v>156850</v>
      </c>
      <c r="AF74" s="12" t="s">
        <v>346</v>
      </c>
      <c r="AG74" s="14" t="s">
        <v>301</v>
      </c>
      <c r="AH74" s="14" t="s">
        <v>72</v>
      </c>
      <c r="AI74" s="14" t="s">
        <v>36</v>
      </c>
      <c r="AJ74" s="14">
        <v>100000</v>
      </c>
      <c r="AK74" s="14">
        <v>100000</v>
      </c>
      <c r="AL74" s="13">
        <v>54</v>
      </c>
      <c r="AM74" s="13">
        <v>51</v>
      </c>
      <c r="AN74" s="14" t="s">
        <v>332</v>
      </c>
      <c r="AO74" s="14" t="s">
        <v>86</v>
      </c>
      <c r="AP74" s="14" t="s">
        <v>37</v>
      </c>
      <c r="AQ74" s="18">
        <v>202605</v>
      </c>
      <c r="AR74" s="14" t="s">
        <v>147</v>
      </c>
      <c r="AS74" s="14" t="s">
        <v>347</v>
      </c>
      <c r="AT74" s="14" t="s">
        <v>347</v>
      </c>
      <c r="AU74" s="22" t="s">
        <v>275</v>
      </c>
      <c r="AV74" s="22" t="s">
        <v>363</v>
      </c>
    </row>
    <row r="75" spans="1:48" x14ac:dyDescent="0.3">
      <c r="A75" s="5" t="s">
        <v>341</v>
      </c>
      <c r="B75" s="5" t="s">
        <v>812</v>
      </c>
      <c r="C75" s="5" t="s">
        <v>813</v>
      </c>
      <c r="D75" s="5" t="s">
        <v>81</v>
      </c>
      <c r="E75" s="6" t="s">
        <v>33</v>
      </c>
      <c r="F75" s="7">
        <v>2</v>
      </c>
      <c r="G75" s="5" t="s">
        <v>426</v>
      </c>
      <c r="H75" s="5" t="s">
        <v>819</v>
      </c>
      <c r="I75" s="5" t="s">
        <v>820</v>
      </c>
      <c r="J75" s="5" t="s">
        <v>34</v>
      </c>
      <c r="K75" s="5" t="s">
        <v>342</v>
      </c>
      <c r="L75" s="5" t="s">
        <v>343</v>
      </c>
      <c r="M75" s="5" t="s">
        <v>344</v>
      </c>
      <c r="N75" s="5" t="s">
        <v>56</v>
      </c>
      <c r="O75" s="6" t="e">
        <v>#N/A</v>
      </c>
      <c r="P75" s="5" t="s">
        <v>345</v>
      </c>
      <c r="Q75" s="5" t="s">
        <v>71</v>
      </c>
      <c r="R75" s="5" t="s">
        <v>139</v>
      </c>
      <c r="S75" s="5" t="s">
        <v>821</v>
      </c>
      <c r="T75" s="5" t="s">
        <v>460</v>
      </c>
      <c r="U75" s="5" t="s">
        <v>822</v>
      </c>
      <c r="V75" s="8">
        <v>41</v>
      </c>
      <c r="W75" s="9">
        <v>70698</v>
      </c>
      <c r="X75" s="5" t="s">
        <v>35</v>
      </c>
      <c r="Y75" s="10">
        <v>100</v>
      </c>
      <c r="Z75" s="10">
        <v>19.8</v>
      </c>
      <c r="AA75" s="10">
        <v>19.8</v>
      </c>
      <c r="AB75" s="10">
        <v>125522</v>
      </c>
      <c r="AC75" s="10">
        <v>33666</v>
      </c>
      <c r="AD75" s="10">
        <v>0</v>
      </c>
      <c r="AE75" s="11">
        <v>159188</v>
      </c>
      <c r="AF75" s="12" t="s">
        <v>346</v>
      </c>
      <c r="AG75" s="14" t="s">
        <v>189</v>
      </c>
      <c r="AH75" s="14" t="s">
        <v>72</v>
      </c>
      <c r="AI75" s="14" t="s">
        <v>36</v>
      </c>
      <c r="AJ75" s="14">
        <v>80000</v>
      </c>
      <c r="AK75" s="14">
        <v>75000</v>
      </c>
      <c r="AL75" s="13">
        <v>42</v>
      </c>
      <c r="AM75" s="13">
        <v>42</v>
      </c>
      <c r="AN75" s="14" t="s">
        <v>332</v>
      </c>
      <c r="AO75" s="14" t="s">
        <v>86</v>
      </c>
      <c r="AP75" s="14" t="s">
        <v>37</v>
      </c>
      <c r="AQ75" s="18">
        <v>202605</v>
      </c>
      <c r="AR75" s="14" t="s">
        <v>147</v>
      </c>
      <c r="AS75" s="14" t="s">
        <v>347</v>
      </c>
      <c r="AT75" s="14" t="s">
        <v>347</v>
      </c>
      <c r="AU75" s="22" t="s">
        <v>275</v>
      </c>
      <c r="AV75" s="22" t="s">
        <v>363</v>
      </c>
    </row>
    <row r="76" spans="1:48" x14ac:dyDescent="0.3">
      <c r="A76" s="5" t="s">
        <v>145</v>
      </c>
      <c r="B76" s="5" t="s">
        <v>31</v>
      </c>
      <c r="C76" s="5" t="s">
        <v>425</v>
      </c>
      <c r="D76" s="5" t="s">
        <v>32</v>
      </c>
      <c r="E76" s="6" t="s">
        <v>33</v>
      </c>
      <c r="F76" s="7">
        <v>29</v>
      </c>
      <c r="G76" s="5" t="s">
        <v>426</v>
      </c>
      <c r="H76" s="5" t="s">
        <v>823</v>
      </c>
      <c r="I76" s="5" t="s">
        <v>824</v>
      </c>
      <c r="J76" s="5" t="s">
        <v>34</v>
      </c>
      <c r="K76" s="5" t="s">
        <v>91</v>
      </c>
      <c r="L76" s="5" t="s">
        <v>95</v>
      </c>
      <c r="M76" s="5" t="s">
        <v>39</v>
      </c>
      <c r="N76" s="5"/>
      <c r="O76" s="6"/>
      <c r="P76" s="5" t="s">
        <v>83</v>
      </c>
      <c r="Q76" s="5" t="s">
        <v>92</v>
      </c>
      <c r="R76" s="5" t="s">
        <v>140</v>
      </c>
      <c r="S76" s="5" t="s">
        <v>825</v>
      </c>
      <c r="T76" s="5" t="s">
        <v>826</v>
      </c>
      <c r="U76" s="5" t="s">
        <v>827</v>
      </c>
      <c r="V76" s="8">
        <v>33</v>
      </c>
      <c r="W76" s="9">
        <v>38669</v>
      </c>
      <c r="X76" s="5"/>
      <c r="Y76" s="10">
        <v>100</v>
      </c>
      <c r="Z76" s="10">
        <v>25.44</v>
      </c>
      <c r="AA76" s="10">
        <v>25.44</v>
      </c>
      <c r="AB76" s="10">
        <v>197920</v>
      </c>
      <c r="AC76" s="10">
        <v>36977</v>
      </c>
      <c r="AD76" s="10">
        <v>0</v>
      </c>
      <c r="AE76" s="11">
        <v>234897</v>
      </c>
      <c r="AF76" s="12" t="s">
        <v>93</v>
      </c>
      <c r="AG76" s="14" t="s">
        <v>173</v>
      </c>
      <c r="AH76" s="14" t="e">
        <v>#N/A</v>
      </c>
      <c r="AI76" s="14" t="s">
        <v>36</v>
      </c>
      <c r="AJ76" s="14">
        <v>40000</v>
      </c>
      <c r="AK76" s="14">
        <v>40000</v>
      </c>
      <c r="AL76" s="13">
        <v>36</v>
      </c>
      <c r="AM76" s="13">
        <v>36</v>
      </c>
      <c r="AN76" s="14" t="s">
        <v>362</v>
      </c>
      <c r="AO76" s="14" t="s">
        <v>86</v>
      </c>
      <c r="AP76" s="14" t="s">
        <v>37</v>
      </c>
      <c r="AQ76" s="18">
        <v>202605</v>
      </c>
      <c r="AR76" s="18" t="s">
        <v>147</v>
      </c>
      <c r="AS76" s="14" t="s">
        <v>232</v>
      </c>
      <c r="AT76" s="14" t="s">
        <v>232</v>
      </c>
      <c r="AU76" s="22" t="s">
        <v>275</v>
      </c>
      <c r="AV76" s="22" t="s">
        <v>363</v>
      </c>
    </row>
    <row r="77" spans="1:48" x14ac:dyDescent="0.3">
      <c r="A77" s="5" t="s">
        <v>145</v>
      </c>
      <c r="B77" s="5" t="s">
        <v>31</v>
      </c>
      <c r="C77" s="5" t="s">
        <v>425</v>
      </c>
      <c r="D77" s="5" t="s">
        <v>32</v>
      </c>
      <c r="E77" s="6" t="s">
        <v>33</v>
      </c>
      <c r="F77" s="7">
        <v>30</v>
      </c>
      <c r="G77" s="5" t="s">
        <v>426</v>
      </c>
      <c r="H77" s="5" t="s">
        <v>828</v>
      </c>
      <c r="I77" s="5" t="s">
        <v>829</v>
      </c>
      <c r="J77" s="5" t="s">
        <v>34</v>
      </c>
      <c r="K77" s="5" t="s">
        <v>91</v>
      </c>
      <c r="L77" s="5" t="s">
        <v>95</v>
      </c>
      <c r="M77" s="5" t="s">
        <v>39</v>
      </c>
      <c r="N77" s="5"/>
      <c r="O77" s="6"/>
      <c r="P77" s="5" t="s">
        <v>83</v>
      </c>
      <c r="Q77" s="5" t="s">
        <v>92</v>
      </c>
      <c r="R77" s="5" t="s">
        <v>140</v>
      </c>
      <c r="S77" s="5" t="s">
        <v>830</v>
      </c>
      <c r="T77" s="5" t="s">
        <v>831</v>
      </c>
      <c r="U77" s="5" t="s">
        <v>832</v>
      </c>
      <c r="V77" s="8">
        <v>20</v>
      </c>
      <c r="W77" s="9">
        <v>18580</v>
      </c>
      <c r="X77" s="5"/>
      <c r="Y77" s="10">
        <v>100</v>
      </c>
      <c r="Z77" s="10">
        <v>25.44</v>
      </c>
      <c r="AA77" s="10">
        <v>25.44</v>
      </c>
      <c r="AB77" s="10">
        <v>197860</v>
      </c>
      <c r="AC77" s="10">
        <v>36252</v>
      </c>
      <c r="AD77" s="10">
        <v>0</v>
      </c>
      <c r="AE77" s="11">
        <v>234112</v>
      </c>
      <c r="AF77" s="12" t="s">
        <v>93</v>
      </c>
      <c r="AG77" s="14" t="s">
        <v>726</v>
      </c>
      <c r="AH77" s="14" t="e">
        <v>#N/A</v>
      </c>
      <c r="AI77" s="14" t="s">
        <v>36</v>
      </c>
      <c r="AJ77" s="14">
        <v>20000</v>
      </c>
      <c r="AK77" s="14">
        <v>20000</v>
      </c>
      <c r="AL77" s="13">
        <v>24</v>
      </c>
      <c r="AM77" s="13">
        <v>21</v>
      </c>
      <c r="AN77" s="14" t="s">
        <v>374</v>
      </c>
      <c r="AO77" s="14" t="s">
        <v>86</v>
      </c>
      <c r="AP77" s="14" t="s">
        <v>37</v>
      </c>
      <c r="AQ77" s="18">
        <v>202605</v>
      </c>
      <c r="AR77" s="18" t="s">
        <v>147</v>
      </c>
      <c r="AS77" s="14" t="s">
        <v>232</v>
      </c>
      <c r="AT77" s="14" t="s">
        <v>232</v>
      </c>
      <c r="AU77" s="22" t="s">
        <v>275</v>
      </c>
      <c r="AV77" s="22" t="s">
        <v>363</v>
      </c>
    </row>
    <row r="78" spans="1:48" x14ac:dyDescent="0.3">
      <c r="A78" s="5" t="s">
        <v>145</v>
      </c>
      <c r="B78" s="5" t="s">
        <v>31</v>
      </c>
      <c r="C78" s="5" t="s">
        <v>425</v>
      </c>
      <c r="D78" s="5" t="s">
        <v>32</v>
      </c>
      <c r="E78" s="6" t="s">
        <v>33</v>
      </c>
      <c r="F78" s="7">
        <v>31</v>
      </c>
      <c r="G78" s="5" t="s">
        <v>426</v>
      </c>
      <c r="H78" s="5" t="s">
        <v>833</v>
      </c>
      <c r="I78" s="5" t="s">
        <v>834</v>
      </c>
      <c r="J78" s="5" t="s">
        <v>34</v>
      </c>
      <c r="K78" s="5" t="s">
        <v>91</v>
      </c>
      <c r="L78" s="5" t="s">
        <v>95</v>
      </c>
      <c r="M78" s="5" t="s">
        <v>39</v>
      </c>
      <c r="N78" s="5"/>
      <c r="O78" s="6"/>
      <c r="P78" s="5" t="s">
        <v>471</v>
      </c>
      <c r="Q78" s="5" t="s">
        <v>92</v>
      </c>
      <c r="R78" s="5" t="s">
        <v>140</v>
      </c>
      <c r="S78" s="5" t="s">
        <v>835</v>
      </c>
      <c r="T78" s="5" t="s">
        <v>836</v>
      </c>
      <c r="U78" s="5" t="s">
        <v>837</v>
      </c>
      <c r="V78" s="8">
        <v>3</v>
      </c>
      <c r="W78" s="9">
        <v>3667</v>
      </c>
      <c r="X78" s="5"/>
      <c r="Y78" s="10">
        <v>100</v>
      </c>
      <c r="Z78" s="10">
        <v>25.44</v>
      </c>
      <c r="AA78" s="10">
        <v>25.44</v>
      </c>
      <c r="AB78" s="10">
        <v>235091</v>
      </c>
      <c r="AC78" s="10">
        <v>38465</v>
      </c>
      <c r="AD78" s="10">
        <v>0</v>
      </c>
      <c r="AE78" s="11">
        <v>273556</v>
      </c>
      <c r="AF78" s="12" t="s">
        <v>93</v>
      </c>
      <c r="AG78" s="14" t="s">
        <v>336</v>
      </c>
      <c r="AH78" s="14" t="e">
        <v>#N/A</v>
      </c>
      <c r="AI78" s="14" t="s">
        <v>36</v>
      </c>
      <c r="AJ78" s="14">
        <v>10000</v>
      </c>
      <c r="AK78" s="14">
        <v>5000</v>
      </c>
      <c r="AL78" s="13">
        <v>6</v>
      </c>
      <c r="AM78" s="13">
        <v>6</v>
      </c>
      <c r="AN78" s="14" t="s">
        <v>305</v>
      </c>
      <c r="AO78" s="14" t="s">
        <v>86</v>
      </c>
      <c r="AP78" s="14" t="s">
        <v>37</v>
      </c>
      <c r="AQ78" s="18">
        <v>202605</v>
      </c>
      <c r="AR78" s="18" t="s">
        <v>147</v>
      </c>
      <c r="AS78" s="14" t="s">
        <v>232</v>
      </c>
      <c r="AT78" s="14" t="s">
        <v>232</v>
      </c>
      <c r="AU78" s="22" t="s">
        <v>275</v>
      </c>
      <c r="AV78" s="22" t="s">
        <v>363</v>
      </c>
    </row>
    <row r="79" spans="1:48" x14ac:dyDescent="0.3">
      <c r="A79" s="5" t="s">
        <v>145</v>
      </c>
      <c r="B79" s="5" t="s">
        <v>54</v>
      </c>
      <c r="C79" s="5" t="s">
        <v>425</v>
      </c>
      <c r="D79" s="5" t="s">
        <v>32</v>
      </c>
      <c r="E79" s="6" t="s">
        <v>33</v>
      </c>
      <c r="F79" s="7">
        <v>79</v>
      </c>
      <c r="G79" s="5" t="s">
        <v>426</v>
      </c>
      <c r="H79" s="5" t="s">
        <v>838</v>
      </c>
      <c r="I79" s="5" t="s">
        <v>839</v>
      </c>
      <c r="J79" s="5" t="s">
        <v>34</v>
      </c>
      <c r="K79" s="5" t="s">
        <v>60</v>
      </c>
      <c r="L79" s="5" t="s">
        <v>97</v>
      </c>
      <c r="M79" s="5" t="s">
        <v>89</v>
      </c>
      <c r="N79" s="5"/>
      <c r="O79" s="6"/>
      <c r="P79" s="5" t="s">
        <v>90</v>
      </c>
      <c r="Q79" s="5" t="s">
        <v>64</v>
      </c>
      <c r="R79" s="5" t="s">
        <v>139</v>
      </c>
      <c r="S79" s="5" t="s">
        <v>840</v>
      </c>
      <c r="T79" s="5" t="s">
        <v>841</v>
      </c>
      <c r="U79" s="5" t="s">
        <v>842</v>
      </c>
      <c r="V79" s="8">
        <v>78</v>
      </c>
      <c r="W79" s="9">
        <v>64589</v>
      </c>
      <c r="X79" s="5"/>
      <c r="Y79" s="10">
        <v>100</v>
      </c>
      <c r="Z79" s="10">
        <v>18.18</v>
      </c>
      <c r="AA79" s="10">
        <v>18.18</v>
      </c>
      <c r="AB79" s="10">
        <v>176468</v>
      </c>
      <c r="AC79" s="10">
        <v>55017</v>
      </c>
      <c r="AD79" s="10">
        <v>0</v>
      </c>
      <c r="AE79" s="11">
        <v>231485</v>
      </c>
      <c r="AF79" s="12" t="s">
        <v>62</v>
      </c>
      <c r="AG79" s="14" t="s">
        <v>236</v>
      </c>
      <c r="AH79" s="14" t="s">
        <v>65</v>
      </c>
      <c r="AI79" s="14" t="s">
        <v>36</v>
      </c>
      <c r="AJ79" s="14">
        <v>70000</v>
      </c>
      <c r="AK79" s="14">
        <v>65000</v>
      </c>
      <c r="AL79" s="13" t="s">
        <v>121</v>
      </c>
      <c r="AM79" s="13" t="s">
        <v>121</v>
      </c>
      <c r="AN79" s="14" t="s">
        <v>77</v>
      </c>
      <c r="AO79" s="14" t="s">
        <v>78</v>
      </c>
      <c r="AP79" s="14" t="s">
        <v>37</v>
      </c>
      <c r="AQ79" s="18">
        <v>202605</v>
      </c>
      <c r="AR79" s="18" t="s">
        <v>147</v>
      </c>
      <c r="AS79" s="14" t="s">
        <v>232</v>
      </c>
      <c r="AT79" s="14" t="s">
        <v>232</v>
      </c>
      <c r="AU79" s="22" t="s">
        <v>275</v>
      </c>
      <c r="AV79" s="22" t="s">
        <v>363</v>
      </c>
    </row>
    <row r="80" spans="1:48" x14ac:dyDescent="0.3">
      <c r="A80" s="5" t="s">
        <v>145</v>
      </c>
      <c r="B80" s="5" t="s">
        <v>54</v>
      </c>
      <c r="C80" s="5" t="s">
        <v>425</v>
      </c>
      <c r="D80" s="5" t="s">
        <v>32</v>
      </c>
      <c r="E80" s="6" t="s">
        <v>33</v>
      </c>
      <c r="F80" s="7">
        <v>80</v>
      </c>
      <c r="G80" s="5" t="s">
        <v>426</v>
      </c>
      <c r="H80" s="5" t="s">
        <v>843</v>
      </c>
      <c r="I80" s="5" t="s">
        <v>844</v>
      </c>
      <c r="J80" s="5" t="s">
        <v>34</v>
      </c>
      <c r="K80" s="5" t="s">
        <v>60</v>
      </c>
      <c r="L80" s="5" t="s">
        <v>421</v>
      </c>
      <c r="M80" s="5" t="s">
        <v>89</v>
      </c>
      <c r="N80" s="5"/>
      <c r="O80" s="6"/>
      <c r="P80" s="5" t="s">
        <v>94</v>
      </c>
      <c r="Q80" s="5" t="s">
        <v>64</v>
      </c>
      <c r="R80" s="5" t="s">
        <v>248</v>
      </c>
      <c r="S80" s="5" t="s">
        <v>845</v>
      </c>
      <c r="T80" s="5" t="s">
        <v>350</v>
      </c>
      <c r="U80" s="5" t="s">
        <v>846</v>
      </c>
      <c r="V80" s="8">
        <v>2</v>
      </c>
      <c r="W80" s="9">
        <v>5323</v>
      </c>
      <c r="X80" s="5"/>
      <c r="Y80" s="10">
        <v>100</v>
      </c>
      <c r="Z80" s="10">
        <v>18.18</v>
      </c>
      <c r="AA80" s="10">
        <v>18.18</v>
      </c>
      <c r="AB80" s="10">
        <v>79945</v>
      </c>
      <c r="AC80" s="10">
        <v>4435</v>
      </c>
      <c r="AD80" s="10">
        <v>0</v>
      </c>
      <c r="AE80" s="11">
        <v>84380</v>
      </c>
      <c r="AF80" s="12" t="s">
        <v>62</v>
      </c>
      <c r="AG80" s="14" t="s">
        <v>233</v>
      </c>
      <c r="AH80" s="14" t="s">
        <v>65</v>
      </c>
      <c r="AI80" s="14" t="s">
        <v>49</v>
      </c>
      <c r="AJ80" s="14">
        <v>10000</v>
      </c>
      <c r="AK80" s="14">
        <v>10000</v>
      </c>
      <c r="AL80" s="13">
        <v>6</v>
      </c>
      <c r="AM80" s="13">
        <v>3</v>
      </c>
      <c r="AN80" s="14" t="s">
        <v>422</v>
      </c>
      <c r="AO80" s="14" t="s">
        <v>423</v>
      </c>
      <c r="AP80" s="14" t="s">
        <v>37</v>
      </c>
      <c r="AQ80" s="18">
        <v>202605</v>
      </c>
      <c r="AR80" s="18" t="s">
        <v>147</v>
      </c>
      <c r="AS80" s="14" t="s">
        <v>232</v>
      </c>
      <c r="AT80" s="14" t="s">
        <v>232</v>
      </c>
      <c r="AU80" s="22" t="s">
        <v>275</v>
      </c>
      <c r="AV80" s="22" t="s">
        <v>363</v>
      </c>
    </row>
    <row r="81" spans="1:48" x14ac:dyDescent="0.3">
      <c r="A81" s="5" t="s">
        <v>145</v>
      </c>
      <c r="B81" s="5" t="s">
        <v>54</v>
      </c>
      <c r="C81" s="5" t="s">
        <v>425</v>
      </c>
      <c r="D81" s="5" t="s">
        <v>32</v>
      </c>
      <c r="E81" s="6" t="s">
        <v>33</v>
      </c>
      <c r="F81" s="7">
        <v>81</v>
      </c>
      <c r="G81" s="5" t="s">
        <v>426</v>
      </c>
      <c r="H81" s="5" t="s">
        <v>847</v>
      </c>
      <c r="I81" s="5" t="s">
        <v>848</v>
      </c>
      <c r="J81" s="5" t="s">
        <v>34</v>
      </c>
      <c r="K81" s="5" t="s">
        <v>60</v>
      </c>
      <c r="L81" s="5" t="s">
        <v>101</v>
      </c>
      <c r="M81" s="5" t="s">
        <v>39</v>
      </c>
      <c r="N81" s="5"/>
      <c r="O81" s="6"/>
      <c r="P81" s="5" t="s">
        <v>94</v>
      </c>
      <c r="Q81" s="5" t="s">
        <v>64</v>
      </c>
      <c r="R81" s="5" t="s">
        <v>139</v>
      </c>
      <c r="S81" s="5" t="s">
        <v>849</v>
      </c>
      <c r="T81" s="5" t="s">
        <v>850</v>
      </c>
      <c r="U81" s="5" t="s">
        <v>851</v>
      </c>
      <c r="V81" s="8">
        <v>83</v>
      </c>
      <c r="W81" s="9">
        <v>97358</v>
      </c>
      <c r="X81" s="5"/>
      <c r="Y81" s="10">
        <v>100</v>
      </c>
      <c r="Z81" s="10">
        <v>18.18</v>
      </c>
      <c r="AA81" s="10">
        <v>18.18</v>
      </c>
      <c r="AB81" s="10">
        <v>157716</v>
      </c>
      <c r="AC81" s="10">
        <v>11632</v>
      </c>
      <c r="AD81" s="10">
        <v>0</v>
      </c>
      <c r="AE81" s="11">
        <v>169348</v>
      </c>
      <c r="AF81" s="12" t="s">
        <v>62</v>
      </c>
      <c r="AG81" s="14" t="s">
        <v>648</v>
      </c>
      <c r="AH81" s="14" t="s">
        <v>65</v>
      </c>
      <c r="AI81" s="14" t="s">
        <v>36</v>
      </c>
      <c r="AJ81" s="14">
        <v>100000</v>
      </c>
      <c r="AK81" s="14">
        <v>100000</v>
      </c>
      <c r="AL81" s="13" t="s">
        <v>121</v>
      </c>
      <c r="AM81" s="13" t="s">
        <v>121</v>
      </c>
      <c r="AN81" s="14" t="s">
        <v>102</v>
      </c>
      <c r="AO81" s="14" t="s">
        <v>103</v>
      </c>
      <c r="AP81" s="14" t="s">
        <v>37</v>
      </c>
      <c r="AQ81" s="18">
        <v>202605</v>
      </c>
      <c r="AR81" s="18" t="s">
        <v>147</v>
      </c>
      <c r="AS81" s="14" t="s">
        <v>232</v>
      </c>
      <c r="AT81" s="14" t="s">
        <v>232</v>
      </c>
      <c r="AU81" s="22" t="s">
        <v>275</v>
      </c>
      <c r="AV81" s="22" t="s">
        <v>363</v>
      </c>
    </row>
    <row r="82" spans="1:48" x14ac:dyDescent="0.3">
      <c r="A82" s="5" t="s">
        <v>145</v>
      </c>
      <c r="B82" s="5" t="s">
        <v>54</v>
      </c>
      <c r="C82" s="5" t="s">
        <v>525</v>
      </c>
      <c r="D82" s="5" t="s">
        <v>32</v>
      </c>
      <c r="E82" s="6" t="s">
        <v>33</v>
      </c>
      <c r="F82" s="7">
        <v>68</v>
      </c>
      <c r="G82" s="5" t="s">
        <v>426</v>
      </c>
      <c r="H82" s="5" t="s">
        <v>852</v>
      </c>
      <c r="I82" s="5" t="s">
        <v>853</v>
      </c>
      <c r="J82" s="5" t="s">
        <v>34</v>
      </c>
      <c r="K82" s="5" t="s">
        <v>60</v>
      </c>
      <c r="L82" s="5" t="s">
        <v>192</v>
      </c>
      <c r="M82" s="5" t="s">
        <v>39</v>
      </c>
      <c r="N82" s="5"/>
      <c r="O82" s="6"/>
      <c r="P82" s="5" t="s">
        <v>94</v>
      </c>
      <c r="Q82" s="5" t="s">
        <v>64</v>
      </c>
      <c r="R82" s="5" t="s">
        <v>139</v>
      </c>
      <c r="S82" s="5" t="s">
        <v>854</v>
      </c>
      <c r="T82" s="5" t="s">
        <v>855</v>
      </c>
      <c r="U82" s="5" t="s">
        <v>348</v>
      </c>
      <c r="V82" s="8">
        <v>32</v>
      </c>
      <c r="W82" s="9">
        <v>42038</v>
      </c>
      <c r="X82" s="5"/>
      <c r="Y82" s="10">
        <v>100</v>
      </c>
      <c r="Z82" s="10">
        <v>18.18</v>
      </c>
      <c r="AA82" s="10">
        <v>18.18</v>
      </c>
      <c r="AB82" s="10">
        <v>64290</v>
      </c>
      <c r="AC82" s="10">
        <v>29823</v>
      </c>
      <c r="AD82" s="10">
        <v>0</v>
      </c>
      <c r="AE82" s="11">
        <v>94113</v>
      </c>
      <c r="AF82" s="12" t="s">
        <v>62</v>
      </c>
      <c r="AG82" s="14" t="s">
        <v>146</v>
      </c>
      <c r="AH82" s="14" t="s">
        <v>65</v>
      </c>
      <c r="AI82" s="14" t="s">
        <v>36</v>
      </c>
      <c r="AJ82" s="14">
        <v>50000</v>
      </c>
      <c r="AK82" s="14">
        <v>45000</v>
      </c>
      <c r="AL82" s="13">
        <v>36</v>
      </c>
      <c r="AM82" s="13">
        <v>33</v>
      </c>
      <c r="AN82" s="14" t="s">
        <v>66</v>
      </c>
      <c r="AO82" s="14" t="s">
        <v>67</v>
      </c>
      <c r="AP82" s="14" t="s">
        <v>37</v>
      </c>
      <c r="AQ82" s="18">
        <v>202605</v>
      </c>
      <c r="AR82" s="18" t="s">
        <v>147</v>
      </c>
      <c r="AS82" s="14" t="s">
        <v>232</v>
      </c>
      <c r="AT82" s="14" t="s">
        <v>232</v>
      </c>
      <c r="AU82" s="22" t="s">
        <v>275</v>
      </c>
      <c r="AV82" s="22" t="s">
        <v>363</v>
      </c>
    </row>
    <row r="83" spans="1:48" x14ac:dyDescent="0.3">
      <c r="A83" s="5" t="s">
        <v>145</v>
      </c>
      <c r="B83" s="5" t="s">
        <v>54</v>
      </c>
      <c r="C83" s="5" t="s">
        <v>525</v>
      </c>
      <c r="D83" s="5" t="s">
        <v>32</v>
      </c>
      <c r="E83" s="6" t="s">
        <v>33</v>
      </c>
      <c r="F83" s="7">
        <v>69</v>
      </c>
      <c r="G83" s="5" t="s">
        <v>426</v>
      </c>
      <c r="H83" s="5" t="s">
        <v>856</v>
      </c>
      <c r="I83" s="5" t="s">
        <v>857</v>
      </c>
      <c r="J83" s="5" t="s">
        <v>34</v>
      </c>
      <c r="K83" s="5" t="s">
        <v>60</v>
      </c>
      <c r="L83" s="5" t="s">
        <v>192</v>
      </c>
      <c r="M83" s="5" t="s">
        <v>39</v>
      </c>
      <c r="N83" s="5"/>
      <c r="O83" s="6"/>
      <c r="P83" s="5" t="s">
        <v>195</v>
      </c>
      <c r="Q83" s="5" t="s">
        <v>64</v>
      </c>
      <c r="R83" s="5" t="s">
        <v>139</v>
      </c>
      <c r="S83" s="5" t="s">
        <v>858</v>
      </c>
      <c r="T83" s="5" t="s">
        <v>859</v>
      </c>
      <c r="U83" s="5" t="s">
        <v>860</v>
      </c>
      <c r="V83" s="8">
        <v>25</v>
      </c>
      <c r="W83" s="9">
        <v>69286</v>
      </c>
      <c r="X83" s="5"/>
      <c r="Y83" s="10">
        <v>100</v>
      </c>
      <c r="Z83" s="10">
        <v>18.18</v>
      </c>
      <c r="AA83" s="10">
        <v>18.18</v>
      </c>
      <c r="AB83" s="10">
        <v>59219</v>
      </c>
      <c r="AC83" s="10">
        <v>16394</v>
      </c>
      <c r="AD83" s="10">
        <v>0</v>
      </c>
      <c r="AE83" s="11">
        <v>75613</v>
      </c>
      <c r="AF83" s="12" t="s">
        <v>62</v>
      </c>
      <c r="AG83" s="14" t="s">
        <v>230</v>
      </c>
      <c r="AH83" s="14" t="s">
        <v>65</v>
      </c>
      <c r="AI83" s="14" t="s">
        <v>36</v>
      </c>
      <c r="AJ83" s="14">
        <v>70000</v>
      </c>
      <c r="AK83" s="14">
        <v>70000</v>
      </c>
      <c r="AL83" s="13">
        <v>30</v>
      </c>
      <c r="AM83" s="13">
        <v>27</v>
      </c>
      <c r="AN83" s="14" t="s">
        <v>861</v>
      </c>
      <c r="AO83" s="14" t="s">
        <v>862</v>
      </c>
      <c r="AP83" s="14" t="s">
        <v>37</v>
      </c>
      <c r="AQ83" s="18">
        <v>202605</v>
      </c>
      <c r="AR83" s="18" t="s">
        <v>147</v>
      </c>
      <c r="AS83" s="14" t="s">
        <v>232</v>
      </c>
      <c r="AT83" s="14" t="s">
        <v>232</v>
      </c>
      <c r="AU83" s="22" t="s">
        <v>275</v>
      </c>
      <c r="AV83" s="22" t="s">
        <v>363</v>
      </c>
    </row>
    <row r="84" spans="1:48" x14ac:dyDescent="0.3">
      <c r="A84" s="5" t="s">
        <v>145</v>
      </c>
      <c r="B84" s="5" t="s">
        <v>54</v>
      </c>
      <c r="C84" s="5" t="s">
        <v>525</v>
      </c>
      <c r="D84" s="5" t="s">
        <v>32</v>
      </c>
      <c r="E84" s="6" t="s">
        <v>33</v>
      </c>
      <c r="F84" s="7">
        <v>70</v>
      </c>
      <c r="G84" s="5" t="s">
        <v>426</v>
      </c>
      <c r="H84" s="5" t="s">
        <v>863</v>
      </c>
      <c r="I84" s="5" t="s">
        <v>864</v>
      </c>
      <c r="J84" s="5" t="s">
        <v>34</v>
      </c>
      <c r="K84" s="5" t="s">
        <v>60</v>
      </c>
      <c r="L84" s="5" t="s">
        <v>192</v>
      </c>
      <c r="M84" s="5" t="s">
        <v>39</v>
      </c>
      <c r="N84" s="5"/>
      <c r="O84" s="6"/>
      <c r="P84" s="5" t="s">
        <v>94</v>
      </c>
      <c r="Q84" s="5" t="s">
        <v>61</v>
      </c>
      <c r="R84" s="5" t="s">
        <v>139</v>
      </c>
      <c r="S84" s="5" t="s">
        <v>865</v>
      </c>
      <c r="T84" s="5" t="s">
        <v>866</v>
      </c>
      <c r="U84" s="5" t="s">
        <v>867</v>
      </c>
      <c r="V84" s="8">
        <v>23</v>
      </c>
      <c r="W84" s="9">
        <v>25087</v>
      </c>
      <c r="X84" s="5"/>
      <c r="Y84" s="10">
        <v>100</v>
      </c>
      <c r="Z84" s="10">
        <v>18.18</v>
      </c>
      <c r="AA84" s="10">
        <v>18.18</v>
      </c>
      <c r="AB84" s="10">
        <v>63335</v>
      </c>
      <c r="AC84" s="10">
        <v>37409</v>
      </c>
      <c r="AD84" s="10">
        <v>0</v>
      </c>
      <c r="AE84" s="11">
        <v>100744</v>
      </c>
      <c r="AF84" s="12" t="s">
        <v>62</v>
      </c>
      <c r="AG84" s="14" t="s">
        <v>167</v>
      </c>
      <c r="AH84" s="14" t="s">
        <v>63</v>
      </c>
      <c r="AI84" s="14" t="s">
        <v>36</v>
      </c>
      <c r="AJ84" s="14">
        <v>30000</v>
      </c>
      <c r="AK84" s="14">
        <v>30000</v>
      </c>
      <c r="AL84" s="13">
        <v>24</v>
      </c>
      <c r="AM84" s="13">
        <v>24</v>
      </c>
      <c r="AN84" s="14" t="s">
        <v>205</v>
      </c>
      <c r="AO84" s="14" t="s">
        <v>206</v>
      </c>
      <c r="AP84" s="14" t="s">
        <v>37</v>
      </c>
      <c r="AQ84" s="18">
        <v>202605</v>
      </c>
      <c r="AR84" s="18" t="s">
        <v>147</v>
      </c>
      <c r="AS84" s="14" t="s">
        <v>232</v>
      </c>
      <c r="AT84" s="14" t="s">
        <v>232</v>
      </c>
      <c r="AU84" s="22" t="s">
        <v>275</v>
      </c>
      <c r="AV84" s="22" t="s">
        <v>363</v>
      </c>
    </row>
    <row r="85" spans="1:48" x14ac:dyDescent="0.3">
      <c r="A85" s="5" t="s">
        <v>145</v>
      </c>
      <c r="B85" s="5" t="s">
        <v>54</v>
      </c>
      <c r="C85" s="5" t="s">
        <v>525</v>
      </c>
      <c r="D85" s="5" t="s">
        <v>32</v>
      </c>
      <c r="E85" s="6" t="s">
        <v>33</v>
      </c>
      <c r="F85" s="7">
        <v>71</v>
      </c>
      <c r="G85" s="5" t="s">
        <v>426</v>
      </c>
      <c r="H85" s="5" t="s">
        <v>868</v>
      </c>
      <c r="I85" s="5" t="s">
        <v>869</v>
      </c>
      <c r="J85" s="5" t="s">
        <v>34</v>
      </c>
      <c r="K85" s="5" t="s">
        <v>60</v>
      </c>
      <c r="L85" s="5" t="s">
        <v>192</v>
      </c>
      <c r="M85" s="5" t="s">
        <v>39</v>
      </c>
      <c r="N85" s="5"/>
      <c r="O85" s="6"/>
      <c r="P85" s="5" t="s">
        <v>94</v>
      </c>
      <c r="Q85" s="5" t="s">
        <v>64</v>
      </c>
      <c r="R85" s="5" t="s">
        <v>139</v>
      </c>
      <c r="S85" s="5" t="s">
        <v>870</v>
      </c>
      <c r="T85" s="5" t="s">
        <v>871</v>
      </c>
      <c r="U85" s="5" t="s">
        <v>872</v>
      </c>
      <c r="V85" s="8">
        <v>18</v>
      </c>
      <c r="W85" s="9">
        <v>37944</v>
      </c>
      <c r="X85" s="5"/>
      <c r="Y85" s="10">
        <v>100</v>
      </c>
      <c r="Z85" s="10">
        <v>18.18</v>
      </c>
      <c r="AA85" s="10">
        <v>18.18</v>
      </c>
      <c r="AB85" s="10">
        <v>61491</v>
      </c>
      <c r="AC85" s="10">
        <v>12008</v>
      </c>
      <c r="AD85" s="10">
        <v>0</v>
      </c>
      <c r="AE85" s="11">
        <v>73499</v>
      </c>
      <c r="AF85" s="12" t="s">
        <v>62</v>
      </c>
      <c r="AG85" s="14" t="s">
        <v>235</v>
      </c>
      <c r="AH85" s="14" t="s">
        <v>65</v>
      </c>
      <c r="AI85" s="14" t="s">
        <v>36</v>
      </c>
      <c r="AJ85" s="14">
        <v>40000</v>
      </c>
      <c r="AK85" s="14">
        <v>40000</v>
      </c>
      <c r="AL85" s="13">
        <v>24</v>
      </c>
      <c r="AM85" s="13">
        <v>21</v>
      </c>
      <c r="AN85" s="14" t="s">
        <v>193</v>
      </c>
      <c r="AO85" s="14" t="s">
        <v>194</v>
      </c>
      <c r="AP85" s="14" t="s">
        <v>37</v>
      </c>
      <c r="AQ85" s="18">
        <v>202605</v>
      </c>
      <c r="AR85" s="18" t="s">
        <v>147</v>
      </c>
      <c r="AS85" s="14" t="s">
        <v>232</v>
      </c>
      <c r="AT85" s="14" t="s">
        <v>232</v>
      </c>
      <c r="AU85" s="22" t="s">
        <v>275</v>
      </c>
      <c r="AV85" s="22" t="s">
        <v>363</v>
      </c>
    </row>
    <row r="86" spans="1:48" x14ac:dyDescent="0.3">
      <c r="A86" s="5" t="s">
        <v>145</v>
      </c>
      <c r="B86" s="5" t="s">
        <v>54</v>
      </c>
      <c r="C86" s="5" t="s">
        <v>525</v>
      </c>
      <c r="D86" s="5" t="s">
        <v>32</v>
      </c>
      <c r="E86" s="6" t="s">
        <v>33</v>
      </c>
      <c r="F86" s="7">
        <v>72</v>
      </c>
      <c r="G86" s="5" t="s">
        <v>426</v>
      </c>
      <c r="H86" s="5" t="s">
        <v>873</v>
      </c>
      <c r="I86" s="5" t="s">
        <v>874</v>
      </c>
      <c r="J86" s="5" t="s">
        <v>34</v>
      </c>
      <c r="K86" s="5" t="s">
        <v>60</v>
      </c>
      <c r="L86" s="5" t="s">
        <v>192</v>
      </c>
      <c r="M86" s="5" t="s">
        <v>39</v>
      </c>
      <c r="N86" s="5"/>
      <c r="O86" s="6"/>
      <c r="P86" s="5" t="s">
        <v>195</v>
      </c>
      <c r="Q86" s="5" t="s">
        <v>64</v>
      </c>
      <c r="R86" s="5" t="s">
        <v>140</v>
      </c>
      <c r="S86" s="5" t="s">
        <v>875</v>
      </c>
      <c r="T86" s="5" t="s">
        <v>876</v>
      </c>
      <c r="U86" s="5" t="s">
        <v>877</v>
      </c>
      <c r="V86" s="8">
        <v>8</v>
      </c>
      <c r="W86" s="9">
        <v>4249</v>
      </c>
      <c r="X86" s="5"/>
      <c r="Y86" s="10">
        <v>100</v>
      </c>
      <c r="Z86" s="10">
        <v>18.18</v>
      </c>
      <c r="AA86" s="10">
        <v>18.18</v>
      </c>
      <c r="AB86" s="10">
        <v>58678</v>
      </c>
      <c r="AC86" s="10">
        <v>15283</v>
      </c>
      <c r="AD86" s="10">
        <v>0</v>
      </c>
      <c r="AE86" s="11">
        <v>73961</v>
      </c>
      <c r="AF86" s="12" t="s">
        <v>62</v>
      </c>
      <c r="AG86" s="14" t="s">
        <v>213</v>
      </c>
      <c r="AH86" s="14" t="s">
        <v>65</v>
      </c>
      <c r="AI86" s="14" t="s">
        <v>36</v>
      </c>
      <c r="AJ86" s="14">
        <v>10000</v>
      </c>
      <c r="AK86" s="14">
        <v>5000</v>
      </c>
      <c r="AL86" s="13">
        <v>12</v>
      </c>
      <c r="AM86" s="13">
        <v>9</v>
      </c>
      <c r="AN86" s="14" t="s">
        <v>861</v>
      </c>
      <c r="AO86" s="14" t="s">
        <v>862</v>
      </c>
      <c r="AP86" s="14" t="s">
        <v>37</v>
      </c>
      <c r="AQ86" s="18">
        <v>202605</v>
      </c>
      <c r="AR86" s="18" t="s">
        <v>147</v>
      </c>
      <c r="AS86" s="14" t="s">
        <v>232</v>
      </c>
      <c r="AT86" s="14" t="s">
        <v>232</v>
      </c>
      <c r="AU86" s="22" t="s">
        <v>275</v>
      </c>
      <c r="AV86" s="22" t="s">
        <v>363</v>
      </c>
    </row>
    <row r="87" spans="1:48" x14ac:dyDescent="0.3">
      <c r="A87" s="5" t="s">
        <v>145</v>
      </c>
      <c r="B87" s="5" t="s">
        <v>54</v>
      </c>
      <c r="C87" s="5" t="s">
        <v>525</v>
      </c>
      <c r="D87" s="5" t="s">
        <v>32</v>
      </c>
      <c r="E87" s="6" t="s">
        <v>33</v>
      </c>
      <c r="F87" s="7">
        <v>73</v>
      </c>
      <c r="G87" s="5" t="s">
        <v>426</v>
      </c>
      <c r="H87" s="5" t="s">
        <v>878</v>
      </c>
      <c r="I87" s="5" t="s">
        <v>879</v>
      </c>
      <c r="J87" s="5" t="s">
        <v>34</v>
      </c>
      <c r="K87" s="5" t="s">
        <v>60</v>
      </c>
      <c r="L87" s="5" t="s">
        <v>198</v>
      </c>
      <c r="M87" s="5" t="s">
        <v>39</v>
      </c>
      <c r="N87" s="5"/>
      <c r="O87" s="6"/>
      <c r="P87" s="5" t="s">
        <v>94</v>
      </c>
      <c r="Q87" s="5" t="s">
        <v>61</v>
      </c>
      <c r="R87" s="5" t="s">
        <v>79</v>
      </c>
      <c r="S87" s="5" t="s">
        <v>880</v>
      </c>
      <c r="T87" s="5" t="s">
        <v>881</v>
      </c>
      <c r="U87" s="5" t="s">
        <v>882</v>
      </c>
      <c r="V87" s="8">
        <v>43</v>
      </c>
      <c r="W87" s="9">
        <v>48860</v>
      </c>
      <c r="X87" s="5"/>
      <c r="Y87" s="10">
        <v>100</v>
      </c>
      <c r="Z87" s="10">
        <v>18.18</v>
      </c>
      <c r="AA87" s="10">
        <v>18.18</v>
      </c>
      <c r="AB87" s="10">
        <v>210866</v>
      </c>
      <c r="AC87" s="10">
        <v>94324</v>
      </c>
      <c r="AD87" s="10">
        <v>0</v>
      </c>
      <c r="AE87" s="11">
        <v>305190</v>
      </c>
      <c r="AF87" s="12" t="s">
        <v>62</v>
      </c>
      <c r="AG87" s="14" t="s">
        <v>128</v>
      </c>
      <c r="AH87" s="14" t="s">
        <v>63</v>
      </c>
      <c r="AI87" s="14" t="s">
        <v>45</v>
      </c>
      <c r="AJ87" s="14">
        <v>50000</v>
      </c>
      <c r="AK87" s="14">
        <v>50000</v>
      </c>
      <c r="AL87" s="13">
        <v>48</v>
      </c>
      <c r="AM87" s="13">
        <v>45</v>
      </c>
      <c r="AN87" s="14" t="s">
        <v>205</v>
      </c>
      <c r="AO87" s="14" t="s">
        <v>206</v>
      </c>
      <c r="AP87" s="14" t="s">
        <v>37</v>
      </c>
      <c r="AQ87" s="18">
        <v>202605</v>
      </c>
      <c r="AR87" s="18" t="s">
        <v>147</v>
      </c>
      <c r="AS87" s="14" t="s">
        <v>232</v>
      </c>
      <c r="AT87" s="14" t="s">
        <v>232</v>
      </c>
      <c r="AU87" s="22" t="s">
        <v>275</v>
      </c>
      <c r="AV87" s="22" t="s">
        <v>363</v>
      </c>
    </row>
    <row r="88" spans="1:48" x14ac:dyDescent="0.3">
      <c r="A88" s="5" t="s">
        <v>145</v>
      </c>
      <c r="B88" s="5" t="s">
        <v>54</v>
      </c>
      <c r="C88" s="5" t="s">
        <v>525</v>
      </c>
      <c r="D88" s="5" t="s">
        <v>32</v>
      </c>
      <c r="E88" s="6" t="s">
        <v>33</v>
      </c>
      <c r="F88" s="7">
        <v>74</v>
      </c>
      <c r="G88" s="5" t="s">
        <v>426</v>
      </c>
      <c r="H88" s="5" t="s">
        <v>883</v>
      </c>
      <c r="I88" s="5" t="s">
        <v>884</v>
      </c>
      <c r="J88" s="5" t="s">
        <v>34</v>
      </c>
      <c r="K88" s="5" t="s">
        <v>96</v>
      </c>
      <c r="L88" s="5" t="s">
        <v>198</v>
      </c>
      <c r="M88" s="5" t="s">
        <v>39</v>
      </c>
      <c r="N88" s="5"/>
      <c r="O88" s="6"/>
      <c r="P88" s="5" t="s">
        <v>199</v>
      </c>
      <c r="Q88" s="5" t="s">
        <v>64</v>
      </c>
      <c r="R88" s="5" t="s">
        <v>70</v>
      </c>
      <c r="S88" s="5" t="s">
        <v>885</v>
      </c>
      <c r="T88" s="5" t="s">
        <v>886</v>
      </c>
      <c r="U88" s="5" t="s">
        <v>887</v>
      </c>
      <c r="V88" s="8">
        <v>43</v>
      </c>
      <c r="W88" s="9">
        <v>65417</v>
      </c>
      <c r="X88" s="5"/>
      <c r="Y88" s="10">
        <v>100</v>
      </c>
      <c r="Z88" s="10">
        <v>18.18</v>
      </c>
      <c r="AA88" s="10">
        <v>18.18</v>
      </c>
      <c r="AB88" s="10">
        <v>234997</v>
      </c>
      <c r="AC88" s="10">
        <v>39167</v>
      </c>
      <c r="AD88" s="10">
        <v>0</v>
      </c>
      <c r="AE88" s="11">
        <v>274164</v>
      </c>
      <c r="AF88" s="12" t="s">
        <v>98</v>
      </c>
      <c r="AG88" s="14" t="s">
        <v>128</v>
      </c>
      <c r="AH88" s="14" t="s">
        <v>65</v>
      </c>
      <c r="AI88" s="14" t="s">
        <v>49</v>
      </c>
      <c r="AJ88" s="14">
        <v>70000</v>
      </c>
      <c r="AK88" s="14">
        <v>70000</v>
      </c>
      <c r="AL88" s="13">
        <v>48</v>
      </c>
      <c r="AM88" s="13">
        <v>45</v>
      </c>
      <c r="AN88" s="14" t="s">
        <v>102</v>
      </c>
      <c r="AO88" s="14" t="s">
        <v>103</v>
      </c>
      <c r="AP88" s="14" t="s">
        <v>37</v>
      </c>
      <c r="AQ88" s="18">
        <v>202605</v>
      </c>
      <c r="AR88" s="18" t="s">
        <v>147</v>
      </c>
      <c r="AS88" s="14" t="s">
        <v>232</v>
      </c>
      <c r="AT88" s="14" t="s">
        <v>232</v>
      </c>
      <c r="AU88" s="22" t="s">
        <v>275</v>
      </c>
      <c r="AV88" s="22" t="s">
        <v>363</v>
      </c>
    </row>
    <row r="89" spans="1:48" x14ac:dyDescent="0.3">
      <c r="A89" s="5" t="s">
        <v>145</v>
      </c>
      <c r="B89" s="5" t="s">
        <v>54</v>
      </c>
      <c r="C89" s="5" t="s">
        <v>525</v>
      </c>
      <c r="D89" s="5" t="s">
        <v>32</v>
      </c>
      <c r="E89" s="6" t="s">
        <v>33</v>
      </c>
      <c r="F89" s="7">
        <v>75</v>
      </c>
      <c r="G89" s="5" t="s">
        <v>426</v>
      </c>
      <c r="H89" s="5" t="s">
        <v>888</v>
      </c>
      <c r="I89" s="5" t="s">
        <v>889</v>
      </c>
      <c r="J89" s="5" t="s">
        <v>34</v>
      </c>
      <c r="K89" s="5" t="s">
        <v>96</v>
      </c>
      <c r="L89" s="5" t="s">
        <v>198</v>
      </c>
      <c r="M89" s="5" t="s">
        <v>39</v>
      </c>
      <c r="N89" s="5"/>
      <c r="O89" s="6"/>
      <c r="P89" s="5" t="s">
        <v>199</v>
      </c>
      <c r="Q89" s="5" t="s">
        <v>61</v>
      </c>
      <c r="R89" s="5" t="s">
        <v>139</v>
      </c>
      <c r="S89" s="5" t="s">
        <v>890</v>
      </c>
      <c r="T89" s="5" t="s">
        <v>891</v>
      </c>
      <c r="U89" s="5" t="s">
        <v>892</v>
      </c>
      <c r="V89" s="8">
        <v>29</v>
      </c>
      <c r="W89" s="9">
        <v>29117</v>
      </c>
      <c r="X89" s="5"/>
      <c r="Y89" s="10">
        <v>100</v>
      </c>
      <c r="Z89" s="10">
        <v>18.18</v>
      </c>
      <c r="AA89" s="10">
        <v>18.18</v>
      </c>
      <c r="AB89" s="10">
        <v>221554</v>
      </c>
      <c r="AC89" s="10">
        <v>47499</v>
      </c>
      <c r="AD89" s="10">
        <v>0</v>
      </c>
      <c r="AE89" s="11">
        <v>269053</v>
      </c>
      <c r="AF89" s="12" t="s">
        <v>98</v>
      </c>
      <c r="AG89" s="14" t="s">
        <v>146</v>
      </c>
      <c r="AH89" s="14" t="s">
        <v>63</v>
      </c>
      <c r="AI89" s="14" t="s">
        <v>36</v>
      </c>
      <c r="AJ89" s="14">
        <v>30000</v>
      </c>
      <c r="AK89" s="14">
        <v>30000</v>
      </c>
      <c r="AL89" s="13">
        <v>30</v>
      </c>
      <c r="AM89" s="13">
        <v>30</v>
      </c>
      <c r="AN89" s="14" t="s">
        <v>99</v>
      </c>
      <c r="AO89" s="14" t="s">
        <v>100</v>
      </c>
      <c r="AP89" s="14" t="s">
        <v>37</v>
      </c>
      <c r="AQ89" s="18">
        <v>202605</v>
      </c>
      <c r="AR89" s="18" t="s">
        <v>147</v>
      </c>
      <c r="AS89" s="14" t="s">
        <v>232</v>
      </c>
      <c r="AT89" s="14" t="s">
        <v>232</v>
      </c>
      <c r="AU89" s="22" t="s">
        <v>275</v>
      </c>
      <c r="AV89" s="22" t="s">
        <v>363</v>
      </c>
    </row>
    <row r="90" spans="1:48" x14ac:dyDescent="0.3">
      <c r="A90" s="5" t="s">
        <v>145</v>
      </c>
      <c r="B90" s="5" t="s">
        <v>54</v>
      </c>
      <c r="C90" s="5" t="s">
        <v>525</v>
      </c>
      <c r="D90" s="5" t="s">
        <v>32</v>
      </c>
      <c r="E90" s="6" t="s">
        <v>33</v>
      </c>
      <c r="F90" s="7">
        <v>76</v>
      </c>
      <c r="G90" s="5" t="s">
        <v>426</v>
      </c>
      <c r="H90" s="5" t="s">
        <v>893</v>
      </c>
      <c r="I90" s="5" t="s">
        <v>894</v>
      </c>
      <c r="J90" s="5" t="s">
        <v>34</v>
      </c>
      <c r="K90" s="5" t="s">
        <v>96</v>
      </c>
      <c r="L90" s="5" t="s">
        <v>198</v>
      </c>
      <c r="M90" s="5" t="s">
        <v>39</v>
      </c>
      <c r="N90" s="5"/>
      <c r="O90" s="6"/>
      <c r="P90" s="5" t="s">
        <v>199</v>
      </c>
      <c r="Q90" s="5" t="s">
        <v>64</v>
      </c>
      <c r="R90" s="5" t="s">
        <v>140</v>
      </c>
      <c r="S90" s="5" t="s">
        <v>895</v>
      </c>
      <c r="T90" s="5" t="s">
        <v>896</v>
      </c>
      <c r="U90" s="5" t="s">
        <v>897</v>
      </c>
      <c r="V90" s="8">
        <v>29</v>
      </c>
      <c r="W90" s="9">
        <v>60590</v>
      </c>
      <c r="X90" s="5"/>
      <c r="Y90" s="10">
        <v>100</v>
      </c>
      <c r="Z90" s="10">
        <v>18.18</v>
      </c>
      <c r="AA90" s="10">
        <v>18.18</v>
      </c>
      <c r="AB90" s="10">
        <v>219284</v>
      </c>
      <c r="AC90" s="10">
        <v>37744</v>
      </c>
      <c r="AD90" s="10">
        <v>0</v>
      </c>
      <c r="AE90" s="11">
        <v>257028</v>
      </c>
      <c r="AF90" s="12" t="s">
        <v>98</v>
      </c>
      <c r="AG90" s="14" t="s">
        <v>225</v>
      </c>
      <c r="AH90" s="14" t="s">
        <v>65</v>
      </c>
      <c r="AI90" s="14" t="s">
        <v>36</v>
      </c>
      <c r="AJ90" s="14">
        <v>70000</v>
      </c>
      <c r="AK90" s="14">
        <v>65000</v>
      </c>
      <c r="AL90" s="13">
        <v>30</v>
      </c>
      <c r="AM90" s="13">
        <v>30</v>
      </c>
      <c r="AN90" s="14" t="s">
        <v>193</v>
      </c>
      <c r="AO90" s="14" t="s">
        <v>194</v>
      </c>
      <c r="AP90" s="14" t="s">
        <v>37</v>
      </c>
      <c r="AQ90" s="18">
        <v>202605</v>
      </c>
      <c r="AR90" s="18" t="s">
        <v>147</v>
      </c>
      <c r="AS90" s="14" t="s">
        <v>232</v>
      </c>
      <c r="AT90" s="14" t="s">
        <v>232</v>
      </c>
      <c r="AU90" s="22" t="s">
        <v>275</v>
      </c>
      <c r="AV90" s="22" t="s">
        <v>363</v>
      </c>
    </row>
    <row r="91" spans="1:48" x14ac:dyDescent="0.3">
      <c r="A91" s="5" t="s">
        <v>145</v>
      </c>
      <c r="B91" s="5" t="s">
        <v>54</v>
      </c>
      <c r="C91" s="5" t="s">
        <v>525</v>
      </c>
      <c r="D91" s="5" t="s">
        <v>32</v>
      </c>
      <c r="E91" s="6" t="s">
        <v>33</v>
      </c>
      <c r="F91" s="7">
        <v>77</v>
      </c>
      <c r="G91" s="5" t="s">
        <v>426</v>
      </c>
      <c r="H91" s="5" t="s">
        <v>898</v>
      </c>
      <c r="I91" s="5" t="s">
        <v>899</v>
      </c>
      <c r="J91" s="5" t="s">
        <v>34</v>
      </c>
      <c r="K91" s="5" t="s">
        <v>60</v>
      </c>
      <c r="L91" s="5" t="s">
        <v>200</v>
      </c>
      <c r="M91" s="5" t="s">
        <v>39</v>
      </c>
      <c r="N91" s="5"/>
      <c r="O91" s="6"/>
      <c r="P91" s="5" t="s">
        <v>94</v>
      </c>
      <c r="Q91" s="5" t="s">
        <v>64</v>
      </c>
      <c r="R91" s="5" t="s">
        <v>140</v>
      </c>
      <c r="S91" s="5" t="s">
        <v>900</v>
      </c>
      <c r="T91" s="5" t="s">
        <v>901</v>
      </c>
      <c r="U91" s="5" t="s">
        <v>902</v>
      </c>
      <c r="V91" s="8">
        <v>58</v>
      </c>
      <c r="W91" s="9">
        <v>74587</v>
      </c>
      <c r="X91" s="5"/>
      <c r="Y91" s="10">
        <v>100</v>
      </c>
      <c r="Z91" s="10">
        <v>18.18</v>
      </c>
      <c r="AA91" s="10">
        <v>18.18</v>
      </c>
      <c r="AB91" s="10">
        <v>39660</v>
      </c>
      <c r="AC91" s="10">
        <v>2416</v>
      </c>
      <c r="AD91" s="10">
        <v>0</v>
      </c>
      <c r="AE91" s="11">
        <v>42076</v>
      </c>
      <c r="AF91" s="12" t="s">
        <v>62</v>
      </c>
      <c r="AG91" s="14" t="s">
        <v>256</v>
      </c>
      <c r="AH91" s="14" t="s">
        <v>65</v>
      </c>
      <c r="AI91" s="14" t="s">
        <v>36</v>
      </c>
      <c r="AJ91" s="14">
        <v>80000</v>
      </c>
      <c r="AK91" s="14">
        <v>75000</v>
      </c>
      <c r="AL91" s="13">
        <v>60</v>
      </c>
      <c r="AM91" s="13">
        <v>60</v>
      </c>
      <c r="AN91" s="14" t="s">
        <v>196</v>
      </c>
      <c r="AO91" s="14" t="s">
        <v>197</v>
      </c>
      <c r="AP91" s="14" t="s">
        <v>37</v>
      </c>
      <c r="AQ91" s="18">
        <v>202605</v>
      </c>
      <c r="AR91" s="18" t="s">
        <v>147</v>
      </c>
      <c r="AS91" s="14" t="s">
        <v>232</v>
      </c>
      <c r="AT91" s="14" t="s">
        <v>232</v>
      </c>
      <c r="AU91" s="22" t="s">
        <v>275</v>
      </c>
      <c r="AV91" s="22" t="s">
        <v>363</v>
      </c>
    </row>
    <row r="92" spans="1:48" x14ac:dyDescent="0.3">
      <c r="A92" s="5" t="s">
        <v>145</v>
      </c>
      <c r="B92" s="5" t="s">
        <v>54</v>
      </c>
      <c r="C92" s="5" t="s">
        <v>525</v>
      </c>
      <c r="D92" s="5" t="s">
        <v>32</v>
      </c>
      <c r="E92" s="6" t="s">
        <v>33</v>
      </c>
      <c r="F92" s="7">
        <v>78</v>
      </c>
      <c r="G92" s="5" t="s">
        <v>426</v>
      </c>
      <c r="H92" s="5" t="s">
        <v>903</v>
      </c>
      <c r="I92" s="5" t="s">
        <v>904</v>
      </c>
      <c r="J92" s="5" t="s">
        <v>34</v>
      </c>
      <c r="K92" s="5" t="s">
        <v>60</v>
      </c>
      <c r="L92" s="5" t="s">
        <v>200</v>
      </c>
      <c r="M92" s="5" t="s">
        <v>39</v>
      </c>
      <c r="N92" s="5"/>
      <c r="O92" s="6"/>
      <c r="P92" s="5" t="s">
        <v>94</v>
      </c>
      <c r="Q92" s="5" t="s">
        <v>64</v>
      </c>
      <c r="R92" s="5" t="s">
        <v>140</v>
      </c>
      <c r="S92" s="5" t="s">
        <v>905</v>
      </c>
      <c r="T92" s="5" t="s">
        <v>906</v>
      </c>
      <c r="U92" s="5" t="s">
        <v>907</v>
      </c>
      <c r="V92" s="8">
        <v>56</v>
      </c>
      <c r="W92" s="9">
        <v>69445</v>
      </c>
      <c r="X92" s="5"/>
      <c r="Y92" s="10">
        <v>100</v>
      </c>
      <c r="Z92" s="10">
        <v>18.18</v>
      </c>
      <c r="AA92" s="10">
        <v>18.18</v>
      </c>
      <c r="AB92" s="10">
        <v>39660</v>
      </c>
      <c r="AC92" s="10">
        <v>2416</v>
      </c>
      <c r="AD92" s="10">
        <v>0</v>
      </c>
      <c r="AE92" s="11">
        <v>42076</v>
      </c>
      <c r="AF92" s="12" t="s">
        <v>62</v>
      </c>
      <c r="AG92" s="14" t="s">
        <v>908</v>
      </c>
      <c r="AH92" s="14" t="s">
        <v>65</v>
      </c>
      <c r="AI92" s="14" t="s">
        <v>36</v>
      </c>
      <c r="AJ92" s="14">
        <v>70000</v>
      </c>
      <c r="AK92" s="14">
        <v>70000</v>
      </c>
      <c r="AL92" s="13">
        <v>60</v>
      </c>
      <c r="AM92" s="13">
        <v>57</v>
      </c>
      <c r="AN92" s="14" t="s">
        <v>196</v>
      </c>
      <c r="AO92" s="14" t="s">
        <v>197</v>
      </c>
      <c r="AP92" s="14" t="s">
        <v>37</v>
      </c>
      <c r="AQ92" s="18">
        <v>202605</v>
      </c>
      <c r="AR92" s="18" t="s">
        <v>147</v>
      </c>
      <c r="AS92" s="14" t="s">
        <v>232</v>
      </c>
      <c r="AT92" s="14" t="s">
        <v>232</v>
      </c>
      <c r="AU92" s="22" t="s">
        <v>275</v>
      </c>
      <c r="AV92" s="22" t="s">
        <v>363</v>
      </c>
    </row>
    <row r="93" spans="1:48" x14ac:dyDescent="0.3">
      <c r="A93" s="5" t="s">
        <v>145</v>
      </c>
      <c r="B93" s="5" t="s">
        <v>54</v>
      </c>
      <c r="C93" s="5" t="s">
        <v>525</v>
      </c>
      <c r="D93" s="5" t="s">
        <v>32</v>
      </c>
      <c r="E93" s="6" t="s">
        <v>33</v>
      </c>
      <c r="F93" s="7">
        <v>79</v>
      </c>
      <c r="G93" s="5" t="s">
        <v>426</v>
      </c>
      <c r="H93" s="5" t="s">
        <v>909</v>
      </c>
      <c r="I93" s="5" t="s">
        <v>910</v>
      </c>
      <c r="J93" s="5" t="s">
        <v>34</v>
      </c>
      <c r="K93" s="5" t="s">
        <v>60</v>
      </c>
      <c r="L93" s="5" t="s">
        <v>200</v>
      </c>
      <c r="M93" s="5" t="s">
        <v>39</v>
      </c>
      <c r="N93" s="5"/>
      <c r="O93" s="6"/>
      <c r="P93" s="5" t="s">
        <v>195</v>
      </c>
      <c r="Q93" s="5" t="s">
        <v>64</v>
      </c>
      <c r="R93" s="5" t="s">
        <v>140</v>
      </c>
      <c r="S93" s="5" t="s">
        <v>911</v>
      </c>
      <c r="T93" s="5" t="s">
        <v>912</v>
      </c>
      <c r="U93" s="5" t="s">
        <v>913</v>
      </c>
      <c r="V93" s="8">
        <v>57</v>
      </c>
      <c r="W93" s="9">
        <v>89173</v>
      </c>
      <c r="X93" s="5"/>
      <c r="Y93" s="10">
        <v>100</v>
      </c>
      <c r="Z93" s="10">
        <v>18.18</v>
      </c>
      <c r="AA93" s="10">
        <v>18.18</v>
      </c>
      <c r="AB93" s="10">
        <v>39660</v>
      </c>
      <c r="AC93" s="10">
        <v>1074</v>
      </c>
      <c r="AD93" s="10">
        <v>0</v>
      </c>
      <c r="AE93" s="11">
        <v>40734</v>
      </c>
      <c r="AF93" s="12" t="s">
        <v>62</v>
      </c>
      <c r="AG93" s="14" t="s">
        <v>201</v>
      </c>
      <c r="AH93" s="14" t="s">
        <v>65</v>
      </c>
      <c r="AI93" s="14" t="s">
        <v>36</v>
      </c>
      <c r="AJ93" s="14">
        <v>90000</v>
      </c>
      <c r="AK93" s="14">
        <v>90000</v>
      </c>
      <c r="AL93" s="13">
        <v>60</v>
      </c>
      <c r="AM93" s="13">
        <v>60</v>
      </c>
      <c r="AN93" s="14" t="s">
        <v>196</v>
      </c>
      <c r="AO93" s="14" t="s">
        <v>197</v>
      </c>
      <c r="AP93" s="14" t="s">
        <v>37</v>
      </c>
      <c r="AQ93" s="18">
        <v>202605</v>
      </c>
      <c r="AR93" s="18" t="s">
        <v>147</v>
      </c>
      <c r="AS93" s="14" t="s">
        <v>232</v>
      </c>
      <c r="AT93" s="14" t="s">
        <v>232</v>
      </c>
      <c r="AU93" s="22" t="s">
        <v>275</v>
      </c>
      <c r="AV93" s="22" t="s">
        <v>363</v>
      </c>
    </row>
    <row r="94" spans="1:48" x14ac:dyDescent="0.3">
      <c r="A94" s="5" t="s">
        <v>145</v>
      </c>
      <c r="B94" s="5" t="s">
        <v>54</v>
      </c>
      <c r="C94" s="5" t="s">
        <v>525</v>
      </c>
      <c r="D94" s="5" t="s">
        <v>32</v>
      </c>
      <c r="E94" s="6" t="s">
        <v>33</v>
      </c>
      <c r="F94" s="7">
        <v>80</v>
      </c>
      <c r="G94" s="5" t="s">
        <v>426</v>
      </c>
      <c r="H94" s="5" t="s">
        <v>914</v>
      </c>
      <c r="I94" s="5" t="s">
        <v>915</v>
      </c>
      <c r="J94" s="5" t="s">
        <v>34</v>
      </c>
      <c r="K94" s="5" t="s">
        <v>60</v>
      </c>
      <c r="L94" s="5" t="s">
        <v>200</v>
      </c>
      <c r="M94" s="5" t="s">
        <v>39</v>
      </c>
      <c r="N94" s="5"/>
      <c r="O94" s="6"/>
      <c r="P94" s="5" t="s">
        <v>94</v>
      </c>
      <c r="Q94" s="5" t="s">
        <v>64</v>
      </c>
      <c r="R94" s="5" t="s">
        <v>139</v>
      </c>
      <c r="S94" s="5" t="s">
        <v>916</v>
      </c>
      <c r="T94" s="5" t="s">
        <v>917</v>
      </c>
      <c r="U94" s="5" t="s">
        <v>918</v>
      </c>
      <c r="V94" s="8">
        <v>59</v>
      </c>
      <c r="W94" s="9">
        <v>81757</v>
      </c>
      <c r="X94" s="5"/>
      <c r="Y94" s="10">
        <v>100</v>
      </c>
      <c r="Z94" s="10">
        <v>18.18</v>
      </c>
      <c r="AA94" s="10">
        <v>18.18</v>
      </c>
      <c r="AB94" s="10">
        <v>39660</v>
      </c>
      <c r="AC94" s="10">
        <v>2416</v>
      </c>
      <c r="AD94" s="10">
        <v>0</v>
      </c>
      <c r="AE94" s="11">
        <v>42076</v>
      </c>
      <c r="AF94" s="12" t="s">
        <v>62</v>
      </c>
      <c r="AG94" s="14" t="s">
        <v>201</v>
      </c>
      <c r="AH94" s="14" t="s">
        <v>65</v>
      </c>
      <c r="AI94" s="14" t="s">
        <v>36</v>
      </c>
      <c r="AJ94" s="14">
        <v>90000</v>
      </c>
      <c r="AK94" s="14">
        <v>85000</v>
      </c>
      <c r="AL94" s="13">
        <v>60</v>
      </c>
      <c r="AM94" s="13">
        <v>60</v>
      </c>
      <c r="AN94" s="14" t="s">
        <v>196</v>
      </c>
      <c r="AO94" s="14" t="s">
        <v>197</v>
      </c>
      <c r="AP94" s="14" t="s">
        <v>37</v>
      </c>
      <c r="AQ94" s="18">
        <v>202605</v>
      </c>
      <c r="AR94" s="18" t="s">
        <v>147</v>
      </c>
      <c r="AS94" s="14" t="s">
        <v>232</v>
      </c>
      <c r="AT94" s="14" t="s">
        <v>232</v>
      </c>
      <c r="AU94" s="22" t="s">
        <v>275</v>
      </c>
      <c r="AV94" s="22" t="s">
        <v>363</v>
      </c>
    </row>
    <row r="95" spans="1:48" x14ac:dyDescent="0.3">
      <c r="A95" s="5" t="s">
        <v>145</v>
      </c>
      <c r="B95" s="5" t="s">
        <v>54</v>
      </c>
      <c r="C95" s="5" t="s">
        <v>525</v>
      </c>
      <c r="D95" s="5" t="s">
        <v>32</v>
      </c>
      <c r="E95" s="6" t="s">
        <v>33</v>
      </c>
      <c r="F95" s="7">
        <v>81</v>
      </c>
      <c r="G95" s="5" t="s">
        <v>426</v>
      </c>
      <c r="H95" s="5" t="s">
        <v>919</v>
      </c>
      <c r="I95" s="5" t="s">
        <v>920</v>
      </c>
      <c r="J95" s="5" t="s">
        <v>34</v>
      </c>
      <c r="K95" s="5" t="s">
        <v>60</v>
      </c>
      <c r="L95" s="5" t="s">
        <v>200</v>
      </c>
      <c r="M95" s="5" t="s">
        <v>39</v>
      </c>
      <c r="N95" s="5"/>
      <c r="O95" s="6"/>
      <c r="P95" s="5" t="s">
        <v>94</v>
      </c>
      <c r="Q95" s="5" t="s">
        <v>64</v>
      </c>
      <c r="R95" s="5" t="s">
        <v>140</v>
      </c>
      <c r="S95" s="5" t="s">
        <v>921</v>
      </c>
      <c r="T95" s="5" t="s">
        <v>922</v>
      </c>
      <c r="U95" s="5" t="s">
        <v>349</v>
      </c>
      <c r="V95" s="8">
        <v>57</v>
      </c>
      <c r="W95" s="9">
        <v>56723</v>
      </c>
      <c r="X95" s="5"/>
      <c r="Y95" s="10">
        <v>100</v>
      </c>
      <c r="Z95" s="10">
        <v>18.18</v>
      </c>
      <c r="AA95" s="10">
        <v>18.18</v>
      </c>
      <c r="AB95" s="10">
        <v>39660</v>
      </c>
      <c r="AC95" s="10">
        <v>2416</v>
      </c>
      <c r="AD95" s="10">
        <v>0</v>
      </c>
      <c r="AE95" s="11">
        <v>42076</v>
      </c>
      <c r="AF95" s="12" t="s">
        <v>62</v>
      </c>
      <c r="AG95" s="14" t="s">
        <v>186</v>
      </c>
      <c r="AH95" s="14" t="s">
        <v>65</v>
      </c>
      <c r="AI95" s="14" t="s">
        <v>36</v>
      </c>
      <c r="AJ95" s="14">
        <v>60000</v>
      </c>
      <c r="AK95" s="14">
        <v>60000</v>
      </c>
      <c r="AL95" s="13">
        <v>60</v>
      </c>
      <c r="AM95" s="13">
        <v>60</v>
      </c>
      <c r="AN95" s="14" t="s">
        <v>196</v>
      </c>
      <c r="AO95" s="14" t="s">
        <v>197</v>
      </c>
      <c r="AP95" s="14" t="s">
        <v>37</v>
      </c>
      <c r="AQ95" s="18">
        <v>202605</v>
      </c>
      <c r="AR95" s="18" t="s">
        <v>147</v>
      </c>
      <c r="AS95" s="14" t="s">
        <v>232</v>
      </c>
      <c r="AT95" s="14" t="s">
        <v>232</v>
      </c>
      <c r="AU95" s="22" t="s">
        <v>275</v>
      </c>
      <c r="AV95" s="22" t="s">
        <v>363</v>
      </c>
    </row>
    <row r="96" spans="1:48" x14ac:dyDescent="0.3">
      <c r="A96" s="5" t="s">
        <v>145</v>
      </c>
      <c r="B96" s="5" t="s">
        <v>54</v>
      </c>
      <c r="C96" s="5" t="s">
        <v>525</v>
      </c>
      <c r="D96" s="5" t="s">
        <v>32</v>
      </c>
      <c r="E96" s="6" t="s">
        <v>33</v>
      </c>
      <c r="F96" s="7">
        <v>82</v>
      </c>
      <c r="G96" s="5" t="s">
        <v>426</v>
      </c>
      <c r="H96" s="5" t="s">
        <v>923</v>
      </c>
      <c r="I96" s="5" t="s">
        <v>924</v>
      </c>
      <c r="J96" s="5" t="s">
        <v>34</v>
      </c>
      <c r="K96" s="5" t="s">
        <v>60</v>
      </c>
      <c r="L96" s="5" t="s">
        <v>200</v>
      </c>
      <c r="M96" s="5" t="s">
        <v>39</v>
      </c>
      <c r="N96" s="5"/>
      <c r="O96" s="6"/>
      <c r="P96" s="5" t="s">
        <v>94</v>
      </c>
      <c r="Q96" s="5" t="s">
        <v>64</v>
      </c>
      <c r="R96" s="5" t="s">
        <v>139</v>
      </c>
      <c r="S96" s="5" t="s">
        <v>925</v>
      </c>
      <c r="T96" s="5" t="s">
        <v>926</v>
      </c>
      <c r="U96" s="5" t="s">
        <v>927</v>
      </c>
      <c r="V96" s="8">
        <v>52</v>
      </c>
      <c r="W96" s="9">
        <v>96003</v>
      </c>
      <c r="X96" s="5"/>
      <c r="Y96" s="10">
        <v>100</v>
      </c>
      <c r="Z96" s="10">
        <v>18.18</v>
      </c>
      <c r="AA96" s="10">
        <v>18.18</v>
      </c>
      <c r="AB96" s="10">
        <v>39660</v>
      </c>
      <c r="AC96" s="10">
        <v>2416</v>
      </c>
      <c r="AD96" s="10">
        <v>0</v>
      </c>
      <c r="AE96" s="11">
        <v>42076</v>
      </c>
      <c r="AF96" s="12" t="s">
        <v>62</v>
      </c>
      <c r="AG96" s="14" t="s">
        <v>299</v>
      </c>
      <c r="AH96" s="14" t="s">
        <v>65</v>
      </c>
      <c r="AI96" s="14" t="s">
        <v>36</v>
      </c>
      <c r="AJ96" s="14">
        <v>100000</v>
      </c>
      <c r="AK96" s="14">
        <v>100000</v>
      </c>
      <c r="AL96" s="13">
        <v>54</v>
      </c>
      <c r="AM96" s="13">
        <v>54</v>
      </c>
      <c r="AN96" s="14" t="s">
        <v>196</v>
      </c>
      <c r="AO96" s="14" t="s">
        <v>197</v>
      </c>
      <c r="AP96" s="14" t="s">
        <v>37</v>
      </c>
      <c r="AQ96" s="18">
        <v>202605</v>
      </c>
      <c r="AR96" s="18" t="s">
        <v>147</v>
      </c>
      <c r="AS96" s="14" t="s">
        <v>232</v>
      </c>
      <c r="AT96" s="14" t="s">
        <v>232</v>
      </c>
      <c r="AU96" s="22" t="s">
        <v>275</v>
      </c>
      <c r="AV96" s="22" t="s">
        <v>363</v>
      </c>
    </row>
    <row r="97" spans="1:48" x14ac:dyDescent="0.3">
      <c r="A97" s="5" t="s">
        <v>145</v>
      </c>
      <c r="B97" s="5" t="s">
        <v>54</v>
      </c>
      <c r="C97" s="5" t="s">
        <v>525</v>
      </c>
      <c r="D97" s="5" t="s">
        <v>32</v>
      </c>
      <c r="E97" s="6" t="s">
        <v>33</v>
      </c>
      <c r="F97" s="7">
        <v>83</v>
      </c>
      <c r="G97" s="5" t="s">
        <v>426</v>
      </c>
      <c r="H97" s="5" t="s">
        <v>928</v>
      </c>
      <c r="I97" s="5" t="s">
        <v>929</v>
      </c>
      <c r="J97" s="5" t="s">
        <v>34</v>
      </c>
      <c r="K97" s="5" t="s">
        <v>60</v>
      </c>
      <c r="L97" s="5" t="s">
        <v>200</v>
      </c>
      <c r="M97" s="5" t="s">
        <v>39</v>
      </c>
      <c r="N97" s="5"/>
      <c r="O97" s="6"/>
      <c r="P97" s="5" t="s">
        <v>94</v>
      </c>
      <c r="Q97" s="5" t="s">
        <v>64</v>
      </c>
      <c r="R97" s="5" t="s">
        <v>139</v>
      </c>
      <c r="S97" s="5" t="s">
        <v>930</v>
      </c>
      <c r="T97" s="5" t="s">
        <v>931</v>
      </c>
      <c r="U97" s="5" t="s">
        <v>932</v>
      </c>
      <c r="V97" s="8">
        <v>54</v>
      </c>
      <c r="W97" s="9">
        <v>56584</v>
      </c>
      <c r="X97" s="5"/>
      <c r="Y97" s="10">
        <v>100</v>
      </c>
      <c r="Z97" s="10">
        <v>18.18</v>
      </c>
      <c r="AA97" s="10">
        <v>18.18</v>
      </c>
      <c r="AB97" s="10">
        <v>39660</v>
      </c>
      <c r="AC97" s="10">
        <v>2416</v>
      </c>
      <c r="AD97" s="10">
        <v>0</v>
      </c>
      <c r="AE97" s="11">
        <v>42076</v>
      </c>
      <c r="AF97" s="12" t="s">
        <v>62</v>
      </c>
      <c r="AG97" s="14" t="s">
        <v>246</v>
      </c>
      <c r="AH97" s="14" t="s">
        <v>65</v>
      </c>
      <c r="AI97" s="14" t="s">
        <v>36</v>
      </c>
      <c r="AJ97" s="14">
        <v>60000</v>
      </c>
      <c r="AK97" s="14">
        <v>60000</v>
      </c>
      <c r="AL97" s="13">
        <v>60</v>
      </c>
      <c r="AM97" s="13">
        <v>57</v>
      </c>
      <c r="AN97" s="14" t="s">
        <v>196</v>
      </c>
      <c r="AO97" s="14" t="s">
        <v>197</v>
      </c>
      <c r="AP97" s="14" t="s">
        <v>37</v>
      </c>
      <c r="AQ97" s="18">
        <v>202605</v>
      </c>
      <c r="AR97" s="18" t="s">
        <v>147</v>
      </c>
      <c r="AS97" s="14" t="s">
        <v>232</v>
      </c>
      <c r="AT97" s="14" t="s">
        <v>232</v>
      </c>
      <c r="AU97" s="22" t="s">
        <v>275</v>
      </c>
      <c r="AV97" s="22" t="s">
        <v>363</v>
      </c>
    </row>
    <row r="98" spans="1:48" x14ac:dyDescent="0.3">
      <c r="A98" s="5" t="s">
        <v>145</v>
      </c>
      <c r="B98" s="5" t="s">
        <v>54</v>
      </c>
      <c r="C98" s="5" t="s">
        <v>525</v>
      </c>
      <c r="D98" s="5" t="s">
        <v>32</v>
      </c>
      <c r="E98" s="6" t="s">
        <v>33</v>
      </c>
      <c r="F98" s="7">
        <v>84</v>
      </c>
      <c r="G98" s="5" t="s">
        <v>426</v>
      </c>
      <c r="H98" s="5" t="s">
        <v>933</v>
      </c>
      <c r="I98" s="5" t="s">
        <v>934</v>
      </c>
      <c r="J98" s="5" t="s">
        <v>34</v>
      </c>
      <c r="K98" s="5" t="s">
        <v>60</v>
      </c>
      <c r="L98" s="5" t="s">
        <v>200</v>
      </c>
      <c r="M98" s="5" t="s">
        <v>39</v>
      </c>
      <c r="N98" s="5"/>
      <c r="O98" s="6"/>
      <c r="P98" s="5" t="s">
        <v>94</v>
      </c>
      <c r="Q98" s="5" t="s">
        <v>64</v>
      </c>
      <c r="R98" s="5" t="s">
        <v>140</v>
      </c>
      <c r="S98" s="5" t="s">
        <v>935</v>
      </c>
      <c r="T98" s="5" t="s">
        <v>936</v>
      </c>
      <c r="U98" s="5" t="s">
        <v>937</v>
      </c>
      <c r="V98" s="8">
        <v>46</v>
      </c>
      <c r="W98" s="9">
        <v>54504</v>
      </c>
      <c r="X98" s="5"/>
      <c r="Y98" s="10">
        <v>100</v>
      </c>
      <c r="Z98" s="10">
        <v>18.18</v>
      </c>
      <c r="AA98" s="10">
        <v>18.18</v>
      </c>
      <c r="AB98" s="10">
        <v>39660</v>
      </c>
      <c r="AC98" s="10">
        <v>2416</v>
      </c>
      <c r="AD98" s="10">
        <v>0</v>
      </c>
      <c r="AE98" s="11">
        <v>42076</v>
      </c>
      <c r="AF98" s="12" t="s">
        <v>62</v>
      </c>
      <c r="AG98" s="14" t="s">
        <v>371</v>
      </c>
      <c r="AH98" s="14" t="s">
        <v>65</v>
      </c>
      <c r="AI98" s="14" t="s">
        <v>36</v>
      </c>
      <c r="AJ98" s="14">
        <v>60000</v>
      </c>
      <c r="AK98" s="14">
        <v>55000</v>
      </c>
      <c r="AL98" s="13">
        <v>48</v>
      </c>
      <c r="AM98" s="13">
        <v>48</v>
      </c>
      <c r="AN98" s="14" t="s">
        <v>196</v>
      </c>
      <c r="AO98" s="14" t="s">
        <v>197</v>
      </c>
      <c r="AP98" s="14" t="s">
        <v>37</v>
      </c>
      <c r="AQ98" s="18">
        <v>202605</v>
      </c>
      <c r="AR98" s="18" t="s">
        <v>147</v>
      </c>
      <c r="AS98" s="14" t="s">
        <v>232</v>
      </c>
      <c r="AT98" s="14" t="s">
        <v>232</v>
      </c>
      <c r="AU98" s="22" t="s">
        <v>275</v>
      </c>
      <c r="AV98" s="22" t="s">
        <v>363</v>
      </c>
    </row>
    <row r="99" spans="1:48" x14ac:dyDescent="0.3">
      <c r="A99" s="5" t="s">
        <v>145</v>
      </c>
      <c r="B99" s="5" t="s">
        <v>54</v>
      </c>
      <c r="C99" s="5" t="s">
        <v>525</v>
      </c>
      <c r="D99" s="5" t="s">
        <v>32</v>
      </c>
      <c r="E99" s="6" t="s">
        <v>33</v>
      </c>
      <c r="F99" s="7">
        <v>85</v>
      </c>
      <c r="G99" s="5" t="s">
        <v>426</v>
      </c>
      <c r="H99" s="5" t="s">
        <v>938</v>
      </c>
      <c r="I99" s="5" t="s">
        <v>939</v>
      </c>
      <c r="J99" s="5" t="s">
        <v>34</v>
      </c>
      <c r="K99" s="5" t="s">
        <v>60</v>
      </c>
      <c r="L99" s="5" t="s">
        <v>200</v>
      </c>
      <c r="M99" s="5" t="s">
        <v>39</v>
      </c>
      <c r="N99" s="5"/>
      <c r="O99" s="6"/>
      <c r="P99" s="5" t="s">
        <v>94</v>
      </c>
      <c r="Q99" s="5" t="s">
        <v>64</v>
      </c>
      <c r="R99" s="5" t="s">
        <v>140</v>
      </c>
      <c r="S99" s="5" t="s">
        <v>935</v>
      </c>
      <c r="T99" s="5" t="s">
        <v>940</v>
      </c>
      <c r="U99" s="5" t="s">
        <v>941</v>
      </c>
      <c r="V99" s="8">
        <v>47</v>
      </c>
      <c r="W99" s="9">
        <v>98701</v>
      </c>
      <c r="X99" s="5"/>
      <c r="Y99" s="10">
        <v>100</v>
      </c>
      <c r="Z99" s="10">
        <v>18.18</v>
      </c>
      <c r="AA99" s="10">
        <v>18.18</v>
      </c>
      <c r="AB99" s="10">
        <v>39660</v>
      </c>
      <c r="AC99" s="10">
        <v>2416</v>
      </c>
      <c r="AD99" s="10">
        <v>0</v>
      </c>
      <c r="AE99" s="11">
        <v>42076</v>
      </c>
      <c r="AF99" s="12" t="s">
        <v>62</v>
      </c>
      <c r="AG99" s="14" t="s">
        <v>371</v>
      </c>
      <c r="AH99" s="14" t="s">
        <v>65</v>
      </c>
      <c r="AI99" s="14" t="s">
        <v>36</v>
      </c>
      <c r="AJ99" s="14">
        <v>100000</v>
      </c>
      <c r="AK99" s="14">
        <v>100000</v>
      </c>
      <c r="AL99" s="13">
        <v>48</v>
      </c>
      <c r="AM99" s="13">
        <v>48</v>
      </c>
      <c r="AN99" s="14" t="s">
        <v>196</v>
      </c>
      <c r="AO99" s="14" t="s">
        <v>197</v>
      </c>
      <c r="AP99" s="14" t="s">
        <v>37</v>
      </c>
      <c r="AQ99" s="18">
        <v>202605</v>
      </c>
      <c r="AR99" s="18" t="s">
        <v>147</v>
      </c>
      <c r="AS99" s="14" t="s">
        <v>232</v>
      </c>
      <c r="AT99" s="14" t="s">
        <v>232</v>
      </c>
      <c r="AU99" s="22" t="s">
        <v>275</v>
      </c>
      <c r="AV99" s="22" t="s">
        <v>363</v>
      </c>
    </row>
    <row r="100" spans="1:48" x14ac:dyDescent="0.3">
      <c r="A100" s="5" t="s">
        <v>145</v>
      </c>
      <c r="B100" s="5" t="s">
        <v>54</v>
      </c>
      <c r="C100" s="5" t="s">
        <v>525</v>
      </c>
      <c r="D100" s="5" t="s">
        <v>32</v>
      </c>
      <c r="E100" s="6" t="s">
        <v>33</v>
      </c>
      <c r="F100" s="7">
        <v>86</v>
      </c>
      <c r="G100" s="5" t="s">
        <v>426</v>
      </c>
      <c r="H100" s="5" t="s">
        <v>942</v>
      </c>
      <c r="I100" s="5" t="s">
        <v>943</v>
      </c>
      <c r="J100" s="5" t="s">
        <v>34</v>
      </c>
      <c r="K100" s="5" t="s">
        <v>60</v>
      </c>
      <c r="L100" s="5" t="s">
        <v>200</v>
      </c>
      <c r="M100" s="5" t="s">
        <v>39</v>
      </c>
      <c r="N100" s="5"/>
      <c r="O100" s="6"/>
      <c r="P100" s="5" t="s">
        <v>94</v>
      </c>
      <c r="Q100" s="5" t="s">
        <v>64</v>
      </c>
      <c r="R100" s="5" t="s">
        <v>140</v>
      </c>
      <c r="S100" s="5" t="s">
        <v>944</v>
      </c>
      <c r="T100" s="5" t="s">
        <v>945</v>
      </c>
      <c r="U100" s="5" t="s">
        <v>946</v>
      </c>
      <c r="V100" s="8">
        <v>41</v>
      </c>
      <c r="W100" s="9">
        <v>86149</v>
      </c>
      <c r="X100" s="5"/>
      <c r="Y100" s="10">
        <v>100</v>
      </c>
      <c r="Z100" s="10">
        <v>18.18</v>
      </c>
      <c r="AA100" s="10">
        <v>18.18</v>
      </c>
      <c r="AB100" s="10">
        <v>39660</v>
      </c>
      <c r="AC100" s="10">
        <v>2416</v>
      </c>
      <c r="AD100" s="10">
        <v>0</v>
      </c>
      <c r="AE100" s="11">
        <v>42076</v>
      </c>
      <c r="AF100" s="12" t="s">
        <v>62</v>
      </c>
      <c r="AG100" s="14" t="s">
        <v>133</v>
      </c>
      <c r="AH100" s="14" t="s">
        <v>65</v>
      </c>
      <c r="AI100" s="14" t="s">
        <v>36</v>
      </c>
      <c r="AJ100" s="14">
        <v>90000</v>
      </c>
      <c r="AK100" s="14">
        <v>90000</v>
      </c>
      <c r="AL100" s="13">
        <v>42</v>
      </c>
      <c r="AM100" s="13">
        <v>42</v>
      </c>
      <c r="AN100" s="14" t="s">
        <v>196</v>
      </c>
      <c r="AO100" s="14" t="s">
        <v>197</v>
      </c>
      <c r="AP100" s="14" t="s">
        <v>37</v>
      </c>
      <c r="AQ100" s="18">
        <v>202605</v>
      </c>
      <c r="AR100" s="18" t="s">
        <v>147</v>
      </c>
      <c r="AS100" s="14" t="s">
        <v>232</v>
      </c>
      <c r="AT100" s="14" t="s">
        <v>232</v>
      </c>
      <c r="AU100" s="22" t="s">
        <v>275</v>
      </c>
      <c r="AV100" s="22" t="s">
        <v>363</v>
      </c>
    </row>
    <row r="101" spans="1:48" x14ac:dyDescent="0.3">
      <c r="A101" s="5" t="s">
        <v>145</v>
      </c>
      <c r="B101" s="5" t="s">
        <v>54</v>
      </c>
      <c r="C101" s="5" t="s">
        <v>525</v>
      </c>
      <c r="D101" s="5" t="s">
        <v>32</v>
      </c>
      <c r="E101" s="6" t="s">
        <v>33</v>
      </c>
      <c r="F101" s="7">
        <v>87</v>
      </c>
      <c r="G101" s="5" t="s">
        <v>426</v>
      </c>
      <c r="H101" s="5" t="s">
        <v>947</v>
      </c>
      <c r="I101" s="5" t="s">
        <v>948</v>
      </c>
      <c r="J101" s="5" t="s">
        <v>34</v>
      </c>
      <c r="K101" s="5" t="s">
        <v>60</v>
      </c>
      <c r="L101" s="5" t="s">
        <v>200</v>
      </c>
      <c r="M101" s="5" t="s">
        <v>39</v>
      </c>
      <c r="N101" s="5"/>
      <c r="O101" s="6"/>
      <c r="P101" s="5" t="s">
        <v>94</v>
      </c>
      <c r="Q101" s="5" t="s">
        <v>64</v>
      </c>
      <c r="R101" s="5" t="s">
        <v>140</v>
      </c>
      <c r="S101" s="5" t="s">
        <v>949</v>
      </c>
      <c r="T101" s="5" t="s">
        <v>871</v>
      </c>
      <c r="U101" s="5" t="s">
        <v>950</v>
      </c>
      <c r="V101" s="8">
        <v>33</v>
      </c>
      <c r="W101" s="9">
        <v>99907</v>
      </c>
      <c r="X101" s="5"/>
      <c r="Y101" s="10">
        <v>100</v>
      </c>
      <c r="Z101" s="10">
        <v>18.18</v>
      </c>
      <c r="AA101" s="10">
        <v>18.18</v>
      </c>
      <c r="AB101" s="10">
        <v>39660</v>
      </c>
      <c r="AC101" s="10">
        <v>2416</v>
      </c>
      <c r="AD101" s="10">
        <v>0</v>
      </c>
      <c r="AE101" s="11">
        <v>42076</v>
      </c>
      <c r="AF101" s="12" t="s">
        <v>62</v>
      </c>
      <c r="AG101" s="14" t="s">
        <v>146</v>
      </c>
      <c r="AH101" s="14" t="s">
        <v>65</v>
      </c>
      <c r="AI101" s="14" t="s">
        <v>36</v>
      </c>
      <c r="AJ101" s="14">
        <v>100000</v>
      </c>
      <c r="AK101" s="14">
        <v>100000</v>
      </c>
      <c r="AL101" s="13">
        <v>36</v>
      </c>
      <c r="AM101" s="13">
        <v>36</v>
      </c>
      <c r="AN101" s="14" t="s">
        <v>196</v>
      </c>
      <c r="AO101" s="14" t="s">
        <v>197</v>
      </c>
      <c r="AP101" s="14" t="s">
        <v>37</v>
      </c>
      <c r="AQ101" s="18">
        <v>202605</v>
      </c>
      <c r="AR101" s="18" t="s">
        <v>147</v>
      </c>
      <c r="AS101" s="14" t="s">
        <v>232</v>
      </c>
      <c r="AT101" s="14" t="s">
        <v>232</v>
      </c>
      <c r="AU101" s="22" t="s">
        <v>275</v>
      </c>
      <c r="AV101" s="22" t="s">
        <v>363</v>
      </c>
    </row>
    <row r="102" spans="1:48" x14ac:dyDescent="0.3">
      <c r="A102" s="5" t="s">
        <v>145</v>
      </c>
      <c r="B102" s="5" t="s">
        <v>54</v>
      </c>
      <c r="C102" s="5" t="s">
        <v>525</v>
      </c>
      <c r="D102" s="5" t="s">
        <v>32</v>
      </c>
      <c r="E102" s="6" t="s">
        <v>33</v>
      </c>
      <c r="F102" s="7">
        <v>88</v>
      </c>
      <c r="G102" s="5" t="s">
        <v>426</v>
      </c>
      <c r="H102" s="5" t="s">
        <v>951</v>
      </c>
      <c r="I102" s="5" t="s">
        <v>952</v>
      </c>
      <c r="J102" s="5" t="s">
        <v>34</v>
      </c>
      <c r="K102" s="5" t="s">
        <v>60</v>
      </c>
      <c r="L102" s="5" t="s">
        <v>200</v>
      </c>
      <c r="M102" s="5" t="s">
        <v>39</v>
      </c>
      <c r="N102" s="5"/>
      <c r="O102" s="6"/>
      <c r="P102" s="5" t="s">
        <v>94</v>
      </c>
      <c r="Q102" s="5" t="s">
        <v>64</v>
      </c>
      <c r="R102" s="5" t="s">
        <v>140</v>
      </c>
      <c r="S102" s="5" t="s">
        <v>953</v>
      </c>
      <c r="T102" s="5" t="s">
        <v>954</v>
      </c>
      <c r="U102" s="5" t="s">
        <v>955</v>
      </c>
      <c r="V102" s="8">
        <v>26</v>
      </c>
      <c r="W102" s="9">
        <v>51494</v>
      </c>
      <c r="X102" s="5"/>
      <c r="Y102" s="10">
        <v>100</v>
      </c>
      <c r="Z102" s="10">
        <v>18.18</v>
      </c>
      <c r="AA102" s="10">
        <v>18.18</v>
      </c>
      <c r="AB102" s="10">
        <v>39660</v>
      </c>
      <c r="AC102" s="10">
        <v>2416</v>
      </c>
      <c r="AD102" s="10">
        <v>0</v>
      </c>
      <c r="AE102" s="11">
        <v>42076</v>
      </c>
      <c r="AF102" s="12" t="s">
        <v>62</v>
      </c>
      <c r="AG102" s="14" t="s">
        <v>230</v>
      </c>
      <c r="AH102" s="14" t="s">
        <v>65</v>
      </c>
      <c r="AI102" s="14" t="s">
        <v>36</v>
      </c>
      <c r="AJ102" s="14">
        <v>60000</v>
      </c>
      <c r="AK102" s="14">
        <v>55000</v>
      </c>
      <c r="AL102" s="13">
        <v>30</v>
      </c>
      <c r="AM102" s="13">
        <v>27</v>
      </c>
      <c r="AN102" s="14" t="s">
        <v>196</v>
      </c>
      <c r="AO102" s="14" t="s">
        <v>197</v>
      </c>
      <c r="AP102" s="14" t="s">
        <v>37</v>
      </c>
      <c r="AQ102" s="18">
        <v>202605</v>
      </c>
      <c r="AR102" s="18" t="s">
        <v>147</v>
      </c>
      <c r="AS102" s="14" t="s">
        <v>232</v>
      </c>
      <c r="AT102" s="14" t="s">
        <v>232</v>
      </c>
      <c r="AU102" s="22" t="s">
        <v>275</v>
      </c>
      <c r="AV102" s="22" t="s">
        <v>363</v>
      </c>
    </row>
    <row r="103" spans="1:48" x14ac:dyDescent="0.3">
      <c r="A103" s="5" t="s">
        <v>145</v>
      </c>
      <c r="B103" s="5" t="s">
        <v>54</v>
      </c>
      <c r="C103" s="5" t="s">
        <v>525</v>
      </c>
      <c r="D103" s="5" t="s">
        <v>32</v>
      </c>
      <c r="E103" s="6" t="s">
        <v>33</v>
      </c>
      <c r="F103" s="7">
        <v>89</v>
      </c>
      <c r="G103" s="5" t="s">
        <v>426</v>
      </c>
      <c r="H103" s="5" t="s">
        <v>956</v>
      </c>
      <c r="I103" s="5" t="s">
        <v>957</v>
      </c>
      <c r="J103" s="5" t="s">
        <v>34</v>
      </c>
      <c r="K103" s="5" t="s">
        <v>60</v>
      </c>
      <c r="L103" s="5" t="s">
        <v>200</v>
      </c>
      <c r="M103" s="5" t="s">
        <v>39</v>
      </c>
      <c r="N103" s="5"/>
      <c r="O103" s="6"/>
      <c r="P103" s="5" t="s">
        <v>94</v>
      </c>
      <c r="Q103" s="5" t="s">
        <v>64</v>
      </c>
      <c r="R103" s="5" t="s">
        <v>140</v>
      </c>
      <c r="S103" s="5" t="s">
        <v>958</v>
      </c>
      <c r="T103" s="5" t="s">
        <v>940</v>
      </c>
      <c r="U103" s="5" t="s">
        <v>959</v>
      </c>
      <c r="V103" s="8">
        <v>21</v>
      </c>
      <c r="W103" s="9">
        <v>69583</v>
      </c>
      <c r="X103" s="5"/>
      <c r="Y103" s="10">
        <v>100</v>
      </c>
      <c r="Z103" s="10">
        <v>18.18</v>
      </c>
      <c r="AA103" s="10">
        <v>18.18</v>
      </c>
      <c r="AB103" s="10">
        <v>39660</v>
      </c>
      <c r="AC103" s="10">
        <v>2416</v>
      </c>
      <c r="AD103" s="10">
        <v>0</v>
      </c>
      <c r="AE103" s="11">
        <v>42076</v>
      </c>
      <c r="AF103" s="12" t="s">
        <v>62</v>
      </c>
      <c r="AG103" s="14" t="s">
        <v>185</v>
      </c>
      <c r="AH103" s="14" t="s">
        <v>65</v>
      </c>
      <c r="AI103" s="14" t="s">
        <v>36</v>
      </c>
      <c r="AJ103" s="14">
        <v>70000</v>
      </c>
      <c r="AK103" s="14">
        <v>70000</v>
      </c>
      <c r="AL103" s="13">
        <v>24</v>
      </c>
      <c r="AM103" s="13">
        <v>24</v>
      </c>
      <c r="AN103" s="14" t="s">
        <v>196</v>
      </c>
      <c r="AO103" s="14" t="s">
        <v>197</v>
      </c>
      <c r="AP103" s="14" t="s">
        <v>37</v>
      </c>
      <c r="AQ103" s="18">
        <v>202605</v>
      </c>
      <c r="AR103" s="18" t="s">
        <v>147</v>
      </c>
      <c r="AS103" s="14" t="s">
        <v>232</v>
      </c>
      <c r="AT103" s="14" t="s">
        <v>232</v>
      </c>
      <c r="AU103" s="22" t="s">
        <v>275</v>
      </c>
      <c r="AV103" s="22" t="s">
        <v>363</v>
      </c>
    </row>
    <row r="104" spans="1:48" x14ac:dyDescent="0.3">
      <c r="A104" s="5" t="s">
        <v>145</v>
      </c>
      <c r="B104" s="5" t="s">
        <v>54</v>
      </c>
      <c r="C104" s="5" t="s">
        <v>525</v>
      </c>
      <c r="D104" s="5" t="s">
        <v>32</v>
      </c>
      <c r="E104" s="6" t="s">
        <v>33</v>
      </c>
      <c r="F104" s="7">
        <v>90</v>
      </c>
      <c r="G104" s="5" t="s">
        <v>426</v>
      </c>
      <c r="H104" s="5" t="s">
        <v>960</v>
      </c>
      <c r="I104" s="5" t="s">
        <v>961</v>
      </c>
      <c r="J104" s="5" t="s">
        <v>34</v>
      </c>
      <c r="K104" s="5" t="s">
        <v>60</v>
      </c>
      <c r="L104" s="5" t="s">
        <v>200</v>
      </c>
      <c r="M104" s="5" t="s">
        <v>39</v>
      </c>
      <c r="N104" s="5"/>
      <c r="O104" s="6"/>
      <c r="P104" s="5" t="s">
        <v>94</v>
      </c>
      <c r="Q104" s="5" t="s">
        <v>281</v>
      </c>
      <c r="R104" s="5" t="s">
        <v>140</v>
      </c>
      <c r="S104" s="5" t="s">
        <v>962</v>
      </c>
      <c r="T104" s="5" t="s">
        <v>940</v>
      </c>
      <c r="U104" s="5" t="s">
        <v>963</v>
      </c>
      <c r="V104" s="8">
        <v>21</v>
      </c>
      <c r="W104" s="9">
        <v>43492</v>
      </c>
      <c r="X104" s="5"/>
      <c r="Y104" s="10">
        <v>100</v>
      </c>
      <c r="Z104" s="10">
        <v>18.18</v>
      </c>
      <c r="AA104" s="10">
        <v>18.18</v>
      </c>
      <c r="AB104" s="10">
        <v>39660</v>
      </c>
      <c r="AC104" s="10">
        <v>2416</v>
      </c>
      <c r="AD104" s="10">
        <v>0</v>
      </c>
      <c r="AE104" s="11">
        <v>42076</v>
      </c>
      <c r="AF104" s="12" t="s">
        <v>62</v>
      </c>
      <c r="AG104" s="14" t="s">
        <v>185</v>
      </c>
      <c r="AH104" s="14" t="s">
        <v>283</v>
      </c>
      <c r="AI104" s="14" t="s">
        <v>36</v>
      </c>
      <c r="AJ104" s="14">
        <v>50000</v>
      </c>
      <c r="AK104" s="14">
        <v>45000</v>
      </c>
      <c r="AL104" s="13">
        <v>24</v>
      </c>
      <c r="AM104" s="13">
        <v>24</v>
      </c>
      <c r="AN104" s="14" t="s">
        <v>196</v>
      </c>
      <c r="AO104" s="14" t="s">
        <v>197</v>
      </c>
      <c r="AP104" s="14" t="s">
        <v>37</v>
      </c>
      <c r="AQ104" s="18">
        <v>202605</v>
      </c>
      <c r="AR104" s="18" t="s">
        <v>147</v>
      </c>
      <c r="AS104" s="14" t="s">
        <v>232</v>
      </c>
      <c r="AT104" s="14" t="s">
        <v>232</v>
      </c>
      <c r="AU104" s="22" t="s">
        <v>275</v>
      </c>
      <c r="AV104" s="22" t="s">
        <v>363</v>
      </c>
    </row>
    <row r="105" spans="1:48" x14ac:dyDescent="0.3">
      <c r="A105" s="5" t="s">
        <v>145</v>
      </c>
      <c r="B105" s="5" t="s">
        <v>54</v>
      </c>
      <c r="C105" s="5" t="s">
        <v>525</v>
      </c>
      <c r="D105" s="5" t="s">
        <v>32</v>
      </c>
      <c r="E105" s="6" t="s">
        <v>33</v>
      </c>
      <c r="F105" s="7">
        <v>91</v>
      </c>
      <c r="G105" s="5" t="s">
        <v>426</v>
      </c>
      <c r="H105" s="5" t="s">
        <v>964</v>
      </c>
      <c r="I105" s="5" t="s">
        <v>965</v>
      </c>
      <c r="J105" s="5" t="s">
        <v>34</v>
      </c>
      <c r="K105" s="5" t="s">
        <v>60</v>
      </c>
      <c r="L105" s="5" t="s">
        <v>200</v>
      </c>
      <c r="M105" s="5" t="s">
        <v>39</v>
      </c>
      <c r="N105" s="5"/>
      <c r="O105" s="6"/>
      <c r="P105" s="5" t="s">
        <v>94</v>
      </c>
      <c r="Q105" s="5" t="s">
        <v>64</v>
      </c>
      <c r="R105" s="5" t="s">
        <v>140</v>
      </c>
      <c r="S105" s="5" t="s">
        <v>966</v>
      </c>
      <c r="T105" s="5" t="s">
        <v>967</v>
      </c>
      <c r="U105" s="5" t="s">
        <v>968</v>
      </c>
      <c r="V105" s="8">
        <v>17</v>
      </c>
      <c r="W105" s="9">
        <v>70085</v>
      </c>
      <c r="X105" s="5"/>
      <c r="Y105" s="10">
        <v>100</v>
      </c>
      <c r="Z105" s="10">
        <v>18.18</v>
      </c>
      <c r="AA105" s="10">
        <v>18.18</v>
      </c>
      <c r="AB105" s="10">
        <v>39660</v>
      </c>
      <c r="AC105" s="10">
        <v>2416</v>
      </c>
      <c r="AD105" s="10">
        <v>0</v>
      </c>
      <c r="AE105" s="11">
        <v>42076</v>
      </c>
      <c r="AF105" s="12" t="s">
        <v>62</v>
      </c>
      <c r="AG105" s="14" t="s">
        <v>726</v>
      </c>
      <c r="AH105" s="14" t="s">
        <v>65</v>
      </c>
      <c r="AI105" s="14" t="s">
        <v>36</v>
      </c>
      <c r="AJ105" s="14">
        <v>80000</v>
      </c>
      <c r="AK105" s="14">
        <v>75000</v>
      </c>
      <c r="AL105" s="13">
        <v>18</v>
      </c>
      <c r="AM105" s="13">
        <v>18</v>
      </c>
      <c r="AN105" s="14" t="s">
        <v>196</v>
      </c>
      <c r="AO105" s="14" t="s">
        <v>197</v>
      </c>
      <c r="AP105" s="14" t="s">
        <v>37</v>
      </c>
      <c r="AQ105" s="18">
        <v>202605</v>
      </c>
      <c r="AR105" s="18" t="s">
        <v>147</v>
      </c>
      <c r="AS105" s="14" t="s">
        <v>232</v>
      </c>
      <c r="AT105" s="14" t="s">
        <v>232</v>
      </c>
      <c r="AU105" s="22" t="s">
        <v>275</v>
      </c>
      <c r="AV105" s="22" t="s">
        <v>363</v>
      </c>
    </row>
    <row r="106" spans="1:48" x14ac:dyDescent="0.3">
      <c r="A106" s="5" t="s">
        <v>145</v>
      </c>
      <c r="B106" s="5" t="s">
        <v>54</v>
      </c>
      <c r="C106" s="5" t="s">
        <v>525</v>
      </c>
      <c r="D106" s="5" t="s">
        <v>32</v>
      </c>
      <c r="E106" s="6" t="s">
        <v>33</v>
      </c>
      <c r="F106" s="7">
        <v>92</v>
      </c>
      <c r="G106" s="5" t="s">
        <v>426</v>
      </c>
      <c r="H106" s="5" t="s">
        <v>969</v>
      </c>
      <c r="I106" s="5" t="s">
        <v>970</v>
      </c>
      <c r="J106" s="5" t="s">
        <v>34</v>
      </c>
      <c r="K106" s="5" t="s">
        <v>96</v>
      </c>
      <c r="L106" s="5" t="s">
        <v>200</v>
      </c>
      <c r="M106" s="5" t="s">
        <v>39</v>
      </c>
      <c r="N106" s="5"/>
      <c r="O106" s="6"/>
      <c r="P106" s="5" t="s">
        <v>94</v>
      </c>
      <c r="Q106" s="5" t="s">
        <v>64</v>
      </c>
      <c r="R106" s="5" t="s">
        <v>140</v>
      </c>
      <c r="S106" s="5" t="s">
        <v>971</v>
      </c>
      <c r="T106" s="5" t="s">
        <v>972</v>
      </c>
      <c r="U106" s="5" t="s">
        <v>973</v>
      </c>
      <c r="V106" s="8">
        <v>56</v>
      </c>
      <c r="W106" s="9">
        <v>80335</v>
      </c>
      <c r="X106" s="5"/>
      <c r="Y106" s="10">
        <v>100</v>
      </c>
      <c r="Z106" s="10">
        <v>18.18</v>
      </c>
      <c r="AA106" s="10">
        <v>18.18</v>
      </c>
      <c r="AB106" s="10">
        <v>39660</v>
      </c>
      <c r="AC106" s="10">
        <v>3488</v>
      </c>
      <c r="AD106" s="10">
        <v>0</v>
      </c>
      <c r="AE106" s="11">
        <v>43148</v>
      </c>
      <c r="AF106" s="12" t="s">
        <v>98</v>
      </c>
      <c r="AG106" s="14" t="s">
        <v>261</v>
      </c>
      <c r="AH106" s="14" t="s">
        <v>65</v>
      </c>
      <c r="AI106" s="14" t="s">
        <v>36</v>
      </c>
      <c r="AJ106" s="14">
        <v>90000</v>
      </c>
      <c r="AK106" s="14">
        <v>85000</v>
      </c>
      <c r="AL106" s="13">
        <v>60</v>
      </c>
      <c r="AM106" s="13">
        <v>57</v>
      </c>
      <c r="AN106" s="14" t="s">
        <v>196</v>
      </c>
      <c r="AO106" s="14" t="s">
        <v>197</v>
      </c>
      <c r="AP106" s="14" t="s">
        <v>37</v>
      </c>
      <c r="AQ106" s="18">
        <v>202605</v>
      </c>
      <c r="AR106" s="18" t="s">
        <v>147</v>
      </c>
      <c r="AS106" s="14" t="s">
        <v>232</v>
      </c>
      <c r="AT106" s="14" t="s">
        <v>232</v>
      </c>
      <c r="AU106" s="22" t="s">
        <v>275</v>
      </c>
      <c r="AV106" s="22" t="s">
        <v>363</v>
      </c>
    </row>
    <row r="107" spans="1:48" x14ac:dyDescent="0.3">
      <c r="A107" s="5" t="s">
        <v>145</v>
      </c>
      <c r="B107" s="5" t="s">
        <v>54</v>
      </c>
      <c r="C107" s="5" t="s">
        <v>525</v>
      </c>
      <c r="D107" s="5" t="s">
        <v>32</v>
      </c>
      <c r="E107" s="6" t="s">
        <v>33</v>
      </c>
      <c r="F107" s="7">
        <v>93</v>
      </c>
      <c r="G107" s="5" t="s">
        <v>426</v>
      </c>
      <c r="H107" s="5" t="s">
        <v>974</v>
      </c>
      <c r="I107" s="5" t="s">
        <v>975</v>
      </c>
      <c r="J107" s="5" t="s">
        <v>34</v>
      </c>
      <c r="K107" s="5" t="s">
        <v>96</v>
      </c>
      <c r="L107" s="5" t="s">
        <v>200</v>
      </c>
      <c r="M107" s="5" t="s">
        <v>39</v>
      </c>
      <c r="N107" s="5"/>
      <c r="O107" s="6"/>
      <c r="P107" s="5" t="s">
        <v>94</v>
      </c>
      <c r="Q107" s="5" t="s">
        <v>64</v>
      </c>
      <c r="R107" s="5" t="s">
        <v>140</v>
      </c>
      <c r="S107" s="5" t="s">
        <v>976</v>
      </c>
      <c r="T107" s="5" t="s">
        <v>977</v>
      </c>
      <c r="U107" s="5" t="s">
        <v>978</v>
      </c>
      <c r="V107" s="8">
        <v>52</v>
      </c>
      <c r="W107" s="9">
        <v>79514</v>
      </c>
      <c r="X107" s="5"/>
      <c r="Y107" s="10">
        <v>100</v>
      </c>
      <c r="Z107" s="10">
        <v>18.18</v>
      </c>
      <c r="AA107" s="10">
        <v>18.18</v>
      </c>
      <c r="AB107" s="10">
        <v>39660</v>
      </c>
      <c r="AC107" s="10">
        <v>3488</v>
      </c>
      <c r="AD107" s="10">
        <v>0</v>
      </c>
      <c r="AE107" s="11">
        <v>43148</v>
      </c>
      <c r="AF107" s="12" t="s">
        <v>98</v>
      </c>
      <c r="AG107" s="14" t="s">
        <v>203</v>
      </c>
      <c r="AH107" s="14" t="s">
        <v>65</v>
      </c>
      <c r="AI107" s="14" t="s">
        <v>36</v>
      </c>
      <c r="AJ107" s="14">
        <v>80000</v>
      </c>
      <c r="AK107" s="14">
        <v>80000</v>
      </c>
      <c r="AL107" s="13">
        <v>54</v>
      </c>
      <c r="AM107" s="13">
        <v>54</v>
      </c>
      <c r="AN107" s="14" t="s">
        <v>196</v>
      </c>
      <c r="AO107" s="14" t="s">
        <v>197</v>
      </c>
      <c r="AP107" s="14" t="s">
        <v>37</v>
      </c>
      <c r="AQ107" s="18">
        <v>202605</v>
      </c>
      <c r="AR107" s="18" t="s">
        <v>147</v>
      </c>
      <c r="AS107" s="14" t="s">
        <v>232</v>
      </c>
      <c r="AT107" s="14" t="s">
        <v>232</v>
      </c>
      <c r="AU107" s="22" t="s">
        <v>275</v>
      </c>
      <c r="AV107" s="22" t="s">
        <v>363</v>
      </c>
    </row>
    <row r="108" spans="1:48" x14ac:dyDescent="0.3">
      <c r="A108" s="5" t="s">
        <v>145</v>
      </c>
      <c r="B108" s="5" t="s">
        <v>54</v>
      </c>
      <c r="C108" s="5" t="s">
        <v>525</v>
      </c>
      <c r="D108" s="5" t="s">
        <v>32</v>
      </c>
      <c r="E108" s="6" t="s">
        <v>33</v>
      </c>
      <c r="F108" s="7">
        <v>94</v>
      </c>
      <c r="G108" s="5" t="s">
        <v>426</v>
      </c>
      <c r="H108" s="5" t="s">
        <v>979</v>
      </c>
      <c r="I108" s="5" t="s">
        <v>980</v>
      </c>
      <c r="J108" s="5" t="s">
        <v>34</v>
      </c>
      <c r="K108" s="5" t="s">
        <v>96</v>
      </c>
      <c r="L108" s="5" t="s">
        <v>200</v>
      </c>
      <c r="M108" s="5" t="s">
        <v>39</v>
      </c>
      <c r="N108" s="5"/>
      <c r="O108" s="6"/>
      <c r="P108" s="5" t="s">
        <v>94</v>
      </c>
      <c r="Q108" s="5" t="s">
        <v>64</v>
      </c>
      <c r="R108" s="5" t="s">
        <v>140</v>
      </c>
      <c r="S108" s="5" t="s">
        <v>981</v>
      </c>
      <c r="T108" s="5" t="s">
        <v>931</v>
      </c>
      <c r="U108" s="5" t="s">
        <v>982</v>
      </c>
      <c r="V108" s="8">
        <v>60</v>
      </c>
      <c r="W108" s="9">
        <v>55516</v>
      </c>
      <c r="X108" s="5"/>
      <c r="Y108" s="10">
        <v>100</v>
      </c>
      <c r="Z108" s="10">
        <v>18.18</v>
      </c>
      <c r="AA108" s="10">
        <v>18.18</v>
      </c>
      <c r="AB108" s="10">
        <v>39660</v>
      </c>
      <c r="AC108" s="10">
        <v>3488</v>
      </c>
      <c r="AD108" s="10">
        <v>0</v>
      </c>
      <c r="AE108" s="11">
        <v>43148</v>
      </c>
      <c r="AF108" s="12" t="s">
        <v>98</v>
      </c>
      <c r="AG108" s="14" t="s">
        <v>203</v>
      </c>
      <c r="AH108" s="14" t="s">
        <v>65</v>
      </c>
      <c r="AI108" s="14" t="s">
        <v>36</v>
      </c>
      <c r="AJ108" s="14">
        <v>60000</v>
      </c>
      <c r="AK108" s="14">
        <v>60000</v>
      </c>
      <c r="AL108" s="13" t="s">
        <v>121</v>
      </c>
      <c r="AM108" s="13" t="s">
        <v>121</v>
      </c>
      <c r="AN108" s="14" t="s">
        <v>196</v>
      </c>
      <c r="AO108" s="14" t="s">
        <v>197</v>
      </c>
      <c r="AP108" s="14" t="s">
        <v>37</v>
      </c>
      <c r="AQ108" s="18">
        <v>202605</v>
      </c>
      <c r="AR108" s="18" t="s">
        <v>147</v>
      </c>
      <c r="AS108" s="14" t="s">
        <v>232</v>
      </c>
      <c r="AT108" s="14" t="s">
        <v>232</v>
      </c>
      <c r="AU108" s="22" t="s">
        <v>275</v>
      </c>
      <c r="AV108" s="22" t="s">
        <v>363</v>
      </c>
    </row>
    <row r="109" spans="1:48" x14ac:dyDescent="0.3">
      <c r="A109" s="5" t="s">
        <v>145</v>
      </c>
      <c r="B109" s="5" t="s">
        <v>54</v>
      </c>
      <c r="C109" s="5" t="s">
        <v>525</v>
      </c>
      <c r="D109" s="5" t="s">
        <v>32</v>
      </c>
      <c r="E109" s="6" t="s">
        <v>33</v>
      </c>
      <c r="F109" s="7">
        <v>95</v>
      </c>
      <c r="G109" s="5" t="s">
        <v>426</v>
      </c>
      <c r="H109" s="5" t="s">
        <v>983</v>
      </c>
      <c r="I109" s="5" t="s">
        <v>984</v>
      </c>
      <c r="J109" s="5" t="s">
        <v>34</v>
      </c>
      <c r="K109" s="5" t="s">
        <v>96</v>
      </c>
      <c r="L109" s="5" t="s">
        <v>200</v>
      </c>
      <c r="M109" s="5" t="s">
        <v>39</v>
      </c>
      <c r="N109" s="5"/>
      <c r="O109" s="6"/>
      <c r="P109" s="5" t="s">
        <v>94</v>
      </c>
      <c r="Q109" s="5" t="s">
        <v>64</v>
      </c>
      <c r="R109" s="5" t="s">
        <v>140</v>
      </c>
      <c r="S109" s="5" t="s">
        <v>985</v>
      </c>
      <c r="T109" s="5" t="s">
        <v>891</v>
      </c>
      <c r="U109" s="5" t="s">
        <v>986</v>
      </c>
      <c r="V109" s="8">
        <v>56</v>
      </c>
      <c r="W109" s="9">
        <v>75279</v>
      </c>
      <c r="X109" s="5"/>
      <c r="Y109" s="10">
        <v>100</v>
      </c>
      <c r="Z109" s="10">
        <v>18.18</v>
      </c>
      <c r="AA109" s="10">
        <v>18.18</v>
      </c>
      <c r="AB109" s="10">
        <v>39660</v>
      </c>
      <c r="AC109" s="10">
        <v>3488</v>
      </c>
      <c r="AD109" s="10">
        <v>0</v>
      </c>
      <c r="AE109" s="11">
        <v>43148</v>
      </c>
      <c r="AF109" s="12" t="s">
        <v>98</v>
      </c>
      <c r="AG109" s="14" t="s">
        <v>203</v>
      </c>
      <c r="AH109" s="14" t="s">
        <v>65</v>
      </c>
      <c r="AI109" s="14" t="s">
        <v>36</v>
      </c>
      <c r="AJ109" s="14">
        <v>80000</v>
      </c>
      <c r="AK109" s="14">
        <v>80000</v>
      </c>
      <c r="AL109" s="13">
        <v>60</v>
      </c>
      <c r="AM109" s="13">
        <v>57</v>
      </c>
      <c r="AN109" s="14" t="s">
        <v>196</v>
      </c>
      <c r="AO109" s="14" t="s">
        <v>197</v>
      </c>
      <c r="AP109" s="14" t="s">
        <v>37</v>
      </c>
      <c r="AQ109" s="18">
        <v>202605</v>
      </c>
      <c r="AR109" s="18" t="s">
        <v>147</v>
      </c>
      <c r="AS109" s="14" t="s">
        <v>232</v>
      </c>
      <c r="AT109" s="14" t="s">
        <v>232</v>
      </c>
      <c r="AU109" s="22" t="s">
        <v>275</v>
      </c>
      <c r="AV109" s="22" t="s">
        <v>363</v>
      </c>
    </row>
    <row r="110" spans="1:48" x14ac:dyDescent="0.3">
      <c r="A110" s="5" t="s">
        <v>145</v>
      </c>
      <c r="B110" s="5" t="s">
        <v>54</v>
      </c>
      <c r="C110" s="5" t="s">
        <v>525</v>
      </c>
      <c r="D110" s="5" t="s">
        <v>32</v>
      </c>
      <c r="E110" s="6" t="s">
        <v>33</v>
      </c>
      <c r="F110" s="7">
        <v>96</v>
      </c>
      <c r="G110" s="5" t="s">
        <v>426</v>
      </c>
      <c r="H110" s="5" t="s">
        <v>987</v>
      </c>
      <c r="I110" s="5" t="s">
        <v>988</v>
      </c>
      <c r="J110" s="5" t="s">
        <v>34</v>
      </c>
      <c r="K110" s="5" t="s">
        <v>96</v>
      </c>
      <c r="L110" s="5" t="s">
        <v>200</v>
      </c>
      <c r="M110" s="5" t="s">
        <v>39</v>
      </c>
      <c r="N110" s="5"/>
      <c r="O110" s="6"/>
      <c r="P110" s="5" t="s">
        <v>94</v>
      </c>
      <c r="Q110" s="5" t="s">
        <v>64</v>
      </c>
      <c r="R110" s="5" t="s">
        <v>139</v>
      </c>
      <c r="S110" s="5" t="s">
        <v>989</v>
      </c>
      <c r="T110" s="5" t="s">
        <v>269</v>
      </c>
      <c r="U110" s="5" t="s">
        <v>990</v>
      </c>
      <c r="V110" s="8">
        <v>55</v>
      </c>
      <c r="W110" s="9">
        <v>84091</v>
      </c>
      <c r="X110" s="5"/>
      <c r="Y110" s="10">
        <v>100</v>
      </c>
      <c r="Z110" s="10">
        <v>18.18</v>
      </c>
      <c r="AA110" s="10">
        <v>18.18</v>
      </c>
      <c r="AB110" s="10">
        <v>39660</v>
      </c>
      <c r="AC110" s="10">
        <v>3488</v>
      </c>
      <c r="AD110" s="10">
        <v>0</v>
      </c>
      <c r="AE110" s="11">
        <v>43148</v>
      </c>
      <c r="AF110" s="12" t="s">
        <v>98</v>
      </c>
      <c r="AG110" s="14" t="s">
        <v>144</v>
      </c>
      <c r="AH110" s="14" t="s">
        <v>65</v>
      </c>
      <c r="AI110" s="14" t="s">
        <v>36</v>
      </c>
      <c r="AJ110" s="14">
        <v>90000</v>
      </c>
      <c r="AK110" s="14">
        <v>85000</v>
      </c>
      <c r="AL110" s="13">
        <v>60</v>
      </c>
      <c r="AM110" s="13">
        <v>57</v>
      </c>
      <c r="AN110" s="14" t="s">
        <v>196</v>
      </c>
      <c r="AO110" s="14" t="s">
        <v>197</v>
      </c>
      <c r="AP110" s="14" t="s">
        <v>37</v>
      </c>
      <c r="AQ110" s="18">
        <v>202605</v>
      </c>
      <c r="AR110" s="18" t="s">
        <v>147</v>
      </c>
      <c r="AS110" s="14" t="s">
        <v>232</v>
      </c>
      <c r="AT110" s="14" t="s">
        <v>232</v>
      </c>
      <c r="AU110" s="22" t="s">
        <v>275</v>
      </c>
      <c r="AV110" s="22" t="s">
        <v>363</v>
      </c>
    </row>
    <row r="111" spans="1:48" x14ac:dyDescent="0.3">
      <c r="A111" s="5" t="s">
        <v>145</v>
      </c>
      <c r="B111" s="5" t="s">
        <v>54</v>
      </c>
      <c r="C111" s="5" t="s">
        <v>525</v>
      </c>
      <c r="D111" s="5" t="s">
        <v>32</v>
      </c>
      <c r="E111" s="6" t="s">
        <v>33</v>
      </c>
      <c r="F111" s="7">
        <v>97</v>
      </c>
      <c r="G111" s="5" t="s">
        <v>426</v>
      </c>
      <c r="H111" s="5" t="s">
        <v>991</v>
      </c>
      <c r="I111" s="5" t="s">
        <v>992</v>
      </c>
      <c r="J111" s="5" t="s">
        <v>34</v>
      </c>
      <c r="K111" s="5" t="s">
        <v>96</v>
      </c>
      <c r="L111" s="5" t="s">
        <v>200</v>
      </c>
      <c r="M111" s="5" t="s">
        <v>39</v>
      </c>
      <c r="N111" s="5"/>
      <c r="O111" s="6"/>
      <c r="P111" s="5" t="s">
        <v>94</v>
      </c>
      <c r="Q111" s="5" t="s">
        <v>64</v>
      </c>
      <c r="R111" s="5" t="s">
        <v>140</v>
      </c>
      <c r="S111" s="5" t="s">
        <v>993</v>
      </c>
      <c r="T111" s="5" t="s">
        <v>994</v>
      </c>
      <c r="U111" s="5" t="s">
        <v>268</v>
      </c>
      <c r="V111" s="8">
        <v>44</v>
      </c>
      <c r="W111" s="9">
        <v>90770</v>
      </c>
      <c r="X111" s="5"/>
      <c r="Y111" s="10">
        <v>100</v>
      </c>
      <c r="Z111" s="10">
        <v>18.18</v>
      </c>
      <c r="AA111" s="10">
        <v>18.18</v>
      </c>
      <c r="AB111" s="10">
        <v>39660</v>
      </c>
      <c r="AC111" s="10">
        <v>3488</v>
      </c>
      <c r="AD111" s="10">
        <v>0</v>
      </c>
      <c r="AE111" s="11">
        <v>43148</v>
      </c>
      <c r="AF111" s="12" t="s">
        <v>98</v>
      </c>
      <c r="AG111" s="14" t="s">
        <v>202</v>
      </c>
      <c r="AH111" s="14" t="s">
        <v>65</v>
      </c>
      <c r="AI111" s="14" t="s">
        <v>36</v>
      </c>
      <c r="AJ111" s="14">
        <v>100000</v>
      </c>
      <c r="AK111" s="14">
        <v>95000</v>
      </c>
      <c r="AL111" s="13">
        <v>48</v>
      </c>
      <c r="AM111" s="13">
        <v>45</v>
      </c>
      <c r="AN111" s="14" t="s">
        <v>196</v>
      </c>
      <c r="AO111" s="14" t="s">
        <v>197</v>
      </c>
      <c r="AP111" s="14" t="s">
        <v>37</v>
      </c>
      <c r="AQ111" s="18">
        <v>202605</v>
      </c>
      <c r="AR111" s="18" t="s">
        <v>147</v>
      </c>
      <c r="AS111" s="14" t="s">
        <v>232</v>
      </c>
      <c r="AT111" s="14" t="s">
        <v>232</v>
      </c>
      <c r="AU111" s="22" t="s">
        <v>275</v>
      </c>
      <c r="AV111" s="22" t="s">
        <v>363</v>
      </c>
    </row>
    <row r="112" spans="1:48" x14ac:dyDescent="0.3">
      <c r="A112" s="5" t="s">
        <v>145</v>
      </c>
      <c r="B112" s="5" t="s">
        <v>54</v>
      </c>
      <c r="C112" s="5" t="s">
        <v>525</v>
      </c>
      <c r="D112" s="5" t="s">
        <v>32</v>
      </c>
      <c r="E112" s="6" t="s">
        <v>33</v>
      </c>
      <c r="F112" s="7">
        <v>98</v>
      </c>
      <c r="G112" s="5" t="s">
        <v>426</v>
      </c>
      <c r="H112" s="5" t="s">
        <v>995</v>
      </c>
      <c r="I112" s="5" t="s">
        <v>996</v>
      </c>
      <c r="J112" s="5" t="s">
        <v>34</v>
      </c>
      <c r="K112" s="5" t="s">
        <v>96</v>
      </c>
      <c r="L112" s="5" t="s">
        <v>200</v>
      </c>
      <c r="M112" s="5" t="s">
        <v>39</v>
      </c>
      <c r="N112" s="5"/>
      <c r="O112" s="6"/>
      <c r="P112" s="5" t="s">
        <v>94</v>
      </c>
      <c r="Q112" s="5" t="s">
        <v>64</v>
      </c>
      <c r="R112" s="5" t="s">
        <v>140</v>
      </c>
      <c r="S112" s="5" t="s">
        <v>351</v>
      </c>
      <c r="T112" s="5" t="s">
        <v>997</v>
      </c>
      <c r="U112" s="5" t="s">
        <v>998</v>
      </c>
      <c r="V112" s="8">
        <v>52</v>
      </c>
      <c r="W112" s="9">
        <v>98185</v>
      </c>
      <c r="X112" s="5"/>
      <c r="Y112" s="10">
        <v>100</v>
      </c>
      <c r="Z112" s="10">
        <v>18.18</v>
      </c>
      <c r="AA112" s="10">
        <v>18.18</v>
      </c>
      <c r="AB112" s="10">
        <v>39660</v>
      </c>
      <c r="AC112" s="10">
        <v>3488</v>
      </c>
      <c r="AD112" s="10">
        <v>0</v>
      </c>
      <c r="AE112" s="11">
        <v>43148</v>
      </c>
      <c r="AF112" s="12" t="s">
        <v>98</v>
      </c>
      <c r="AG112" s="14" t="s">
        <v>241</v>
      </c>
      <c r="AH112" s="14" t="s">
        <v>65</v>
      </c>
      <c r="AI112" s="14" t="s">
        <v>36</v>
      </c>
      <c r="AJ112" s="14">
        <v>100000</v>
      </c>
      <c r="AK112" s="14">
        <v>100000</v>
      </c>
      <c r="AL112" s="13">
        <v>54</v>
      </c>
      <c r="AM112" s="13">
        <v>54</v>
      </c>
      <c r="AN112" s="14" t="s">
        <v>196</v>
      </c>
      <c r="AO112" s="14" t="s">
        <v>197</v>
      </c>
      <c r="AP112" s="14" t="s">
        <v>37</v>
      </c>
      <c r="AQ112" s="18">
        <v>202605</v>
      </c>
      <c r="AR112" s="18" t="s">
        <v>147</v>
      </c>
      <c r="AS112" s="14" t="s">
        <v>232</v>
      </c>
      <c r="AT112" s="14" t="s">
        <v>232</v>
      </c>
      <c r="AU112" s="22" t="s">
        <v>275</v>
      </c>
      <c r="AV112" s="22" t="s">
        <v>363</v>
      </c>
    </row>
    <row r="113" spans="1:49" x14ac:dyDescent="0.3">
      <c r="A113" s="5" t="s">
        <v>145</v>
      </c>
      <c r="B113" s="5" t="s">
        <v>54</v>
      </c>
      <c r="C113" s="5" t="s">
        <v>525</v>
      </c>
      <c r="D113" s="5" t="s">
        <v>32</v>
      </c>
      <c r="E113" s="6" t="s">
        <v>33</v>
      </c>
      <c r="F113" s="7">
        <v>99</v>
      </c>
      <c r="G113" s="5" t="s">
        <v>426</v>
      </c>
      <c r="H113" s="5" t="s">
        <v>999</v>
      </c>
      <c r="I113" s="5" t="s">
        <v>1000</v>
      </c>
      <c r="J113" s="5" t="s">
        <v>34</v>
      </c>
      <c r="K113" s="5" t="s">
        <v>96</v>
      </c>
      <c r="L113" s="5" t="s">
        <v>200</v>
      </c>
      <c r="M113" s="5" t="s">
        <v>39</v>
      </c>
      <c r="N113" s="5"/>
      <c r="O113" s="6"/>
      <c r="P113" s="5" t="s">
        <v>94</v>
      </c>
      <c r="Q113" s="5" t="s">
        <v>64</v>
      </c>
      <c r="R113" s="5" t="s">
        <v>140</v>
      </c>
      <c r="S113" s="5" t="s">
        <v>1001</v>
      </c>
      <c r="T113" s="5" t="s">
        <v>896</v>
      </c>
      <c r="U113" s="5" t="s">
        <v>1002</v>
      </c>
      <c r="V113" s="8">
        <v>48</v>
      </c>
      <c r="W113" s="9">
        <v>74613</v>
      </c>
      <c r="X113" s="5"/>
      <c r="Y113" s="10">
        <v>100</v>
      </c>
      <c r="Z113" s="10">
        <v>18.18</v>
      </c>
      <c r="AA113" s="10">
        <v>18.18</v>
      </c>
      <c r="AB113" s="10">
        <v>39660</v>
      </c>
      <c r="AC113" s="10">
        <v>3488</v>
      </c>
      <c r="AD113" s="10">
        <v>0</v>
      </c>
      <c r="AE113" s="11">
        <v>43148</v>
      </c>
      <c r="AF113" s="12" t="s">
        <v>98</v>
      </c>
      <c r="AG113" s="14" t="s">
        <v>169</v>
      </c>
      <c r="AH113" s="14" t="s">
        <v>65</v>
      </c>
      <c r="AI113" s="14" t="s">
        <v>36</v>
      </c>
      <c r="AJ113" s="14">
        <v>80000</v>
      </c>
      <c r="AK113" s="14">
        <v>75000</v>
      </c>
      <c r="AL113" s="13">
        <v>54</v>
      </c>
      <c r="AM113" s="13">
        <v>51</v>
      </c>
      <c r="AN113" s="14" t="s">
        <v>196</v>
      </c>
      <c r="AO113" s="14" t="s">
        <v>197</v>
      </c>
      <c r="AP113" s="14" t="s">
        <v>37</v>
      </c>
      <c r="AQ113" s="18">
        <v>202605</v>
      </c>
      <c r="AR113" s="18" t="s">
        <v>147</v>
      </c>
      <c r="AS113" s="14" t="s">
        <v>232</v>
      </c>
      <c r="AT113" s="14" t="s">
        <v>232</v>
      </c>
      <c r="AU113" s="22" t="s">
        <v>275</v>
      </c>
      <c r="AV113" s="22" t="s">
        <v>363</v>
      </c>
    </row>
    <row r="114" spans="1:49" x14ac:dyDescent="0.3">
      <c r="A114" s="5" t="s">
        <v>145</v>
      </c>
      <c r="B114" s="5" t="s">
        <v>54</v>
      </c>
      <c r="C114" s="5" t="s">
        <v>525</v>
      </c>
      <c r="D114" s="5" t="s">
        <v>32</v>
      </c>
      <c r="E114" s="6" t="s">
        <v>33</v>
      </c>
      <c r="F114" s="7">
        <v>100</v>
      </c>
      <c r="G114" s="5" t="s">
        <v>426</v>
      </c>
      <c r="H114" s="5" t="s">
        <v>1003</v>
      </c>
      <c r="I114" s="5" t="s">
        <v>1004</v>
      </c>
      <c r="J114" s="5" t="s">
        <v>34</v>
      </c>
      <c r="K114" s="5" t="s">
        <v>96</v>
      </c>
      <c r="L114" s="5" t="s">
        <v>200</v>
      </c>
      <c r="M114" s="5" t="s">
        <v>39</v>
      </c>
      <c r="N114" s="5"/>
      <c r="O114" s="6"/>
      <c r="P114" s="5" t="s">
        <v>94</v>
      </c>
      <c r="Q114" s="5" t="s">
        <v>64</v>
      </c>
      <c r="R114" s="5" t="s">
        <v>140</v>
      </c>
      <c r="S114" s="5" t="s">
        <v>1005</v>
      </c>
      <c r="T114" s="5" t="s">
        <v>1006</v>
      </c>
      <c r="U114" s="5" t="s">
        <v>1007</v>
      </c>
      <c r="V114" s="8">
        <v>42</v>
      </c>
      <c r="W114" s="9">
        <v>86022</v>
      </c>
      <c r="X114" s="5"/>
      <c r="Y114" s="10">
        <v>100</v>
      </c>
      <c r="Z114" s="10">
        <v>18.18</v>
      </c>
      <c r="AA114" s="10">
        <v>18.18</v>
      </c>
      <c r="AB114" s="10">
        <v>39660</v>
      </c>
      <c r="AC114" s="10">
        <v>3488</v>
      </c>
      <c r="AD114" s="10">
        <v>0</v>
      </c>
      <c r="AE114" s="11">
        <v>43148</v>
      </c>
      <c r="AF114" s="12" t="s">
        <v>98</v>
      </c>
      <c r="AG114" s="14" t="s">
        <v>371</v>
      </c>
      <c r="AH114" s="14" t="s">
        <v>65</v>
      </c>
      <c r="AI114" s="14" t="s">
        <v>36</v>
      </c>
      <c r="AJ114" s="14">
        <v>90000</v>
      </c>
      <c r="AK114" s="14">
        <v>90000</v>
      </c>
      <c r="AL114" s="13">
        <v>48</v>
      </c>
      <c r="AM114" s="13">
        <v>45</v>
      </c>
      <c r="AN114" s="14" t="s">
        <v>196</v>
      </c>
      <c r="AO114" s="14" t="s">
        <v>197</v>
      </c>
      <c r="AP114" s="14" t="s">
        <v>37</v>
      </c>
      <c r="AQ114" s="18">
        <v>202605</v>
      </c>
      <c r="AR114" s="18" t="s">
        <v>147</v>
      </c>
      <c r="AS114" s="14" t="s">
        <v>232</v>
      </c>
      <c r="AT114" s="14" t="s">
        <v>232</v>
      </c>
      <c r="AU114" s="22" t="s">
        <v>275</v>
      </c>
      <c r="AV114" s="22" t="s">
        <v>363</v>
      </c>
    </row>
    <row r="115" spans="1:49" x14ac:dyDescent="0.3">
      <c r="A115" s="5" t="s">
        <v>145</v>
      </c>
      <c r="B115" s="5" t="s">
        <v>54</v>
      </c>
      <c r="C115" s="5" t="s">
        <v>525</v>
      </c>
      <c r="D115" s="5" t="s">
        <v>32</v>
      </c>
      <c r="E115" s="6" t="s">
        <v>33</v>
      </c>
      <c r="F115" s="7">
        <v>101</v>
      </c>
      <c r="G115" s="5" t="s">
        <v>426</v>
      </c>
      <c r="H115" s="5" t="s">
        <v>1008</v>
      </c>
      <c r="I115" s="5" t="s">
        <v>1009</v>
      </c>
      <c r="J115" s="5" t="s">
        <v>34</v>
      </c>
      <c r="K115" s="5" t="s">
        <v>96</v>
      </c>
      <c r="L115" s="5" t="s">
        <v>200</v>
      </c>
      <c r="M115" s="5" t="s">
        <v>39</v>
      </c>
      <c r="N115" s="5"/>
      <c r="O115" s="6"/>
      <c r="P115" s="5" t="s">
        <v>94</v>
      </c>
      <c r="Q115" s="5" t="s">
        <v>64</v>
      </c>
      <c r="R115" s="5" t="s">
        <v>140</v>
      </c>
      <c r="S115" s="5" t="s">
        <v>352</v>
      </c>
      <c r="T115" s="5" t="s">
        <v>1010</v>
      </c>
      <c r="U115" s="5" t="s">
        <v>1011</v>
      </c>
      <c r="V115" s="8">
        <v>34</v>
      </c>
      <c r="W115" s="9">
        <v>90450</v>
      </c>
      <c r="X115" s="5"/>
      <c r="Y115" s="10">
        <v>100</v>
      </c>
      <c r="Z115" s="10">
        <v>18.18</v>
      </c>
      <c r="AA115" s="10">
        <v>18.18</v>
      </c>
      <c r="AB115" s="10">
        <v>39660</v>
      </c>
      <c r="AC115" s="10">
        <v>3488</v>
      </c>
      <c r="AD115" s="10">
        <v>0</v>
      </c>
      <c r="AE115" s="11">
        <v>43148</v>
      </c>
      <c r="AF115" s="12" t="s">
        <v>98</v>
      </c>
      <c r="AG115" s="14" t="s">
        <v>229</v>
      </c>
      <c r="AH115" s="14" t="s">
        <v>65</v>
      </c>
      <c r="AI115" s="14" t="s">
        <v>36</v>
      </c>
      <c r="AJ115" s="14">
        <v>100000</v>
      </c>
      <c r="AK115" s="14">
        <v>95000</v>
      </c>
      <c r="AL115" s="13">
        <v>36</v>
      </c>
      <c r="AM115" s="13">
        <v>36</v>
      </c>
      <c r="AN115" s="14" t="s">
        <v>196</v>
      </c>
      <c r="AO115" s="14" t="s">
        <v>197</v>
      </c>
      <c r="AP115" s="14" t="s">
        <v>37</v>
      </c>
      <c r="AQ115" s="18">
        <v>202605</v>
      </c>
      <c r="AR115" s="18" t="s">
        <v>147</v>
      </c>
      <c r="AS115" s="14" t="s">
        <v>232</v>
      </c>
      <c r="AT115" s="14" t="s">
        <v>232</v>
      </c>
      <c r="AU115" s="22" t="s">
        <v>275</v>
      </c>
      <c r="AV115" s="22" t="s">
        <v>363</v>
      </c>
    </row>
    <row r="116" spans="1:49" x14ac:dyDescent="0.3">
      <c r="A116" s="5" t="s">
        <v>145</v>
      </c>
      <c r="B116" s="5" t="s">
        <v>54</v>
      </c>
      <c r="C116" s="5" t="s">
        <v>525</v>
      </c>
      <c r="D116" s="5" t="s">
        <v>32</v>
      </c>
      <c r="E116" s="6" t="s">
        <v>33</v>
      </c>
      <c r="F116" s="7">
        <v>102</v>
      </c>
      <c r="G116" s="5" t="s">
        <v>426</v>
      </c>
      <c r="H116" s="5" t="s">
        <v>1012</v>
      </c>
      <c r="I116" s="5" t="s">
        <v>1013</v>
      </c>
      <c r="J116" s="5" t="s">
        <v>34</v>
      </c>
      <c r="K116" s="5" t="s">
        <v>96</v>
      </c>
      <c r="L116" s="5" t="s">
        <v>200</v>
      </c>
      <c r="M116" s="5" t="s">
        <v>39</v>
      </c>
      <c r="N116" s="5"/>
      <c r="O116" s="6"/>
      <c r="P116" s="5" t="s">
        <v>94</v>
      </c>
      <c r="Q116" s="5" t="s">
        <v>64</v>
      </c>
      <c r="R116" s="5" t="s">
        <v>140</v>
      </c>
      <c r="S116" s="5" t="s">
        <v>1014</v>
      </c>
      <c r="T116" s="5" t="s">
        <v>954</v>
      </c>
      <c r="U116" s="5" t="s">
        <v>1015</v>
      </c>
      <c r="V116" s="8">
        <v>42</v>
      </c>
      <c r="W116" s="9">
        <v>86526</v>
      </c>
      <c r="X116" s="5"/>
      <c r="Y116" s="10">
        <v>100</v>
      </c>
      <c r="Z116" s="10">
        <v>18.18</v>
      </c>
      <c r="AA116" s="10">
        <v>18.18</v>
      </c>
      <c r="AB116" s="10">
        <v>39660</v>
      </c>
      <c r="AC116" s="10">
        <v>3488</v>
      </c>
      <c r="AD116" s="10">
        <v>0</v>
      </c>
      <c r="AE116" s="11">
        <v>43148</v>
      </c>
      <c r="AF116" s="12" t="s">
        <v>98</v>
      </c>
      <c r="AG116" s="14" t="s">
        <v>229</v>
      </c>
      <c r="AH116" s="14" t="s">
        <v>65</v>
      </c>
      <c r="AI116" s="14" t="s">
        <v>36</v>
      </c>
      <c r="AJ116" s="14">
        <v>90000</v>
      </c>
      <c r="AK116" s="14">
        <v>90000</v>
      </c>
      <c r="AL116" s="13">
        <v>48</v>
      </c>
      <c r="AM116" s="13">
        <v>45</v>
      </c>
      <c r="AN116" s="14" t="s">
        <v>196</v>
      </c>
      <c r="AO116" s="14" t="s">
        <v>197</v>
      </c>
      <c r="AP116" s="14" t="s">
        <v>37</v>
      </c>
      <c r="AQ116" s="18">
        <v>202605</v>
      </c>
      <c r="AR116" s="18" t="s">
        <v>147</v>
      </c>
      <c r="AS116" s="14" t="s">
        <v>232</v>
      </c>
      <c r="AT116" s="14" t="s">
        <v>232</v>
      </c>
      <c r="AU116" s="22" t="s">
        <v>275</v>
      </c>
      <c r="AV116" s="22" t="s">
        <v>363</v>
      </c>
    </row>
    <row r="117" spans="1:49" x14ac:dyDescent="0.3">
      <c r="A117" s="5" t="s">
        <v>145</v>
      </c>
      <c r="B117" s="5" t="s">
        <v>54</v>
      </c>
      <c r="C117" s="5" t="s">
        <v>525</v>
      </c>
      <c r="D117" s="5" t="s">
        <v>32</v>
      </c>
      <c r="E117" s="6" t="s">
        <v>33</v>
      </c>
      <c r="F117" s="7">
        <v>103</v>
      </c>
      <c r="G117" s="5" t="s">
        <v>426</v>
      </c>
      <c r="H117" s="5" t="s">
        <v>1016</v>
      </c>
      <c r="I117" s="5" t="s">
        <v>1017</v>
      </c>
      <c r="J117" s="5" t="s">
        <v>34</v>
      </c>
      <c r="K117" s="5" t="s">
        <v>96</v>
      </c>
      <c r="L117" s="5" t="s">
        <v>200</v>
      </c>
      <c r="M117" s="5" t="s">
        <v>39</v>
      </c>
      <c r="N117" s="5"/>
      <c r="O117" s="6"/>
      <c r="P117" s="5" t="s">
        <v>94</v>
      </c>
      <c r="Q117" s="5" t="s">
        <v>64</v>
      </c>
      <c r="R117" s="5" t="s">
        <v>140</v>
      </c>
      <c r="S117" s="5" t="s">
        <v>270</v>
      </c>
      <c r="T117" s="5" t="s">
        <v>945</v>
      </c>
      <c r="U117" s="5" t="s">
        <v>353</v>
      </c>
      <c r="V117" s="8">
        <v>42</v>
      </c>
      <c r="W117" s="9">
        <v>75770</v>
      </c>
      <c r="X117" s="5"/>
      <c r="Y117" s="10">
        <v>100</v>
      </c>
      <c r="Z117" s="10">
        <v>18.18</v>
      </c>
      <c r="AA117" s="10">
        <v>18.18</v>
      </c>
      <c r="AB117" s="10">
        <v>39660</v>
      </c>
      <c r="AC117" s="10">
        <v>3488</v>
      </c>
      <c r="AD117" s="10">
        <v>0</v>
      </c>
      <c r="AE117" s="11">
        <v>43148</v>
      </c>
      <c r="AF117" s="12" t="s">
        <v>98</v>
      </c>
      <c r="AG117" s="14" t="s">
        <v>189</v>
      </c>
      <c r="AH117" s="14" t="s">
        <v>65</v>
      </c>
      <c r="AI117" s="14" t="s">
        <v>36</v>
      </c>
      <c r="AJ117" s="14">
        <v>80000</v>
      </c>
      <c r="AK117" s="14">
        <v>80000</v>
      </c>
      <c r="AL117" s="13">
        <v>48</v>
      </c>
      <c r="AM117" s="13">
        <v>45</v>
      </c>
      <c r="AN117" s="14" t="s">
        <v>196</v>
      </c>
      <c r="AO117" s="14" t="s">
        <v>197</v>
      </c>
      <c r="AP117" s="14" t="s">
        <v>37</v>
      </c>
      <c r="AQ117" s="18">
        <v>202605</v>
      </c>
      <c r="AR117" s="18" t="s">
        <v>147</v>
      </c>
      <c r="AS117" s="14" t="s">
        <v>232</v>
      </c>
      <c r="AT117" s="14" t="s">
        <v>232</v>
      </c>
      <c r="AU117" s="22" t="s">
        <v>275</v>
      </c>
      <c r="AV117" s="22" t="s">
        <v>363</v>
      </c>
    </row>
    <row r="118" spans="1:49" x14ac:dyDescent="0.3">
      <c r="A118" s="5" t="s">
        <v>145</v>
      </c>
      <c r="B118" s="5" t="s">
        <v>54</v>
      </c>
      <c r="C118" s="5" t="s">
        <v>525</v>
      </c>
      <c r="D118" s="5" t="s">
        <v>32</v>
      </c>
      <c r="E118" s="6" t="s">
        <v>33</v>
      </c>
      <c r="F118" s="7">
        <v>104</v>
      </c>
      <c r="G118" s="5" t="s">
        <v>426</v>
      </c>
      <c r="H118" s="5" t="s">
        <v>1018</v>
      </c>
      <c r="I118" s="5" t="s">
        <v>1019</v>
      </c>
      <c r="J118" s="5" t="s">
        <v>34</v>
      </c>
      <c r="K118" s="5" t="s">
        <v>96</v>
      </c>
      <c r="L118" s="5" t="s">
        <v>200</v>
      </c>
      <c r="M118" s="5" t="s">
        <v>39</v>
      </c>
      <c r="N118" s="5"/>
      <c r="O118" s="6"/>
      <c r="P118" s="5" t="s">
        <v>94</v>
      </c>
      <c r="Q118" s="5" t="s">
        <v>64</v>
      </c>
      <c r="R118" s="5" t="s">
        <v>139</v>
      </c>
      <c r="S118" s="5" t="s">
        <v>1020</v>
      </c>
      <c r="T118" s="5" t="s">
        <v>1021</v>
      </c>
      <c r="U118" s="5" t="s">
        <v>1022</v>
      </c>
      <c r="V118" s="8">
        <v>36</v>
      </c>
      <c r="W118" s="9">
        <v>98427</v>
      </c>
      <c r="X118" s="5"/>
      <c r="Y118" s="10">
        <v>100</v>
      </c>
      <c r="Z118" s="10">
        <v>18.18</v>
      </c>
      <c r="AA118" s="10">
        <v>18.18</v>
      </c>
      <c r="AB118" s="10">
        <v>39660</v>
      </c>
      <c r="AC118" s="10">
        <v>3488</v>
      </c>
      <c r="AD118" s="10">
        <v>0</v>
      </c>
      <c r="AE118" s="11">
        <v>43148</v>
      </c>
      <c r="AF118" s="12" t="s">
        <v>98</v>
      </c>
      <c r="AG118" s="14" t="s">
        <v>133</v>
      </c>
      <c r="AH118" s="14" t="s">
        <v>65</v>
      </c>
      <c r="AI118" s="14" t="s">
        <v>36</v>
      </c>
      <c r="AJ118" s="14">
        <v>100000</v>
      </c>
      <c r="AK118" s="14">
        <v>100000</v>
      </c>
      <c r="AL118" s="13">
        <v>42</v>
      </c>
      <c r="AM118" s="13">
        <v>39</v>
      </c>
      <c r="AN118" s="14" t="s">
        <v>196</v>
      </c>
      <c r="AO118" s="14" t="s">
        <v>197</v>
      </c>
      <c r="AP118" s="14" t="s">
        <v>37</v>
      </c>
      <c r="AQ118" s="18">
        <v>202605</v>
      </c>
      <c r="AR118" s="18" t="s">
        <v>147</v>
      </c>
      <c r="AS118" s="14" t="s">
        <v>232</v>
      </c>
      <c r="AT118" s="14" t="s">
        <v>232</v>
      </c>
      <c r="AU118" s="22" t="s">
        <v>275</v>
      </c>
      <c r="AV118" s="22" t="s">
        <v>363</v>
      </c>
    </row>
    <row r="119" spans="1:49" x14ac:dyDescent="0.3">
      <c r="A119" s="5" t="s">
        <v>145</v>
      </c>
      <c r="B119" s="5" t="s">
        <v>54</v>
      </c>
      <c r="C119" s="5" t="s">
        <v>525</v>
      </c>
      <c r="D119" s="5" t="s">
        <v>32</v>
      </c>
      <c r="E119" s="6" t="s">
        <v>33</v>
      </c>
      <c r="F119" s="7">
        <v>105</v>
      </c>
      <c r="G119" s="5" t="s">
        <v>426</v>
      </c>
      <c r="H119" s="5" t="s">
        <v>1023</v>
      </c>
      <c r="I119" s="5" t="s">
        <v>1024</v>
      </c>
      <c r="J119" s="5" t="s">
        <v>34</v>
      </c>
      <c r="K119" s="5" t="s">
        <v>96</v>
      </c>
      <c r="L119" s="5" t="s">
        <v>200</v>
      </c>
      <c r="M119" s="5" t="s">
        <v>39</v>
      </c>
      <c r="N119" s="5"/>
      <c r="O119" s="6"/>
      <c r="P119" s="5" t="s">
        <v>94</v>
      </c>
      <c r="Q119" s="5" t="s">
        <v>64</v>
      </c>
      <c r="R119" s="5" t="s">
        <v>140</v>
      </c>
      <c r="S119" s="5" t="s">
        <v>255</v>
      </c>
      <c r="T119" s="5" t="s">
        <v>940</v>
      </c>
      <c r="U119" s="5" t="s">
        <v>1025</v>
      </c>
      <c r="V119" s="8">
        <v>42</v>
      </c>
      <c r="W119" s="9">
        <v>84889</v>
      </c>
      <c r="X119" s="5"/>
      <c r="Y119" s="10">
        <v>100</v>
      </c>
      <c r="Z119" s="10">
        <v>18.18</v>
      </c>
      <c r="AA119" s="10">
        <v>18.18</v>
      </c>
      <c r="AB119" s="10">
        <v>39660</v>
      </c>
      <c r="AC119" s="10">
        <v>3488</v>
      </c>
      <c r="AD119" s="10">
        <v>0</v>
      </c>
      <c r="AE119" s="11">
        <v>43148</v>
      </c>
      <c r="AF119" s="12" t="s">
        <v>98</v>
      </c>
      <c r="AG119" s="14" t="s">
        <v>133</v>
      </c>
      <c r="AH119" s="14" t="s">
        <v>65</v>
      </c>
      <c r="AI119" s="14" t="s">
        <v>36</v>
      </c>
      <c r="AJ119" s="14">
        <v>90000</v>
      </c>
      <c r="AK119" s="14">
        <v>85000</v>
      </c>
      <c r="AL119" s="13">
        <v>48</v>
      </c>
      <c r="AM119" s="13">
        <v>45</v>
      </c>
      <c r="AN119" s="14" t="s">
        <v>196</v>
      </c>
      <c r="AO119" s="14" t="s">
        <v>197</v>
      </c>
      <c r="AP119" s="14" t="s">
        <v>37</v>
      </c>
      <c r="AQ119" s="18">
        <v>202605</v>
      </c>
      <c r="AR119" s="18" t="s">
        <v>147</v>
      </c>
      <c r="AS119" s="14" t="s">
        <v>232</v>
      </c>
      <c r="AT119" s="14" t="s">
        <v>232</v>
      </c>
      <c r="AU119" s="22" t="s">
        <v>275</v>
      </c>
      <c r="AV119" s="22" t="s">
        <v>363</v>
      </c>
    </row>
    <row r="120" spans="1:49" x14ac:dyDescent="0.3">
      <c r="A120" s="5" t="s">
        <v>145</v>
      </c>
      <c r="B120" s="5" t="s">
        <v>54</v>
      </c>
      <c r="C120" s="5" t="s">
        <v>525</v>
      </c>
      <c r="D120" s="5" t="s">
        <v>32</v>
      </c>
      <c r="E120" s="6" t="s">
        <v>33</v>
      </c>
      <c r="F120" s="7">
        <v>106</v>
      </c>
      <c r="G120" s="5" t="s">
        <v>426</v>
      </c>
      <c r="H120" s="5" t="s">
        <v>1026</v>
      </c>
      <c r="I120" s="5" t="s">
        <v>1027</v>
      </c>
      <c r="J120" s="5" t="s">
        <v>34</v>
      </c>
      <c r="K120" s="5" t="s">
        <v>96</v>
      </c>
      <c r="L120" s="5" t="s">
        <v>200</v>
      </c>
      <c r="M120" s="5" t="s">
        <v>39</v>
      </c>
      <c r="N120" s="5"/>
      <c r="O120" s="6"/>
      <c r="P120" s="5" t="s">
        <v>94</v>
      </c>
      <c r="Q120" s="5" t="s">
        <v>64</v>
      </c>
      <c r="R120" s="5" t="s">
        <v>140</v>
      </c>
      <c r="S120" s="5" t="s">
        <v>1028</v>
      </c>
      <c r="T120" s="5" t="s">
        <v>954</v>
      </c>
      <c r="U120" s="5" t="s">
        <v>1029</v>
      </c>
      <c r="V120" s="8">
        <v>40</v>
      </c>
      <c r="W120" s="9">
        <v>95173</v>
      </c>
      <c r="X120" s="5"/>
      <c r="Y120" s="10">
        <v>100</v>
      </c>
      <c r="Z120" s="10">
        <v>18.18</v>
      </c>
      <c r="AA120" s="10">
        <v>18.18</v>
      </c>
      <c r="AB120" s="10">
        <v>39660</v>
      </c>
      <c r="AC120" s="10">
        <v>3488</v>
      </c>
      <c r="AD120" s="10">
        <v>0</v>
      </c>
      <c r="AE120" s="11">
        <v>43148</v>
      </c>
      <c r="AF120" s="12" t="s">
        <v>98</v>
      </c>
      <c r="AG120" s="14" t="s">
        <v>134</v>
      </c>
      <c r="AH120" s="14" t="s">
        <v>65</v>
      </c>
      <c r="AI120" s="14" t="s">
        <v>36</v>
      </c>
      <c r="AJ120" s="14">
        <v>100000</v>
      </c>
      <c r="AK120" s="14">
        <v>100000</v>
      </c>
      <c r="AL120" s="13">
        <v>42</v>
      </c>
      <c r="AM120" s="13">
        <v>42</v>
      </c>
      <c r="AN120" s="14" t="s">
        <v>196</v>
      </c>
      <c r="AO120" s="14" t="s">
        <v>197</v>
      </c>
      <c r="AP120" s="14" t="s">
        <v>37</v>
      </c>
      <c r="AQ120" s="18">
        <v>202605</v>
      </c>
      <c r="AR120" s="18" t="s">
        <v>147</v>
      </c>
      <c r="AS120" s="14" t="s">
        <v>232</v>
      </c>
      <c r="AT120" s="14" t="s">
        <v>232</v>
      </c>
      <c r="AU120" s="22" t="s">
        <v>275</v>
      </c>
      <c r="AV120" s="22" t="s">
        <v>363</v>
      </c>
    </row>
    <row r="121" spans="1:49" x14ac:dyDescent="0.3">
      <c r="A121" s="5" t="s">
        <v>145</v>
      </c>
      <c r="B121" s="5" t="s">
        <v>54</v>
      </c>
      <c r="C121" s="5" t="s">
        <v>525</v>
      </c>
      <c r="D121" s="5" t="s">
        <v>32</v>
      </c>
      <c r="E121" s="6" t="s">
        <v>33</v>
      </c>
      <c r="F121" s="7">
        <v>107</v>
      </c>
      <c r="G121" s="5" t="s">
        <v>426</v>
      </c>
      <c r="H121" s="5" t="s">
        <v>1030</v>
      </c>
      <c r="I121" s="5" t="s">
        <v>1031</v>
      </c>
      <c r="J121" s="5" t="s">
        <v>34</v>
      </c>
      <c r="K121" s="5" t="s">
        <v>96</v>
      </c>
      <c r="L121" s="5" t="s">
        <v>200</v>
      </c>
      <c r="M121" s="5" t="s">
        <v>39</v>
      </c>
      <c r="N121" s="5"/>
      <c r="O121" s="6"/>
      <c r="P121" s="5" t="s">
        <v>94</v>
      </c>
      <c r="Q121" s="5" t="s">
        <v>64</v>
      </c>
      <c r="R121" s="5" t="s">
        <v>140</v>
      </c>
      <c r="S121" s="5" t="s">
        <v>1028</v>
      </c>
      <c r="T121" s="5" t="s">
        <v>954</v>
      </c>
      <c r="U121" s="5" t="s">
        <v>1032</v>
      </c>
      <c r="V121" s="8">
        <v>40</v>
      </c>
      <c r="W121" s="9">
        <v>42718</v>
      </c>
      <c r="X121" s="5"/>
      <c r="Y121" s="10">
        <v>100</v>
      </c>
      <c r="Z121" s="10">
        <v>18.18</v>
      </c>
      <c r="AA121" s="10">
        <v>18.18</v>
      </c>
      <c r="AB121" s="10">
        <v>39660</v>
      </c>
      <c r="AC121" s="10">
        <v>3488</v>
      </c>
      <c r="AD121" s="10">
        <v>0</v>
      </c>
      <c r="AE121" s="11">
        <v>43148</v>
      </c>
      <c r="AF121" s="12" t="s">
        <v>98</v>
      </c>
      <c r="AG121" s="14" t="s">
        <v>134</v>
      </c>
      <c r="AH121" s="14" t="s">
        <v>65</v>
      </c>
      <c r="AI121" s="14" t="s">
        <v>36</v>
      </c>
      <c r="AJ121" s="14">
        <v>50000</v>
      </c>
      <c r="AK121" s="14">
        <v>45000</v>
      </c>
      <c r="AL121" s="13">
        <v>42</v>
      </c>
      <c r="AM121" s="13">
        <v>42</v>
      </c>
      <c r="AN121" s="14" t="s">
        <v>196</v>
      </c>
      <c r="AO121" s="14" t="s">
        <v>197</v>
      </c>
      <c r="AP121" s="14" t="s">
        <v>37</v>
      </c>
      <c r="AQ121" s="18">
        <v>202605</v>
      </c>
      <c r="AR121" s="18" t="s">
        <v>147</v>
      </c>
      <c r="AS121" s="14" t="s">
        <v>232</v>
      </c>
      <c r="AT121" s="14" t="s">
        <v>232</v>
      </c>
      <c r="AU121" s="22" t="s">
        <v>275</v>
      </c>
      <c r="AV121" s="22" t="s">
        <v>363</v>
      </c>
    </row>
    <row r="122" spans="1:49" x14ac:dyDescent="0.3">
      <c r="A122" s="5" t="s">
        <v>145</v>
      </c>
      <c r="B122" s="5" t="s">
        <v>54</v>
      </c>
      <c r="C122" s="5" t="s">
        <v>525</v>
      </c>
      <c r="D122" s="5" t="s">
        <v>32</v>
      </c>
      <c r="E122" s="6" t="s">
        <v>33</v>
      </c>
      <c r="F122" s="7">
        <v>108</v>
      </c>
      <c r="G122" s="5" t="s">
        <v>426</v>
      </c>
      <c r="H122" s="5" t="s">
        <v>1033</v>
      </c>
      <c r="I122" s="5" t="s">
        <v>1034</v>
      </c>
      <c r="J122" s="5" t="s">
        <v>34</v>
      </c>
      <c r="K122" s="5" t="s">
        <v>96</v>
      </c>
      <c r="L122" s="5" t="s">
        <v>200</v>
      </c>
      <c r="M122" s="5" t="s">
        <v>39</v>
      </c>
      <c r="N122" s="5"/>
      <c r="O122" s="6"/>
      <c r="P122" s="5" t="s">
        <v>195</v>
      </c>
      <c r="Q122" s="5" t="s">
        <v>64</v>
      </c>
      <c r="R122" s="5" t="s">
        <v>140</v>
      </c>
      <c r="S122" s="5" t="s">
        <v>1035</v>
      </c>
      <c r="T122" s="5" t="s">
        <v>945</v>
      </c>
      <c r="U122" s="5" t="s">
        <v>1036</v>
      </c>
      <c r="V122" s="8">
        <v>40</v>
      </c>
      <c r="W122" s="9">
        <v>44331</v>
      </c>
      <c r="X122" s="5"/>
      <c r="Y122" s="10">
        <v>100</v>
      </c>
      <c r="Z122" s="10">
        <v>18.18</v>
      </c>
      <c r="AA122" s="10">
        <v>18.18</v>
      </c>
      <c r="AB122" s="10">
        <v>39660</v>
      </c>
      <c r="AC122" s="10">
        <v>1074</v>
      </c>
      <c r="AD122" s="10">
        <v>0</v>
      </c>
      <c r="AE122" s="11">
        <v>40734</v>
      </c>
      <c r="AF122" s="12" t="s">
        <v>98</v>
      </c>
      <c r="AG122" s="14" t="s">
        <v>134</v>
      </c>
      <c r="AH122" s="14" t="s">
        <v>65</v>
      </c>
      <c r="AI122" s="14" t="s">
        <v>36</v>
      </c>
      <c r="AJ122" s="14">
        <v>50000</v>
      </c>
      <c r="AK122" s="14">
        <v>45000</v>
      </c>
      <c r="AL122" s="13">
        <v>42</v>
      </c>
      <c r="AM122" s="13">
        <v>42</v>
      </c>
      <c r="AN122" s="14" t="s">
        <v>196</v>
      </c>
      <c r="AO122" s="14" t="s">
        <v>197</v>
      </c>
      <c r="AP122" s="14" t="s">
        <v>37</v>
      </c>
      <c r="AQ122" s="18">
        <v>202605</v>
      </c>
      <c r="AR122" s="18" t="s">
        <v>147</v>
      </c>
      <c r="AS122" s="14" t="s">
        <v>232</v>
      </c>
      <c r="AT122" s="14" t="s">
        <v>232</v>
      </c>
      <c r="AU122" s="22" t="s">
        <v>275</v>
      </c>
      <c r="AV122" s="22" t="s">
        <v>363</v>
      </c>
    </row>
    <row r="123" spans="1:49" x14ac:dyDescent="0.3">
      <c r="A123" s="5" t="s">
        <v>145</v>
      </c>
      <c r="B123" s="5" t="s">
        <v>54</v>
      </c>
      <c r="C123" s="5" t="s">
        <v>525</v>
      </c>
      <c r="D123" s="5" t="s">
        <v>32</v>
      </c>
      <c r="E123" s="6" t="s">
        <v>33</v>
      </c>
      <c r="F123" s="7">
        <v>109</v>
      </c>
      <c r="G123" s="5" t="s">
        <v>426</v>
      </c>
      <c r="H123" s="5" t="s">
        <v>1037</v>
      </c>
      <c r="I123" s="5" t="s">
        <v>1038</v>
      </c>
      <c r="J123" s="5" t="s">
        <v>34</v>
      </c>
      <c r="K123" s="5" t="s">
        <v>96</v>
      </c>
      <c r="L123" s="5" t="s">
        <v>200</v>
      </c>
      <c r="M123" s="5" t="s">
        <v>39</v>
      </c>
      <c r="N123" s="5"/>
      <c r="O123" s="6"/>
      <c r="P123" s="5" t="s">
        <v>195</v>
      </c>
      <c r="Q123" s="5" t="s">
        <v>64</v>
      </c>
      <c r="R123" s="5" t="s">
        <v>140</v>
      </c>
      <c r="S123" s="5" t="s">
        <v>1039</v>
      </c>
      <c r="T123" s="5" t="s">
        <v>1040</v>
      </c>
      <c r="U123" s="5" t="s">
        <v>1041</v>
      </c>
      <c r="V123" s="8">
        <v>39</v>
      </c>
      <c r="W123" s="9">
        <v>60324</v>
      </c>
      <c r="X123" s="5"/>
      <c r="Y123" s="10">
        <v>100</v>
      </c>
      <c r="Z123" s="10">
        <v>18.18</v>
      </c>
      <c r="AA123" s="10">
        <v>18.18</v>
      </c>
      <c r="AB123" s="10">
        <v>39660</v>
      </c>
      <c r="AC123" s="10">
        <v>1074</v>
      </c>
      <c r="AD123" s="10">
        <v>0</v>
      </c>
      <c r="AE123" s="11">
        <v>40734</v>
      </c>
      <c r="AF123" s="12" t="s">
        <v>98</v>
      </c>
      <c r="AG123" s="14" t="s">
        <v>135</v>
      </c>
      <c r="AH123" s="14" t="s">
        <v>65</v>
      </c>
      <c r="AI123" s="14" t="s">
        <v>36</v>
      </c>
      <c r="AJ123" s="14">
        <v>70000</v>
      </c>
      <c r="AK123" s="14">
        <v>65000</v>
      </c>
      <c r="AL123" s="13">
        <v>42</v>
      </c>
      <c r="AM123" s="13">
        <v>42</v>
      </c>
      <c r="AN123" s="14" t="s">
        <v>196</v>
      </c>
      <c r="AO123" s="14" t="s">
        <v>197</v>
      </c>
      <c r="AP123" s="14" t="s">
        <v>37</v>
      </c>
      <c r="AQ123" s="18">
        <v>202605</v>
      </c>
      <c r="AR123" s="18" t="s">
        <v>147</v>
      </c>
      <c r="AS123" s="14" t="s">
        <v>232</v>
      </c>
      <c r="AT123" s="14" t="s">
        <v>232</v>
      </c>
      <c r="AU123" s="22" t="s">
        <v>275</v>
      </c>
      <c r="AV123" s="22" t="s">
        <v>363</v>
      </c>
    </row>
    <row r="124" spans="1:49" x14ac:dyDescent="0.3">
      <c r="A124" s="5" t="s">
        <v>145</v>
      </c>
      <c r="B124" s="5" t="s">
        <v>54</v>
      </c>
      <c r="C124" s="5" t="s">
        <v>525</v>
      </c>
      <c r="D124" s="5" t="s">
        <v>32</v>
      </c>
      <c r="E124" s="6" t="s">
        <v>33</v>
      </c>
      <c r="F124" s="7">
        <v>110</v>
      </c>
      <c r="G124" s="5" t="s">
        <v>426</v>
      </c>
      <c r="H124" s="5" t="s">
        <v>1042</v>
      </c>
      <c r="I124" s="5" t="s">
        <v>1043</v>
      </c>
      <c r="J124" s="5" t="s">
        <v>34</v>
      </c>
      <c r="K124" s="5" t="s">
        <v>96</v>
      </c>
      <c r="L124" s="5" t="s">
        <v>200</v>
      </c>
      <c r="M124" s="5" t="s">
        <v>39</v>
      </c>
      <c r="N124" s="5"/>
      <c r="O124" s="6"/>
      <c r="P124" s="5" t="s">
        <v>94</v>
      </c>
      <c r="Q124" s="5" t="s">
        <v>64</v>
      </c>
      <c r="R124" s="5" t="s">
        <v>140</v>
      </c>
      <c r="S124" s="5" t="s">
        <v>946</v>
      </c>
      <c r="T124" s="5" t="s">
        <v>997</v>
      </c>
      <c r="U124" s="5" t="s">
        <v>1044</v>
      </c>
      <c r="V124" s="8">
        <v>36</v>
      </c>
      <c r="W124" s="9">
        <v>96323</v>
      </c>
      <c r="X124" s="5"/>
      <c r="Y124" s="10">
        <v>100</v>
      </c>
      <c r="Z124" s="10">
        <v>18.18</v>
      </c>
      <c r="AA124" s="10">
        <v>18.18</v>
      </c>
      <c r="AB124" s="10">
        <v>39660</v>
      </c>
      <c r="AC124" s="10">
        <v>3488</v>
      </c>
      <c r="AD124" s="10">
        <v>0</v>
      </c>
      <c r="AE124" s="11">
        <v>43148</v>
      </c>
      <c r="AF124" s="12" t="s">
        <v>98</v>
      </c>
      <c r="AG124" s="14" t="s">
        <v>179</v>
      </c>
      <c r="AH124" s="14" t="s">
        <v>65</v>
      </c>
      <c r="AI124" s="14" t="s">
        <v>36</v>
      </c>
      <c r="AJ124" s="14">
        <v>100000</v>
      </c>
      <c r="AK124" s="14">
        <v>100000</v>
      </c>
      <c r="AL124" s="13">
        <v>42</v>
      </c>
      <c r="AM124" s="13">
        <v>39</v>
      </c>
      <c r="AN124" s="14" t="s">
        <v>196</v>
      </c>
      <c r="AO124" s="14" t="s">
        <v>197</v>
      </c>
      <c r="AP124" s="14" t="s">
        <v>37</v>
      </c>
      <c r="AQ124" s="18">
        <v>202605</v>
      </c>
      <c r="AR124" s="18" t="s">
        <v>147</v>
      </c>
      <c r="AS124" s="14" t="s">
        <v>232</v>
      </c>
      <c r="AT124" s="14" t="s">
        <v>232</v>
      </c>
      <c r="AU124" s="22" t="s">
        <v>275</v>
      </c>
      <c r="AV124" s="22" t="s">
        <v>363</v>
      </c>
    </row>
    <row r="125" spans="1:49" x14ac:dyDescent="0.3">
      <c r="A125" s="5" t="s">
        <v>145</v>
      </c>
      <c r="B125" s="5" t="s">
        <v>54</v>
      </c>
      <c r="C125" s="5" t="s">
        <v>525</v>
      </c>
      <c r="D125" s="5" t="s">
        <v>32</v>
      </c>
      <c r="E125" s="6" t="s">
        <v>33</v>
      </c>
      <c r="F125" s="7">
        <v>111</v>
      </c>
      <c r="G125" s="5" t="s">
        <v>426</v>
      </c>
      <c r="H125" s="5" t="s">
        <v>1045</v>
      </c>
      <c r="I125" s="5" t="s">
        <v>1046</v>
      </c>
      <c r="J125" s="5" t="s">
        <v>34</v>
      </c>
      <c r="K125" s="5" t="s">
        <v>96</v>
      </c>
      <c r="L125" s="5" t="s">
        <v>200</v>
      </c>
      <c r="M125" s="5" t="s">
        <v>39</v>
      </c>
      <c r="N125" s="5"/>
      <c r="O125" s="6"/>
      <c r="P125" s="5" t="s">
        <v>94</v>
      </c>
      <c r="Q125" s="5" t="s">
        <v>64</v>
      </c>
      <c r="R125" s="5" t="s">
        <v>140</v>
      </c>
      <c r="S125" s="5" t="s">
        <v>1047</v>
      </c>
      <c r="T125" s="5" t="s">
        <v>1048</v>
      </c>
      <c r="U125" s="5" t="s">
        <v>1049</v>
      </c>
      <c r="V125" s="8">
        <v>37</v>
      </c>
      <c r="W125" s="9">
        <v>68126</v>
      </c>
      <c r="X125" s="5"/>
      <c r="Y125" s="10">
        <v>100</v>
      </c>
      <c r="Z125" s="10">
        <v>18.18</v>
      </c>
      <c r="AA125" s="10">
        <v>18.18</v>
      </c>
      <c r="AB125" s="10">
        <v>39660</v>
      </c>
      <c r="AC125" s="10">
        <v>3488</v>
      </c>
      <c r="AD125" s="10">
        <v>0</v>
      </c>
      <c r="AE125" s="11">
        <v>43148</v>
      </c>
      <c r="AF125" s="12" t="s">
        <v>98</v>
      </c>
      <c r="AG125" s="14" t="s">
        <v>308</v>
      </c>
      <c r="AH125" s="14" t="s">
        <v>65</v>
      </c>
      <c r="AI125" s="14" t="s">
        <v>36</v>
      </c>
      <c r="AJ125" s="14">
        <v>70000</v>
      </c>
      <c r="AK125" s="14">
        <v>70000</v>
      </c>
      <c r="AL125" s="13">
        <v>42</v>
      </c>
      <c r="AM125" s="13">
        <v>39</v>
      </c>
      <c r="AN125" s="14" t="s">
        <v>196</v>
      </c>
      <c r="AO125" s="14" t="s">
        <v>197</v>
      </c>
      <c r="AP125" s="14" t="s">
        <v>37</v>
      </c>
      <c r="AQ125" s="18">
        <v>202605</v>
      </c>
      <c r="AR125" s="18" t="s">
        <v>147</v>
      </c>
      <c r="AS125" s="14" t="s">
        <v>232</v>
      </c>
      <c r="AT125" s="14" t="s">
        <v>232</v>
      </c>
      <c r="AU125" s="22" t="s">
        <v>275</v>
      </c>
      <c r="AV125" s="22" t="s">
        <v>363</v>
      </c>
    </row>
    <row r="126" spans="1:49" x14ac:dyDescent="0.3">
      <c r="A126" s="5" t="s">
        <v>30</v>
      </c>
      <c r="B126" s="5" t="s">
        <v>31</v>
      </c>
      <c r="C126" s="5" t="s">
        <v>1050</v>
      </c>
      <c r="D126" s="5" t="s">
        <v>32</v>
      </c>
      <c r="E126" s="6" t="s">
        <v>33</v>
      </c>
      <c r="F126" s="7">
        <v>1</v>
      </c>
      <c r="G126" s="5" t="s">
        <v>1051</v>
      </c>
      <c r="H126" s="5" t="s">
        <v>1052</v>
      </c>
      <c r="I126" s="5" t="s">
        <v>1053</v>
      </c>
      <c r="J126" s="5" t="s">
        <v>34</v>
      </c>
      <c r="K126" s="5" t="s">
        <v>131</v>
      </c>
      <c r="L126" s="5" t="s">
        <v>1054</v>
      </c>
      <c r="M126" s="5" t="s">
        <v>39</v>
      </c>
      <c r="N126" s="5" t="s">
        <v>56</v>
      </c>
      <c r="O126" s="6" t="e">
        <v>#N/A</v>
      </c>
      <c r="P126" s="5" t="s">
        <v>83</v>
      </c>
      <c r="Q126" s="5"/>
      <c r="R126" s="5" t="s">
        <v>139</v>
      </c>
      <c r="S126" s="5" t="s">
        <v>448</v>
      </c>
      <c r="T126" s="5" t="s">
        <v>1055</v>
      </c>
      <c r="U126" s="5" t="s">
        <v>1056</v>
      </c>
      <c r="V126" s="8">
        <v>1</v>
      </c>
      <c r="W126" s="9">
        <v>326</v>
      </c>
      <c r="X126" s="5" t="s">
        <v>35</v>
      </c>
      <c r="Y126" s="10">
        <v>100</v>
      </c>
      <c r="Z126" s="10">
        <v>25.44</v>
      </c>
      <c r="AA126" s="10">
        <v>25.44</v>
      </c>
      <c r="AB126" s="10">
        <v>92665</v>
      </c>
      <c r="AC126" s="10">
        <v>18698</v>
      </c>
      <c r="AD126" s="10">
        <v>0</v>
      </c>
      <c r="AE126" s="11">
        <v>111363</v>
      </c>
      <c r="AF126" s="12" t="s">
        <v>132</v>
      </c>
      <c r="AG126" s="14" t="s">
        <v>1057</v>
      </c>
      <c r="AH126" s="14" t="e">
        <v>#N/A</v>
      </c>
      <c r="AI126" s="14" t="s">
        <v>36</v>
      </c>
      <c r="AJ126" s="14">
        <v>10000</v>
      </c>
      <c r="AK126" s="14">
        <v>5000</v>
      </c>
      <c r="AL126" s="13">
        <v>6</v>
      </c>
      <c r="AM126" s="13">
        <v>3</v>
      </c>
      <c r="AN126" s="14" t="s">
        <v>307</v>
      </c>
      <c r="AO126" s="14" t="s">
        <v>86</v>
      </c>
      <c r="AP126" s="14" t="s">
        <v>37</v>
      </c>
      <c r="AQ126" s="18">
        <v>202606</v>
      </c>
      <c r="AR126" s="14" t="s">
        <v>147</v>
      </c>
      <c r="AS126" s="14" t="s">
        <v>174</v>
      </c>
      <c r="AT126" s="14" t="s">
        <v>174</v>
      </c>
      <c r="AU126" s="22" t="s">
        <v>275</v>
      </c>
      <c r="AV126" s="22" t="s">
        <v>363</v>
      </c>
      <c r="AW126"/>
    </row>
    <row r="127" spans="1:49" x14ac:dyDescent="0.3">
      <c r="A127" s="5" t="s">
        <v>30</v>
      </c>
      <c r="B127" s="5" t="s">
        <v>31</v>
      </c>
      <c r="C127" s="5" t="s">
        <v>1050</v>
      </c>
      <c r="D127" s="5" t="s">
        <v>32</v>
      </c>
      <c r="E127" s="6" t="s">
        <v>33</v>
      </c>
      <c r="F127" s="7">
        <v>2</v>
      </c>
      <c r="G127" s="5" t="s">
        <v>1051</v>
      </c>
      <c r="H127" s="5" t="s">
        <v>1058</v>
      </c>
      <c r="I127" s="5" t="s">
        <v>1059</v>
      </c>
      <c r="J127" s="5" t="s">
        <v>34</v>
      </c>
      <c r="K127" s="5" t="s">
        <v>1060</v>
      </c>
      <c r="L127" s="5" t="s">
        <v>1054</v>
      </c>
      <c r="M127" s="5" t="s">
        <v>39</v>
      </c>
      <c r="N127" s="5" t="s">
        <v>56</v>
      </c>
      <c r="O127" s="6" t="e">
        <v>#N/A</v>
      </c>
      <c r="P127" s="5" t="s">
        <v>1061</v>
      </c>
      <c r="Q127" s="5"/>
      <c r="R127" s="5" t="s">
        <v>251</v>
      </c>
      <c r="S127" s="5" t="s">
        <v>276</v>
      </c>
      <c r="T127" s="5" t="s">
        <v>1062</v>
      </c>
      <c r="U127" s="5" t="s">
        <v>327</v>
      </c>
      <c r="V127" s="8">
        <v>4</v>
      </c>
      <c r="W127" s="9">
        <v>2342</v>
      </c>
      <c r="X127" s="5" t="s">
        <v>35</v>
      </c>
      <c r="Y127" s="10">
        <v>100</v>
      </c>
      <c r="Z127" s="10">
        <v>25.44</v>
      </c>
      <c r="AA127" s="10">
        <v>25.44</v>
      </c>
      <c r="AB127" s="10">
        <v>92229</v>
      </c>
      <c r="AC127" s="10">
        <v>34980</v>
      </c>
      <c r="AD127" s="10">
        <v>0</v>
      </c>
      <c r="AE127" s="11">
        <v>127209</v>
      </c>
      <c r="AF127" s="12" t="s">
        <v>1063</v>
      </c>
      <c r="AG127" s="14" t="s">
        <v>336</v>
      </c>
      <c r="AH127" s="14" t="e">
        <v>#N/A</v>
      </c>
      <c r="AI127" s="14" t="s">
        <v>85</v>
      </c>
      <c r="AJ127" s="14">
        <v>10000</v>
      </c>
      <c r="AK127" s="14">
        <v>5000</v>
      </c>
      <c r="AL127" s="13">
        <v>6</v>
      </c>
      <c r="AM127" s="13">
        <v>6</v>
      </c>
      <c r="AN127" s="14" t="s">
        <v>384</v>
      </c>
      <c r="AO127" s="14" t="s">
        <v>86</v>
      </c>
      <c r="AP127" s="14" t="s">
        <v>37</v>
      </c>
      <c r="AQ127" s="18">
        <v>202606</v>
      </c>
      <c r="AR127" s="14" t="s">
        <v>147</v>
      </c>
      <c r="AS127" s="14" t="s">
        <v>174</v>
      </c>
      <c r="AT127" s="14" t="s">
        <v>174</v>
      </c>
      <c r="AU127" s="22" t="s">
        <v>275</v>
      </c>
      <c r="AV127" s="22" t="s">
        <v>363</v>
      </c>
      <c r="AW127"/>
    </row>
    <row r="128" spans="1:49" x14ac:dyDescent="0.3">
      <c r="A128" s="5" t="s">
        <v>30</v>
      </c>
      <c r="B128" s="5" t="s">
        <v>31</v>
      </c>
      <c r="C128" s="5" t="s">
        <v>1050</v>
      </c>
      <c r="D128" s="5" t="s">
        <v>32</v>
      </c>
      <c r="E128" s="6" t="s">
        <v>33</v>
      </c>
      <c r="F128" s="7">
        <v>107</v>
      </c>
      <c r="G128" s="5" t="s">
        <v>1051</v>
      </c>
      <c r="H128" s="5" t="s">
        <v>1064</v>
      </c>
      <c r="I128" s="5" t="s">
        <v>1065</v>
      </c>
      <c r="J128" s="5" t="s">
        <v>34</v>
      </c>
      <c r="K128" s="5" t="s">
        <v>131</v>
      </c>
      <c r="L128" s="5" t="s">
        <v>148</v>
      </c>
      <c r="M128" s="5" t="s">
        <v>149</v>
      </c>
      <c r="N128" s="5" t="s">
        <v>56</v>
      </c>
      <c r="O128" s="6" t="s">
        <v>1066</v>
      </c>
      <c r="P128" s="5" t="s">
        <v>153</v>
      </c>
      <c r="Q128" s="5"/>
      <c r="R128" s="5" t="s">
        <v>182</v>
      </c>
      <c r="S128" s="5" t="s">
        <v>1067</v>
      </c>
      <c r="T128" s="5" t="s">
        <v>1068</v>
      </c>
      <c r="U128" s="5" t="s">
        <v>1069</v>
      </c>
      <c r="V128" s="8">
        <v>51</v>
      </c>
      <c r="W128" s="9">
        <v>38381</v>
      </c>
      <c r="X128" s="5" t="s">
        <v>35</v>
      </c>
      <c r="Y128" s="10">
        <v>100</v>
      </c>
      <c r="Z128" s="10">
        <v>25.44</v>
      </c>
      <c r="AA128" s="10">
        <v>25.44</v>
      </c>
      <c r="AB128" s="10">
        <v>48358</v>
      </c>
      <c r="AC128" s="10">
        <v>10303</v>
      </c>
      <c r="AD128" s="10">
        <v>0</v>
      </c>
      <c r="AE128" s="11">
        <v>58661</v>
      </c>
      <c r="AF128" s="12" t="s">
        <v>132</v>
      </c>
      <c r="AG128" s="14" t="s">
        <v>126</v>
      </c>
      <c r="AH128" s="14" t="e">
        <v>#N/A</v>
      </c>
      <c r="AI128" s="14" t="s">
        <v>138</v>
      </c>
      <c r="AJ128" s="14">
        <v>40000</v>
      </c>
      <c r="AK128" s="14">
        <v>40000</v>
      </c>
      <c r="AL128" s="13">
        <v>54</v>
      </c>
      <c r="AM128" s="13">
        <v>54</v>
      </c>
      <c r="AN128" s="14" t="s">
        <v>1070</v>
      </c>
      <c r="AO128" s="14" t="s">
        <v>86</v>
      </c>
      <c r="AP128" s="14" t="s">
        <v>359</v>
      </c>
      <c r="AQ128" s="18">
        <v>202606</v>
      </c>
      <c r="AR128" s="14" t="s">
        <v>158</v>
      </c>
      <c r="AS128"/>
      <c r="AT128" s="12" t="s">
        <v>132</v>
      </c>
      <c r="AU128" s="22" t="s">
        <v>275</v>
      </c>
      <c r="AV128" s="22" t="s">
        <v>363</v>
      </c>
      <c r="AW128"/>
    </row>
    <row r="129" spans="1:49" x14ac:dyDescent="0.3">
      <c r="A129" s="5" t="s">
        <v>30</v>
      </c>
      <c r="B129" s="5" t="s">
        <v>31</v>
      </c>
      <c r="C129" s="5" t="s">
        <v>1050</v>
      </c>
      <c r="D129" s="5" t="s">
        <v>32</v>
      </c>
      <c r="E129" s="6" t="s">
        <v>33</v>
      </c>
      <c r="F129" s="7">
        <v>108</v>
      </c>
      <c r="G129" s="5" t="s">
        <v>1051</v>
      </c>
      <c r="H129" s="5" t="s">
        <v>1071</v>
      </c>
      <c r="I129" s="5" t="s">
        <v>1072</v>
      </c>
      <c r="J129" s="5" t="s">
        <v>34</v>
      </c>
      <c r="K129" s="5" t="s">
        <v>131</v>
      </c>
      <c r="L129" s="5" t="s">
        <v>148</v>
      </c>
      <c r="M129" s="5" t="s">
        <v>149</v>
      </c>
      <c r="N129" s="5" t="s">
        <v>56</v>
      </c>
      <c r="O129" s="6" t="s">
        <v>1073</v>
      </c>
      <c r="P129" s="5" t="s">
        <v>153</v>
      </c>
      <c r="Q129" s="5"/>
      <c r="R129" s="5" t="s">
        <v>686</v>
      </c>
      <c r="S129" s="5" t="s">
        <v>1074</v>
      </c>
      <c r="T129" s="5" t="s">
        <v>1056</v>
      </c>
      <c r="U129" s="5" t="s">
        <v>1075</v>
      </c>
      <c r="V129" s="8">
        <v>40</v>
      </c>
      <c r="W129" s="9">
        <v>107056</v>
      </c>
      <c r="X129" s="5" t="s">
        <v>35</v>
      </c>
      <c r="Y129" s="10">
        <v>100</v>
      </c>
      <c r="Z129" s="10">
        <v>25.44</v>
      </c>
      <c r="AA129" s="10">
        <v>25.44</v>
      </c>
      <c r="AB129" s="10">
        <v>48358</v>
      </c>
      <c r="AC129" s="10">
        <v>19334</v>
      </c>
      <c r="AD129" s="10">
        <v>0</v>
      </c>
      <c r="AE129" s="11">
        <v>67692</v>
      </c>
      <c r="AF129" s="12" t="s">
        <v>132</v>
      </c>
      <c r="AG129" s="14" t="s">
        <v>172</v>
      </c>
      <c r="AH129" s="14" t="e">
        <v>#N/A</v>
      </c>
      <c r="AI129" s="14" t="s">
        <v>689</v>
      </c>
      <c r="AJ129" s="14" t="s">
        <v>136</v>
      </c>
      <c r="AK129" s="14" t="s">
        <v>136</v>
      </c>
      <c r="AL129" s="13">
        <v>42</v>
      </c>
      <c r="AM129" s="13">
        <v>42</v>
      </c>
      <c r="AN129" s="14" t="s">
        <v>262</v>
      </c>
      <c r="AO129" s="14" t="s">
        <v>86</v>
      </c>
      <c r="AP129" s="14" t="s">
        <v>359</v>
      </c>
      <c r="AQ129" s="18">
        <v>202606</v>
      </c>
      <c r="AR129" s="14" t="s">
        <v>158</v>
      </c>
      <c r="AS129"/>
      <c r="AT129" s="12" t="s">
        <v>132</v>
      </c>
      <c r="AU129" s="22" t="s">
        <v>275</v>
      </c>
      <c r="AV129" s="22" t="s">
        <v>363</v>
      </c>
      <c r="AW129"/>
    </row>
    <row r="130" spans="1:49" x14ac:dyDescent="0.3">
      <c r="A130" s="5" t="s">
        <v>30</v>
      </c>
      <c r="B130" s="5" t="s">
        <v>31</v>
      </c>
      <c r="C130" s="5" t="s">
        <v>1050</v>
      </c>
      <c r="D130" s="5" t="s">
        <v>32</v>
      </c>
      <c r="E130" s="6" t="s">
        <v>33</v>
      </c>
      <c r="F130" s="7">
        <v>109</v>
      </c>
      <c r="G130" s="5" t="s">
        <v>1051</v>
      </c>
      <c r="H130" s="5" t="s">
        <v>1076</v>
      </c>
      <c r="I130" s="5" t="s">
        <v>1077</v>
      </c>
      <c r="J130" s="5" t="s">
        <v>34</v>
      </c>
      <c r="K130" s="5" t="s">
        <v>129</v>
      </c>
      <c r="L130" s="5" t="s">
        <v>260</v>
      </c>
      <c r="M130" s="5" t="s">
        <v>87</v>
      </c>
      <c r="N130" s="5" t="s">
        <v>56</v>
      </c>
      <c r="O130" s="6" t="s">
        <v>1078</v>
      </c>
      <c r="P130" s="5" t="s">
        <v>150</v>
      </c>
      <c r="Q130" s="5"/>
      <c r="R130" s="5" t="s">
        <v>140</v>
      </c>
      <c r="S130" s="5" t="s">
        <v>1079</v>
      </c>
      <c r="T130" s="5" t="s">
        <v>1080</v>
      </c>
      <c r="U130" s="5" t="s">
        <v>1081</v>
      </c>
      <c r="V130" s="8">
        <v>62</v>
      </c>
      <c r="W130" s="9">
        <v>42342</v>
      </c>
      <c r="X130" s="5" t="s">
        <v>35</v>
      </c>
      <c r="Y130" s="10">
        <v>100</v>
      </c>
      <c r="Z130" s="10">
        <v>25.44</v>
      </c>
      <c r="AA130" s="10">
        <v>25.44</v>
      </c>
      <c r="AB130" s="10">
        <v>56151</v>
      </c>
      <c r="AC130" s="10">
        <v>6614</v>
      </c>
      <c r="AD130" s="10">
        <v>0</v>
      </c>
      <c r="AE130" s="11">
        <v>62765</v>
      </c>
      <c r="AF130" s="12" t="s">
        <v>130</v>
      </c>
      <c r="AG130" s="14" t="s">
        <v>186</v>
      </c>
      <c r="AH130" s="14" t="e">
        <v>#N/A</v>
      </c>
      <c r="AI130" s="14" t="s">
        <v>36</v>
      </c>
      <c r="AJ130" s="14">
        <v>50000</v>
      </c>
      <c r="AK130" s="14">
        <v>45000</v>
      </c>
      <c r="AL130" s="13" t="s">
        <v>121</v>
      </c>
      <c r="AM130" s="13" t="s">
        <v>121</v>
      </c>
      <c r="AN130" s="14" t="s">
        <v>307</v>
      </c>
      <c r="AO130" s="14" t="s">
        <v>86</v>
      </c>
      <c r="AP130" s="14" t="s">
        <v>88</v>
      </c>
      <c r="AQ130" s="18">
        <v>202606</v>
      </c>
      <c r="AR130" s="14" t="s">
        <v>147</v>
      </c>
      <c r="AS130" s="14" t="s">
        <v>180</v>
      </c>
      <c r="AT130" s="12" t="s">
        <v>130</v>
      </c>
      <c r="AU130" s="22" t="s">
        <v>275</v>
      </c>
      <c r="AV130" s="22" t="s">
        <v>363</v>
      </c>
      <c r="AW130"/>
    </row>
    <row r="131" spans="1:49" x14ac:dyDescent="0.3">
      <c r="A131" s="5" t="s">
        <v>30</v>
      </c>
      <c r="B131" s="5" t="s">
        <v>31</v>
      </c>
      <c r="C131" s="5" t="s">
        <v>1050</v>
      </c>
      <c r="D131" s="5" t="s">
        <v>32</v>
      </c>
      <c r="E131" s="6" t="s">
        <v>33</v>
      </c>
      <c r="F131" s="7">
        <v>110</v>
      </c>
      <c r="G131" s="5" t="s">
        <v>1051</v>
      </c>
      <c r="H131" s="5" t="s">
        <v>1082</v>
      </c>
      <c r="I131" s="5" t="s">
        <v>1083</v>
      </c>
      <c r="J131" s="5" t="s">
        <v>34</v>
      </c>
      <c r="K131" s="5" t="s">
        <v>129</v>
      </c>
      <c r="L131" s="5" t="s">
        <v>155</v>
      </c>
      <c r="M131" s="5" t="s">
        <v>87</v>
      </c>
      <c r="N131" s="5" t="s">
        <v>56</v>
      </c>
      <c r="O131" s="6" t="s">
        <v>1084</v>
      </c>
      <c r="P131" s="5" t="s">
        <v>150</v>
      </c>
      <c r="Q131" s="5"/>
      <c r="R131" s="5" t="s">
        <v>140</v>
      </c>
      <c r="S131" s="5" t="s">
        <v>290</v>
      </c>
      <c r="T131" s="5" t="s">
        <v>1085</v>
      </c>
      <c r="U131" s="5" t="s">
        <v>1086</v>
      </c>
      <c r="V131" s="8">
        <v>35</v>
      </c>
      <c r="W131" s="9">
        <v>93164</v>
      </c>
      <c r="X131" s="5" t="s">
        <v>35</v>
      </c>
      <c r="Y131" s="10">
        <v>100</v>
      </c>
      <c r="Z131" s="10">
        <v>25.44</v>
      </c>
      <c r="AA131" s="10">
        <v>25.44</v>
      </c>
      <c r="AB131" s="10">
        <v>99718</v>
      </c>
      <c r="AC131" s="10">
        <v>6996</v>
      </c>
      <c r="AD131" s="10">
        <v>0</v>
      </c>
      <c r="AE131" s="11">
        <v>106714</v>
      </c>
      <c r="AF131" s="12" t="s">
        <v>130</v>
      </c>
      <c r="AG131" s="14" t="s">
        <v>300</v>
      </c>
      <c r="AH131" s="14" t="e">
        <v>#N/A</v>
      </c>
      <c r="AI131" s="14" t="s">
        <v>36</v>
      </c>
      <c r="AJ131" s="14">
        <v>100000</v>
      </c>
      <c r="AK131" s="14">
        <v>95000</v>
      </c>
      <c r="AL131" s="13">
        <v>36</v>
      </c>
      <c r="AM131" s="13">
        <v>36</v>
      </c>
      <c r="AN131" s="14" t="s">
        <v>487</v>
      </c>
      <c r="AO131" s="14" t="s">
        <v>86</v>
      </c>
      <c r="AP131" s="14" t="s">
        <v>88</v>
      </c>
      <c r="AQ131" s="18">
        <v>202606</v>
      </c>
      <c r="AR131" s="14" t="s">
        <v>147</v>
      </c>
      <c r="AS131" s="14" t="s">
        <v>180</v>
      </c>
      <c r="AT131" s="12" t="s">
        <v>130</v>
      </c>
      <c r="AU131" s="22" t="s">
        <v>275</v>
      </c>
      <c r="AV131" s="22" t="s">
        <v>363</v>
      </c>
      <c r="AW131"/>
    </row>
    <row r="132" spans="1:49" x14ac:dyDescent="0.3">
      <c r="A132" s="5" t="s">
        <v>30</v>
      </c>
      <c r="B132" s="5" t="s">
        <v>31</v>
      </c>
      <c r="C132" s="5" t="s">
        <v>1050</v>
      </c>
      <c r="D132" s="5" t="s">
        <v>32</v>
      </c>
      <c r="E132" s="6" t="s">
        <v>33</v>
      </c>
      <c r="F132" s="7">
        <v>111</v>
      </c>
      <c r="G132" s="5" t="s">
        <v>1051</v>
      </c>
      <c r="H132" s="5" t="s">
        <v>1087</v>
      </c>
      <c r="I132" s="5" t="s">
        <v>1088</v>
      </c>
      <c r="J132" s="5" t="s">
        <v>34</v>
      </c>
      <c r="K132" s="5" t="s">
        <v>129</v>
      </c>
      <c r="L132" s="5" t="s">
        <v>155</v>
      </c>
      <c r="M132" s="5" t="s">
        <v>87</v>
      </c>
      <c r="N132" s="5" t="s">
        <v>56</v>
      </c>
      <c r="O132" s="6" t="s">
        <v>1089</v>
      </c>
      <c r="P132" s="5" t="s">
        <v>1090</v>
      </c>
      <c r="Q132" s="5"/>
      <c r="R132" s="5" t="s">
        <v>140</v>
      </c>
      <c r="S132" s="5" t="s">
        <v>1091</v>
      </c>
      <c r="T132" s="5" t="s">
        <v>1092</v>
      </c>
      <c r="U132" s="5" t="s">
        <v>1093</v>
      </c>
      <c r="V132" s="8">
        <v>22</v>
      </c>
      <c r="W132" s="9">
        <v>13210</v>
      </c>
      <c r="X132" s="5" t="s">
        <v>35</v>
      </c>
      <c r="Y132" s="10">
        <v>100</v>
      </c>
      <c r="Z132" s="10">
        <v>25.44</v>
      </c>
      <c r="AA132" s="10">
        <v>25.44</v>
      </c>
      <c r="AB132" s="10">
        <v>100176</v>
      </c>
      <c r="AC132" s="10">
        <v>38058</v>
      </c>
      <c r="AD132" s="10">
        <v>0</v>
      </c>
      <c r="AE132" s="11">
        <v>138234</v>
      </c>
      <c r="AF132" s="12" t="s">
        <v>130</v>
      </c>
      <c r="AG132" s="14" t="s">
        <v>204</v>
      </c>
      <c r="AH132" s="14" t="e">
        <v>#N/A</v>
      </c>
      <c r="AI132" s="14" t="s">
        <v>36</v>
      </c>
      <c r="AJ132" s="14">
        <v>20000</v>
      </c>
      <c r="AK132" s="14">
        <v>15000</v>
      </c>
      <c r="AL132" s="13">
        <v>24</v>
      </c>
      <c r="AM132" s="13">
        <v>24</v>
      </c>
      <c r="AN132" s="14" t="s">
        <v>433</v>
      </c>
      <c r="AO132" s="14" t="s">
        <v>86</v>
      </c>
      <c r="AP132" s="14" t="s">
        <v>88</v>
      </c>
      <c r="AQ132" s="18">
        <v>202606</v>
      </c>
      <c r="AR132" s="14" t="s">
        <v>147</v>
      </c>
      <c r="AS132" s="14" t="s">
        <v>180</v>
      </c>
      <c r="AT132" s="12" t="s">
        <v>130</v>
      </c>
      <c r="AU132" s="22" t="s">
        <v>275</v>
      </c>
      <c r="AV132" s="22" t="s">
        <v>363</v>
      </c>
      <c r="AW132"/>
    </row>
    <row r="133" spans="1:49" x14ac:dyDescent="0.3">
      <c r="A133" s="5" t="s">
        <v>30</v>
      </c>
      <c r="B133" s="5" t="s">
        <v>31</v>
      </c>
      <c r="C133" s="5" t="s">
        <v>1050</v>
      </c>
      <c r="D133" s="5" t="s">
        <v>32</v>
      </c>
      <c r="E133" s="6" t="s">
        <v>33</v>
      </c>
      <c r="F133" s="7">
        <v>112</v>
      </c>
      <c r="G133" s="5" t="s">
        <v>1051</v>
      </c>
      <c r="H133" s="5" t="s">
        <v>1094</v>
      </c>
      <c r="I133" s="5" t="s">
        <v>1095</v>
      </c>
      <c r="J133" s="5" t="s">
        <v>34</v>
      </c>
      <c r="K133" s="5" t="s">
        <v>50</v>
      </c>
      <c r="L133" s="5" t="s">
        <v>151</v>
      </c>
      <c r="M133" s="5" t="s">
        <v>87</v>
      </c>
      <c r="N133" s="5" t="s">
        <v>56</v>
      </c>
      <c r="O133" s="6" t="s">
        <v>1096</v>
      </c>
      <c r="P133" s="5" t="s">
        <v>150</v>
      </c>
      <c r="Q133" s="5"/>
      <c r="R133" s="5" t="s">
        <v>140</v>
      </c>
      <c r="S133" s="5" t="s">
        <v>1097</v>
      </c>
      <c r="T133" s="5" t="s">
        <v>1098</v>
      </c>
      <c r="U133" s="5" t="s">
        <v>1099</v>
      </c>
      <c r="V133" s="8">
        <v>62</v>
      </c>
      <c r="W133" s="9">
        <v>85504</v>
      </c>
      <c r="X133" s="5" t="s">
        <v>35</v>
      </c>
      <c r="Y133" s="10">
        <v>100</v>
      </c>
      <c r="Z133" s="10">
        <v>25.44</v>
      </c>
      <c r="AA133" s="10">
        <v>25.44</v>
      </c>
      <c r="AB133" s="10">
        <v>54167</v>
      </c>
      <c r="AC133" s="10">
        <v>9667</v>
      </c>
      <c r="AD133" s="10">
        <v>0</v>
      </c>
      <c r="AE133" s="11">
        <v>63834</v>
      </c>
      <c r="AF133" s="12" t="s">
        <v>52</v>
      </c>
      <c r="AG133" s="14" t="s">
        <v>299</v>
      </c>
      <c r="AH133" s="14" t="e">
        <v>#N/A</v>
      </c>
      <c r="AI133" s="14" t="s">
        <v>36</v>
      </c>
      <c r="AJ133" s="14">
        <v>90000</v>
      </c>
      <c r="AK133" s="14">
        <v>90000</v>
      </c>
      <c r="AL133" s="13" t="s">
        <v>121</v>
      </c>
      <c r="AM133" s="13" t="s">
        <v>121</v>
      </c>
      <c r="AN133" s="14" t="s">
        <v>450</v>
      </c>
      <c r="AO133" s="14" t="s">
        <v>86</v>
      </c>
      <c r="AP133" s="14" t="s">
        <v>88</v>
      </c>
      <c r="AQ133" s="18">
        <v>202606</v>
      </c>
      <c r="AR133" s="14" t="s">
        <v>147</v>
      </c>
      <c r="AS133" s="14" t="s">
        <v>160</v>
      </c>
      <c r="AT133" s="12" t="s">
        <v>52</v>
      </c>
      <c r="AU133" s="22" t="s">
        <v>275</v>
      </c>
      <c r="AV133" s="22" t="s">
        <v>363</v>
      </c>
      <c r="AW133"/>
    </row>
    <row r="134" spans="1:49" x14ac:dyDescent="0.3">
      <c r="A134" s="5" t="s">
        <v>30</v>
      </c>
      <c r="B134" s="5" t="s">
        <v>31</v>
      </c>
      <c r="C134" s="5" t="s">
        <v>1050</v>
      </c>
      <c r="D134" s="5" t="s">
        <v>32</v>
      </c>
      <c r="E134" s="6" t="s">
        <v>33</v>
      </c>
      <c r="F134" s="7">
        <v>113</v>
      </c>
      <c r="G134" s="5" t="s">
        <v>1051</v>
      </c>
      <c r="H134" s="5" t="s">
        <v>1100</v>
      </c>
      <c r="I134" s="5" t="s">
        <v>1101</v>
      </c>
      <c r="J134" s="5" t="s">
        <v>34</v>
      </c>
      <c r="K134" s="5" t="s">
        <v>50</v>
      </c>
      <c r="L134" s="5" t="s">
        <v>151</v>
      </c>
      <c r="M134" s="5" t="s">
        <v>87</v>
      </c>
      <c r="N134" s="5" t="s">
        <v>56</v>
      </c>
      <c r="O134" s="6" t="s">
        <v>1102</v>
      </c>
      <c r="P134" s="5" t="s">
        <v>47</v>
      </c>
      <c r="Q134" s="5"/>
      <c r="R134" s="5" t="s">
        <v>140</v>
      </c>
      <c r="S134" s="5" t="s">
        <v>1103</v>
      </c>
      <c r="T134" s="5" t="s">
        <v>1104</v>
      </c>
      <c r="U134" s="5" t="s">
        <v>1105</v>
      </c>
      <c r="V134" s="8">
        <v>60</v>
      </c>
      <c r="W134" s="9">
        <v>73651</v>
      </c>
      <c r="X134" s="5" t="s">
        <v>35</v>
      </c>
      <c r="Y134" s="10">
        <v>100</v>
      </c>
      <c r="Z134" s="10">
        <v>25.44</v>
      </c>
      <c r="AA134" s="10">
        <v>25.44</v>
      </c>
      <c r="AB134" s="10">
        <v>54462</v>
      </c>
      <c r="AC134" s="10">
        <v>7632</v>
      </c>
      <c r="AD134" s="10">
        <v>0</v>
      </c>
      <c r="AE134" s="11">
        <v>62094</v>
      </c>
      <c r="AF134" s="12" t="s">
        <v>52</v>
      </c>
      <c r="AG134" s="14" t="s">
        <v>246</v>
      </c>
      <c r="AH134" s="14" t="e">
        <v>#N/A</v>
      </c>
      <c r="AI134" s="14" t="s">
        <v>36</v>
      </c>
      <c r="AJ134" s="14">
        <v>80000</v>
      </c>
      <c r="AK134" s="14">
        <v>75000</v>
      </c>
      <c r="AL134" s="13" t="s">
        <v>121</v>
      </c>
      <c r="AM134" s="13" t="s">
        <v>121</v>
      </c>
      <c r="AN134" s="14" t="s">
        <v>374</v>
      </c>
      <c r="AO134" s="14" t="s">
        <v>86</v>
      </c>
      <c r="AP134" s="14" t="s">
        <v>88</v>
      </c>
      <c r="AQ134" s="18">
        <v>202606</v>
      </c>
      <c r="AR134" s="14" t="s">
        <v>147</v>
      </c>
      <c r="AS134" s="14" t="s">
        <v>160</v>
      </c>
      <c r="AT134" s="12" t="s">
        <v>52</v>
      </c>
      <c r="AU134" s="22" t="s">
        <v>275</v>
      </c>
      <c r="AV134" s="22" t="s">
        <v>363</v>
      </c>
      <c r="AW134"/>
    </row>
    <row r="135" spans="1:49" x14ac:dyDescent="0.3">
      <c r="A135" s="5" t="s">
        <v>30</v>
      </c>
      <c r="B135" s="5" t="s">
        <v>31</v>
      </c>
      <c r="C135" s="5" t="s">
        <v>1050</v>
      </c>
      <c r="D135" s="5" t="s">
        <v>32</v>
      </c>
      <c r="E135" s="6" t="s">
        <v>33</v>
      </c>
      <c r="F135" s="7">
        <v>114</v>
      </c>
      <c r="G135" s="5" t="s">
        <v>1051</v>
      </c>
      <c r="H135" s="5" t="s">
        <v>1106</v>
      </c>
      <c r="I135" s="5" t="s">
        <v>1107</v>
      </c>
      <c r="J135" s="5" t="s">
        <v>34</v>
      </c>
      <c r="K135" s="5" t="s">
        <v>50</v>
      </c>
      <c r="L135" s="5" t="s">
        <v>164</v>
      </c>
      <c r="M135" s="5" t="s">
        <v>87</v>
      </c>
      <c r="N135" s="5" t="s">
        <v>56</v>
      </c>
      <c r="O135" s="6" t="s">
        <v>1108</v>
      </c>
      <c r="P135" s="5" t="s">
        <v>177</v>
      </c>
      <c r="Q135" s="5"/>
      <c r="R135" s="5" t="s">
        <v>140</v>
      </c>
      <c r="S135" s="5" t="s">
        <v>1109</v>
      </c>
      <c r="T135" s="5" t="s">
        <v>1062</v>
      </c>
      <c r="U135" s="5" t="s">
        <v>1109</v>
      </c>
      <c r="V135" s="8">
        <v>51</v>
      </c>
      <c r="W135" s="9">
        <v>73032</v>
      </c>
      <c r="X135" s="5" t="s">
        <v>35</v>
      </c>
      <c r="Y135" s="10">
        <v>100</v>
      </c>
      <c r="Z135" s="10">
        <v>25.44</v>
      </c>
      <c r="AA135" s="10">
        <v>25.44</v>
      </c>
      <c r="AB135" s="10">
        <v>50073</v>
      </c>
      <c r="AC135" s="10">
        <v>10990</v>
      </c>
      <c r="AD135" s="10">
        <v>0</v>
      </c>
      <c r="AE135" s="11">
        <v>61063</v>
      </c>
      <c r="AF135" s="12" t="s">
        <v>52</v>
      </c>
      <c r="AG135" s="14" t="s">
        <v>126</v>
      </c>
      <c r="AH135" s="14" t="e">
        <v>#N/A</v>
      </c>
      <c r="AI135" s="14" t="s">
        <v>36</v>
      </c>
      <c r="AJ135" s="14">
        <v>80000</v>
      </c>
      <c r="AK135" s="14">
        <v>75000</v>
      </c>
      <c r="AL135" s="13">
        <v>54</v>
      </c>
      <c r="AM135" s="13">
        <v>54</v>
      </c>
      <c r="AN135" s="14" t="s">
        <v>419</v>
      </c>
      <c r="AO135" s="14" t="s">
        <v>86</v>
      </c>
      <c r="AP135" s="14" t="s">
        <v>88</v>
      </c>
      <c r="AQ135" s="18">
        <v>202606</v>
      </c>
      <c r="AR135" s="14" t="s">
        <v>147</v>
      </c>
      <c r="AS135" s="14" t="s">
        <v>160</v>
      </c>
      <c r="AT135" s="12" t="s">
        <v>52</v>
      </c>
      <c r="AU135" s="22" t="s">
        <v>275</v>
      </c>
      <c r="AV135" s="22" t="s">
        <v>363</v>
      </c>
      <c r="AW135"/>
    </row>
    <row r="136" spans="1:49" x14ac:dyDescent="0.3">
      <c r="A136" s="5" t="s">
        <v>30</v>
      </c>
      <c r="B136" s="5" t="s">
        <v>31</v>
      </c>
      <c r="C136" s="5" t="s">
        <v>1050</v>
      </c>
      <c r="D136" s="5" t="s">
        <v>32</v>
      </c>
      <c r="E136" s="6" t="s">
        <v>33</v>
      </c>
      <c r="F136" s="7">
        <v>115</v>
      </c>
      <c r="G136" s="5" t="s">
        <v>1051</v>
      </c>
      <c r="H136" s="5" t="s">
        <v>1110</v>
      </c>
      <c r="I136" s="5" t="s">
        <v>1111</v>
      </c>
      <c r="J136" s="5" t="s">
        <v>34</v>
      </c>
      <c r="K136" s="5" t="s">
        <v>50</v>
      </c>
      <c r="L136" s="5" t="s">
        <v>164</v>
      </c>
      <c r="M136" s="5" t="s">
        <v>87</v>
      </c>
      <c r="N136" s="5" t="s">
        <v>56</v>
      </c>
      <c r="O136" s="6" t="s">
        <v>1112</v>
      </c>
      <c r="P136" s="5" t="s">
        <v>47</v>
      </c>
      <c r="Q136" s="5"/>
      <c r="R136" s="5" t="s">
        <v>140</v>
      </c>
      <c r="S136" s="5" t="s">
        <v>1113</v>
      </c>
      <c r="T136" s="5" t="s">
        <v>1098</v>
      </c>
      <c r="U136" s="5" t="s">
        <v>1114</v>
      </c>
      <c r="V136" s="8">
        <v>15</v>
      </c>
      <c r="W136" s="9">
        <v>6972</v>
      </c>
      <c r="X136" s="5" t="s">
        <v>35</v>
      </c>
      <c r="Y136" s="10">
        <v>100</v>
      </c>
      <c r="Z136" s="10">
        <v>25.44</v>
      </c>
      <c r="AA136" s="10">
        <v>25.44</v>
      </c>
      <c r="AB136" s="10">
        <v>50305</v>
      </c>
      <c r="AC136" s="10">
        <v>4986</v>
      </c>
      <c r="AD136" s="10">
        <v>0</v>
      </c>
      <c r="AE136" s="11">
        <v>55291</v>
      </c>
      <c r="AF136" s="12" t="s">
        <v>52</v>
      </c>
      <c r="AG136" s="14" t="s">
        <v>322</v>
      </c>
      <c r="AH136" s="14" t="e">
        <v>#N/A</v>
      </c>
      <c r="AI136" s="14" t="s">
        <v>36</v>
      </c>
      <c r="AJ136" s="14">
        <v>10000</v>
      </c>
      <c r="AK136" s="14">
        <v>10000</v>
      </c>
      <c r="AL136" s="13">
        <v>18</v>
      </c>
      <c r="AM136" s="13">
        <v>18</v>
      </c>
      <c r="AN136" s="14" t="s">
        <v>494</v>
      </c>
      <c r="AO136" s="14" t="s">
        <v>86</v>
      </c>
      <c r="AP136" s="14" t="s">
        <v>88</v>
      </c>
      <c r="AQ136" s="18">
        <v>202606</v>
      </c>
      <c r="AR136" s="14" t="s">
        <v>147</v>
      </c>
      <c r="AS136" s="14" t="s">
        <v>160</v>
      </c>
      <c r="AT136" s="12" t="s">
        <v>52</v>
      </c>
      <c r="AU136" s="22" t="s">
        <v>275</v>
      </c>
      <c r="AV136" s="22" t="s">
        <v>363</v>
      </c>
      <c r="AW136"/>
    </row>
    <row r="137" spans="1:49" x14ac:dyDescent="0.3">
      <c r="A137" s="5" t="s">
        <v>30</v>
      </c>
      <c r="B137" s="5" t="s">
        <v>31</v>
      </c>
      <c r="C137" s="5" t="s">
        <v>1050</v>
      </c>
      <c r="D137" s="5" t="s">
        <v>32</v>
      </c>
      <c r="E137" s="6" t="s">
        <v>33</v>
      </c>
      <c r="F137" s="7">
        <v>116</v>
      </c>
      <c r="G137" s="5" t="s">
        <v>1051</v>
      </c>
      <c r="H137" s="5" t="s">
        <v>1115</v>
      </c>
      <c r="I137" s="5" t="s">
        <v>1116</v>
      </c>
      <c r="J137" s="5" t="s">
        <v>34</v>
      </c>
      <c r="K137" s="5" t="s">
        <v>91</v>
      </c>
      <c r="L137" s="5" t="s">
        <v>1117</v>
      </c>
      <c r="M137" s="5" t="s">
        <v>46</v>
      </c>
      <c r="N137" s="5" t="s">
        <v>56</v>
      </c>
      <c r="O137" s="6" t="s">
        <v>1118</v>
      </c>
      <c r="P137" s="5" t="s">
        <v>47</v>
      </c>
      <c r="Q137" s="5"/>
      <c r="R137" s="5" t="s">
        <v>227</v>
      </c>
      <c r="S137" s="5" t="s">
        <v>1119</v>
      </c>
      <c r="T137" s="5" t="s">
        <v>1120</v>
      </c>
      <c r="U137" s="5" t="s">
        <v>226</v>
      </c>
      <c r="V137" s="8">
        <v>9</v>
      </c>
      <c r="W137" s="9">
        <v>34361</v>
      </c>
      <c r="X137" s="5" t="s">
        <v>35</v>
      </c>
      <c r="Y137" s="10">
        <v>100</v>
      </c>
      <c r="Z137" s="10">
        <v>25.44</v>
      </c>
      <c r="AA137" s="10">
        <v>25.44</v>
      </c>
      <c r="AB137" s="10">
        <v>48559</v>
      </c>
      <c r="AC137" s="10">
        <v>6411</v>
      </c>
      <c r="AD137" s="10">
        <v>0</v>
      </c>
      <c r="AE137" s="11">
        <v>54970</v>
      </c>
      <c r="AF137" s="12" t="s">
        <v>93</v>
      </c>
      <c r="AG137" s="14" t="s">
        <v>282</v>
      </c>
      <c r="AH137" s="14" t="e">
        <v>#N/A</v>
      </c>
      <c r="AI137" s="14" t="s">
        <v>49</v>
      </c>
      <c r="AJ137" s="14">
        <v>40000</v>
      </c>
      <c r="AK137" s="14">
        <v>35000</v>
      </c>
      <c r="AL137" s="13">
        <v>12</v>
      </c>
      <c r="AM137" s="13">
        <v>12</v>
      </c>
      <c r="AN137" s="14" t="s">
        <v>365</v>
      </c>
      <c r="AO137" s="14" t="s">
        <v>86</v>
      </c>
      <c r="AP137" s="14" t="s">
        <v>46</v>
      </c>
      <c r="AQ137" s="18">
        <v>202606</v>
      </c>
      <c r="AR137" s="14" t="s">
        <v>158</v>
      </c>
      <c r="AS137"/>
      <c r="AT137" s="12" t="s">
        <v>93</v>
      </c>
      <c r="AU137" s="22" t="s">
        <v>275</v>
      </c>
      <c r="AV137" s="22" t="s">
        <v>363</v>
      </c>
      <c r="AW137"/>
    </row>
    <row r="138" spans="1:49" x14ac:dyDescent="0.3">
      <c r="A138" s="5" t="s">
        <v>30</v>
      </c>
      <c r="B138" s="5" t="s">
        <v>31</v>
      </c>
      <c r="C138" s="5" t="s">
        <v>1050</v>
      </c>
      <c r="D138" s="5" t="s">
        <v>32</v>
      </c>
      <c r="E138" s="6" t="s">
        <v>33</v>
      </c>
      <c r="F138" s="7">
        <v>118</v>
      </c>
      <c r="G138" s="5" t="s">
        <v>1051</v>
      </c>
      <c r="H138" s="5" t="s">
        <v>1121</v>
      </c>
      <c r="I138" s="5" t="s">
        <v>1122</v>
      </c>
      <c r="J138" s="5" t="s">
        <v>34</v>
      </c>
      <c r="K138" s="5" t="s">
        <v>129</v>
      </c>
      <c r="L138" s="5" t="s">
        <v>379</v>
      </c>
      <c r="M138" s="5" t="s">
        <v>46</v>
      </c>
      <c r="N138" s="5" t="s">
        <v>56</v>
      </c>
      <c r="O138" s="6" t="s">
        <v>1123</v>
      </c>
      <c r="P138" s="5" t="s">
        <v>239</v>
      </c>
      <c r="Q138" s="5"/>
      <c r="R138" s="5" t="s">
        <v>1124</v>
      </c>
      <c r="S138" s="5" t="s">
        <v>1125</v>
      </c>
      <c r="T138" s="5" t="s">
        <v>1126</v>
      </c>
      <c r="U138" s="5" t="s">
        <v>1127</v>
      </c>
      <c r="V138" s="8">
        <v>8</v>
      </c>
      <c r="W138" s="9">
        <v>11734</v>
      </c>
      <c r="X138" s="5" t="s">
        <v>35</v>
      </c>
      <c r="Y138" s="10">
        <v>100</v>
      </c>
      <c r="Z138" s="10">
        <v>25.44</v>
      </c>
      <c r="AA138" s="10">
        <v>25.44</v>
      </c>
      <c r="AB138" s="10">
        <v>34420</v>
      </c>
      <c r="AC138" s="10">
        <v>25186</v>
      </c>
      <c r="AD138" s="10">
        <v>0</v>
      </c>
      <c r="AE138" s="11">
        <v>59606</v>
      </c>
      <c r="AF138" s="12" t="s">
        <v>130</v>
      </c>
      <c r="AG138" s="14" t="s">
        <v>420</v>
      </c>
      <c r="AH138" s="14" t="e">
        <v>#N/A</v>
      </c>
      <c r="AI138" s="14" t="s">
        <v>49</v>
      </c>
      <c r="AJ138" s="14">
        <v>20000</v>
      </c>
      <c r="AK138" s="14">
        <v>15000</v>
      </c>
      <c r="AL138" s="13">
        <v>12</v>
      </c>
      <c r="AM138" s="13">
        <v>9</v>
      </c>
      <c r="AN138" s="14" t="s">
        <v>1128</v>
      </c>
      <c r="AO138" s="14" t="s">
        <v>86</v>
      </c>
      <c r="AP138" s="14" t="s">
        <v>46</v>
      </c>
      <c r="AQ138" s="18">
        <v>202606</v>
      </c>
      <c r="AR138" s="14" t="s">
        <v>158</v>
      </c>
      <c r="AS138"/>
      <c r="AT138" s="12" t="s">
        <v>130</v>
      </c>
      <c r="AU138" s="22" t="s">
        <v>275</v>
      </c>
      <c r="AV138" s="22" t="s">
        <v>363</v>
      </c>
      <c r="AW138"/>
    </row>
    <row r="139" spans="1:49" x14ac:dyDescent="0.3">
      <c r="A139" s="5" t="s">
        <v>30</v>
      </c>
      <c r="B139" s="5" t="s">
        <v>31</v>
      </c>
      <c r="C139" s="5" t="s">
        <v>1050</v>
      </c>
      <c r="D139" s="5" t="s">
        <v>32</v>
      </c>
      <c r="E139" s="6" t="s">
        <v>33</v>
      </c>
      <c r="F139" s="7">
        <v>119</v>
      </c>
      <c r="G139" s="5" t="s">
        <v>1051</v>
      </c>
      <c r="H139" s="5" t="s">
        <v>1129</v>
      </c>
      <c r="I139" s="5" t="s">
        <v>1130</v>
      </c>
      <c r="J139" s="5" t="s">
        <v>34</v>
      </c>
      <c r="K139" s="5" t="s">
        <v>91</v>
      </c>
      <c r="L139" s="5" t="s">
        <v>249</v>
      </c>
      <c r="M139" s="5" t="s">
        <v>53</v>
      </c>
      <c r="N139" s="5" t="s">
        <v>56</v>
      </c>
      <c r="O139" s="6" t="s">
        <v>1131</v>
      </c>
      <c r="P139" s="5" t="s">
        <v>239</v>
      </c>
      <c r="Q139" s="5"/>
      <c r="R139" s="5" t="s">
        <v>1132</v>
      </c>
      <c r="S139" s="5" t="s">
        <v>561</v>
      </c>
      <c r="T139" s="5" t="s">
        <v>1133</v>
      </c>
      <c r="U139" s="5" t="s">
        <v>1134</v>
      </c>
      <c r="V139" s="8">
        <v>25</v>
      </c>
      <c r="W139" s="9">
        <v>16854</v>
      </c>
      <c r="X139" s="5" t="s">
        <v>35</v>
      </c>
      <c r="Y139" s="10">
        <v>100</v>
      </c>
      <c r="Z139" s="10">
        <v>25.44</v>
      </c>
      <c r="AA139" s="10">
        <v>25.44</v>
      </c>
      <c r="AB139" s="10">
        <v>19790</v>
      </c>
      <c r="AC139" s="10">
        <v>19589</v>
      </c>
      <c r="AD139" s="10">
        <v>0</v>
      </c>
      <c r="AE139" s="11">
        <v>39379</v>
      </c>
      <c r="AF139" s="12" t="s">
        <v>93</v>
      </c>
      <c r="AG139" s="14" t="s">
        <v>211</v>
      </c>
      <c r="AH139" s="14" t="e">
        <v>#N/A</v>
      </c>
      <c r="AI139" s="14" t="s">
        <v>49</v>
      </c>
      <c r="AJ139" s="14">
        <v>20000</v>
      </c>
      <c r="AK139" s="14">
        <v>20000</v>
      </c>
      <c r="AL139" s="13">
        <v>30</v>
      </c>
      <c r="AM139" s="13">
        <v>27</v>
      </c>
      <c r="AN139" s="14" t="s">
        <v>1128</v>
      </c>
      <c r="AO139" s="14" t="s">
        <v>86</v>
      </c>
      <c r="AP139" s="14" t="s">
        <v>53</v>
      </c>
      <c r="AQ139" s="18">
        <v>202606</v>
      </c>
      <c r="AR139" s="14" t="s">
        <v>158</v>
      </c>
      <c r="AS139"/>
      <c r="AT139" s="12" t="s">
        <v>93</v>
      </c>
      <c r="AU139" s="22" t="s">
        <v>275</v>
      </c>
      <c r="AV139" s="22" t="s">
        <v>363</v>
      </c>
      <c r="AW139"/>
    </row>
    <row r="140" spans="1:49" x14ac:dyDescent="0.3">
      <c r="A140" s="5" t="s">
        <v>30</v>
      </c>
      <c r="B140" s="5" t="s">
        <v>31</v>
      </c>
      <c r="C140" s="5" t="s">
        <v>1050</v>
      </c>
      <c r="D140" s="5" t="s">
        <v>32</v>
      </c>
      <c r="E140" s="6" t="s">
        <v>33</v>
      </c>
      <c r="F140" s="7">
        <v>120</v>
      </c>
      <c r="G140" s="5" t="s">
        <v>1051</v>
      </c>
      <c r="H140" s="5" t="s">
        <v>1135</v>
      </c>
      <c r="I140" s="5" t="s">
        <v>1136</v>
      </c>
      <c r="J140" s="5" t="s">
        <v>34</v>
      </c>
      <c r="K140" s="5" t="s">
        <v>91</v>
      </c>
      <c r="L140" s="5" t="s">
        <v>249</v>
      </c>
      <c r="M140" s="5" t="s">
        <v>53</v>
      </c>
      <c r="N140" s="5" t="s">
        <v>56</v>
      </c>
      <c r="O140" s="6" t="s">
        <v>1137</v>
      </c>
      <c r="P140" s="5" t="s">
        <v>228</v>
      </c>
      <c r="Q140" s="5"/>
      <c r="R140" s="5" t="s">
        <v>1138</v>
      </c>
      <c r="S140" s="5" t="s">
        <v>1139</v>
      </c>
      <c r="T140" s="5" t="s">
        <v>1140</v>
      </c>
      <c r="U140" s="5" t="s">
        <v>1139</v>
      </c>
      <c r="V140" s="8">
        <v>8</v>
      </c>
      <c r="W140" s="9">
        <v>7442</v>
      </c>
      <c r="X140" s="5" t="s">
        <v>35</v>
      </c>
      <c r="Y140" s="10">
        <v>100</v>
      </c>
      <c r="Z140" s="10">
        <v>25.44</v>
      </c>
      <c r="AA140" s="10">
        <v>25.44</v>
      </c>
      <c r="AB140" s="10">
        <v>20353</v>
      </c>
      <c r="AC140" s="10">
        <v>15391</v>
      </c>
      <c r="AD140" s="10">
        <v>0</v>
      </c>
      <c r="AE140" s="11">
        <v>35744</v>
      </c>
      <c r="AF140" s="12" t="s">
        <v>93</v>
      </c>
      <c r="AG140" s="14" t="s">
        <v>420</v>
      </c>
      <c r="AH140" s="14" t="e">
        <v>#N/A</v>
      </c>
      <c r="AI140" s="14" t="s">
        <v>45</v>
      </c>
      <c r="AJ140" s="14">
        <v>10000</v>
      </c>
      <c r="AK140" s="14">
        <v>10000</v>
      </c>
      <c r="AL140" s="13">
        <v>12</v>
      </c>
      <c r="AM140" s="13">
        <v>9</v>
      </c>
      <c r="AN140" s="14" t="s">
        <v>279</v>
      </c>
      <c r="AO140" s="14" t="s">
        <v>86</v>
      </c>
      <c r="AP140" s="14" t="s">
        <v>53</v>
      </c>
      <c r="AQ140" s="18">
        <v>202606</v>
      </c>
      <c r="AR140" s="14" t="s">
        <v>158</v>
      </c>
      <c r="AS140"/>
      <c r="AT140" s="12" t="s">
        <v>93</v>
      </c>
      <c r="AU140" s="22" t="s">
        <v>275</v>
      </c>
      <c r="AV140" s="22" t="s">
        <v>363</v>
      </c>
      <c r="AW140"/>
    </row>
    <row r="141" spans="1:49" x14ac:dyDescent="0.3">
      <c r="A141" s="5" t="s">
        <v>30</v>
      </c>
      <c r="B141" s="5" t="s">
        <v>31</v>
      </c>
      <c r="C141" s="5" t="s">
        <v>1141</v>
      </c>
      <c r="D141" s="5" t="s">
        <v>32</v>
      </c>
      <c r="E141" s="6" t="s">
        <v>33</v>
      </c>
      <c r="F141" s="7">
        <v>1</v>
      </c>
      <c r="G141" s="5" t="s">
        <v>361</v>
      </c>
      <c r="H141" s="5" t="s">
        <v>1142</v>
      </c>
      <c r="I141" s="5" t="s">
        <v>1143</v>
      </c>
      <c r="J141" s="5" t="s">
        <v>34</v>
      </c>
      <c r="K141" s="5" t="s">
        <v>312</v>
      </c>
      <c r="L141" s="5" t="s">
        <v>314</v>
      </c>
      <c r="M141" s="5" t="s">
        <v>43</v>
      </c>
      <c r="N141" s="5" t="s">
        <v>56</v>
      </c>
      <c r="O141" s="6" t="s">
        <v>1144</v>
      </c>
      <c r="P141" s="5" t="s">
        <v>239</v>
      </c>
      <c r="Q141" s="5"/>
      <c r="R141" s="5" t="s">
        <v>248</v>
      </c>
      <c r="S141" s="5" t="s">
        <v>1145</v>
      </c>
      <c r="T141" s="5" t="s">
        <v>380</v>
      </c>
      <c r="U141" s="5" t="s">
        <v>1146</v>
      </c>
      <c r="V141" s="8">
        <v>4</v>
      </c>
      <c r="W141" s="9">
        <v>4021</v>
      </c>
      <c r="X141" s="5" t="s">
        <v>35</v>
      </c>
      <c r="Y141" s="10">
        <v>100</v>
      </c>
      <c r="Z141" s="10">
        <v>25.44</v>
      </c>
      <c r="AA141" s="10">
        <v>25.44</v>
      </c>
      <c r="AB141" s="10">
        <v>78578</v>
      </c>
      <c r="AC141" s="10">
        <v>20988</v>
      </c>
      <c r="AD141" s="10">
        <v>0</v>
      </c>
      <c r="AE141" s="11">
        <v>99566</v>
      </c>
      <c r="AF141" s="12" t="s">
        <v>530</v>
      </c>
      <c r="AG141" s="14" t="s">
        <v>510</v>
      </c>
      <c r="AH141" s="14" t="e">
        <v>#N/A</v>
      </c>
      <c r="AI141" s="14" t="s">
        <v>49</v>
      </c>
      <c r="AJ141" s="14">
        <v>10000</v>
      </c>
      <c r="AK141" s="14">
        <v>5000</v>
      </c>
      <c r="AL141" s="13">
        <v>6</v>
      </c>
      <c r="AM141" s="13">
        <v>6</v>
      </c>
      <c r="AN141" s="14" t="s">
        <v>279</v>
      </c>
      <c r="AO141" s="14" t="s">
        <v>86</v>
      </c>
      <c r="AP141" s="14" t="s">
        <v>46</v>
      </c>
      <c r="AQ141" s="18">
        <v>202606</v>
      </c>
      <c r="AR141" s="14" t="s">
        <v>158</v>
      </c>
      <c r="AS141"/>
      <c r="AT141" s="12" t="s">
        <v>530</v>
      </c>
      <c r="AU141" s="22" t="s">
        <v>275</v>
      </c>
      <c r="AV141" s="22" t="s">
        <v>363</v>
      </c>
      <c r="AW141"/>
    </row>
    <row r="142" spans="1:49" x14ac:dyDescent="0.3">
      <c r="A142" s="5" t="s">
        <v>30</v>
      </c>
      <c r="B142" s="5" t="s">
        <v>54</v>
      </c>
      <c r="C142" s="5" t="s">
        <v>1050</v>
      </c>
      <c r="D142" s="5" t="s">
        <v>32</v>
      </c>
      <c r="E142" s="6" t="s">
        <v>33</v>
      </c>
      <c r="F142" s="7">
        <v>27</v>
      </c>
      <c r="G142" s="5" t="s">
        <v>1051</v>
      </c>
      <c r="H142" s="5" t="s">
        <v>1147</v>
      </c>
      <c r="I142" s="5" t="s">
        <v>734</v>
      </c>
      <c r="J142" s="5" t="s">
        <v>34</v>
      </c>
      <c r="K142" s="5" t="s">
        <v>131</v>
      </c>
      <c r="L142" s="5" t="s">
        <v>212</v>
      </c>
      <c r="M142" s="5" t="s">
        <v>39</v>
      </c>
      <c r="N142" s="5" t="s">
        <v>56</v>
      </c>
      <c r="O142" s="6" t="s">
        <v>735</v>
      </c>
      <c r="P142" s="5" t="s">
        <v>171</v>
      </c>
      <c r="Q142" s="5" t="s">
        <v>64</v>
      </c>
      <c r="R142" s="5" t="s">
        <v>70</v>
      </c>
      <c r="S142" s="5" t="s">
        <v>736</v>
      </c>
      <c r="T142" s="5" t="s">
        <v>704</v>
      </c>
      <c r="U142" s="5" t="s">
        <v>737</v>
      </c>
      <c r="V142" s="8">
        <v>14</v>
      </c>
      <c r="W142" s="9">
        <v>25465</v>
      </c>
      <c r="X142" s="5" t="s">
        <v>35</v>
      </c>
      <c r="Y142" s="10">
        <v>100</v>
      </c>
      <c r="Z142" s="10">
        <v>18.18</v>
      </c>
      <c r="AA142" s="10">
        <v>18.18</v>
      </c>
      <c r="AB142" s="10">
        <v>145982</v>
      </c>
      <c r="AC142" s="10">
        <v>80952</v>
      </c>
      <c r="AD142" s="10">
        <v>0</v>
      </c>
      <c r="AE142" s="11">
        <v>226934</v>
      </c>
      <c r="AF142" s="12" t="s">
        <v>132</v>
      </c>
      <c r="AG142" s="14" t="s">
        <v>233</v>
      </c>
      <c r="AH142" s="14" t="s">
        <v>65</v>
      </c>
      <c r="AI142" s="14" t="s">
        <v>49</v>
      </c>
      <c r="AJ142" s="14">
        <v>30000</v>
      </c>
      <c r="AK142" s="14">
        <v>30000</v>
      </c>
      <c r="AL142" s="13">
        <v>18</v>
      </c>
      <c r="AM142" s="13">
        <v>15</v>
      </c>
      <c r="AN142" s="14" t="s">
        <v>75</v>
      </c>
      <c r="AO142" s="14" t="s">
        <v>76</v>
      </c>
      <c r="AP142" s="14" t="s">
        <v>37</v>
      </c>
      <c r="AQ142" s="18">
        <v>202606</v>
      </c>
      <c r="AR142" s="14" t="s">
        <v>147</v>
      </c>
      <c r="AS142" s="14" t="s">
        <v>174</v>
      </c>
      <c r="AT142" s="14" t="s">
        <v>174</v>
      </c>
      <c r="AU142" s="22" t="s">
        <v>275</v>
      </c>
      <c r="AV142" s="22" t="s">
        <v>363</v>
      </c>
      <c r="AW142"/>
    </row>
    <row r="143" spans="1:49" x14ac:dyDescent="0.3">
      <c r="A143" s="5" t="s">
        <v>30</v>
      </c>
      <c r="B143" s="5" t="s">
        <v>54</v>
      </c>
      <c r="C143" s="5" t="s">
        <v>1050</v>
      </c>
      <c r="D143" s="5" t="s">
        <v>32</v>
      </c>
      <c r="E143" s="6" t="s">
        <v>33</v>
      </c>
      <c r="F143" s="7">
        <v>28</v>
      </c>
      <c r="G143" s="5" t="s">
        <v>1051</v>
      </c>
      <c r="H143" s="5" t="s">
        <v>1148</v>
      </c>
      <c r="I143" s="5" t="s">
        <v>1149</v>
      </c>
      <c r="J143" s="5" t="s">
        <v>34</v>
      </c>
      <c r="K143" s="5" t="s">
        <v>131</v>
      </c>
      <c r="L143" s="5" t="s">
        <v>1150</v>
      </c>
      <c r="M143" s="5" t="s">
        <v>39</v>
      </c>
      <c r="N143" s="5" t="s">
        <v>56</v>
      </c>
      <c r="O143" s="6" t="s">
        <v>1151</v>
      </c>
      <c r="P143" s="5" t="s">
        <v>171</v>
      </c>
      <c r="Q143" s="5" t="s">
        <v>64</v>
      </c>
      <c r="R143" s="5" t="s">
        <v>139</v>
      </c>
      <c r="S143" s="5" t="s">
        <v>719</v>
      </c>
      <c r="T143" s="5" t="s">
        <v>1152</v>
      </c>
      <c r="U143" s="5" t="s">
        <v>1153</v>
      </c>
      <c r="V143" s="8">
        <v>20</v>
      </c>
      <c r="W143" s="9">
        <v>4714</v>
      </c>
      <c r="X143" s="5" t="s">
        <v>35</v>
      </c>
      <c r="Y143" s="10">
        <v>100</v>
      </c>
      <c r="Z143" s="10">
        <v>18.18</v>
      </c>
      <c r="AA143" s="10">
        <v>18.18</v>
      </c>
      <c r="AB143" s="10">
        <v>48028</v>
      </c>
      <c r="AC143" s="10">
        <v>57705</v>
      </c>
      <c r="AD143" s="10">
        <v>0</v>
      </c>
      <c r="AE143" s="11">
        <v>105733</v>
      </c>
      <c r="AF143" s="12" t="s">
        <v>132</v>
      </c>
      <c r="AG143" s="14" t="s">
        <v>204</v>
      </c>
      <c r="AH143" s="14" t="s">
        <v>65</v>
      </c>
      <c r="AI143" s="14" t="s">
        <v>36</v>
      </c>
      <c r="AJ143" s="14">
        <v>10000</v>
      </c>
      <c r="AK143" s="14">
        <v>5000</v>
      </c>
      <c r="AL143" s="13">
        <v>24</v>
      </c>
      <c r="AM143" s="13">
        <v>21</v>
      </c>
      <c r="AN143" s="14" t="s">
        <v>66</v>
      </c>
      <c r="AO143" s="14" t="s">
        <v>67</v>
      </c>
      <c r="AP143" s="14" t="s">
        <v>37</v>
      </c>
      <c r="AQ143" s="18">
        <v>202606</v>
      </c>
      <c r="AR143" s="14" t="s">
        <v>147</v>
      </c>
      <c r="AS143" s="14" t="s">
        <v>174</v>
      </c>
      <c r="AT143" s="14" t="s">
        <v>174</v>
      </c>
      <c r="AU143" s="22" t="s">
        <v>275</v>
      </c>
      <c r="AV143" s="22" t="s">
        <v>363</v>
      </c>
      <c r="AW143"/>
    </row>
    <row r="144" spans="1:49" x14ac:dyDescent="0.3">
      <c r="A144" s="5" t="s">
        <v>30</v>
      </c>
      <c r="B144" s="5" t="s">
        <v>54</v>
      </c>
      <c r="C144" s="5" t="s">
        <v>1050</v>
      </c>
      <c r="D144" s="5" t="s">
        <v>32</v>
      </c>
      <c r="E144" s="6" t="s">
        <v>33</v>
      </c>
      <c r="F144" s="7">
        <v>29</v>
      </c>
      <c r="G144" s="5" t="s">
        <v>1051</v>
      </c>
      <c r="H144" s="5" t="s">
        <v>1154</v>
      </c>
      <c r="I144" s="5" t="s">
        <v>1155</v>
      </c>
      <c r="J144" s="5" t="s">
        <v>34</v>
      </c>
      <c r="K144" s="5" t="s">
        <v>42</v>
      </c>
      <c r="L144" s="5" t="s">
        <v>124</v>
      </c>
      <c r="M144" s="5" t="s">
        <v>43</v>
      </c>
      <c r="N144" s="5" t="s">
        <v>56</v>
      </c>
      <c r="O144" s="6" t="s">
        <v>1156</v>
      </c>
      <c r="P144" s="5" t="s">
        <v>47</v>
      </c>
      <c r="Q144" s="5" t="s">
        <v>64</v>
      </c>
      <c r="R144" s="5" t="s">
        <v>139</v>
      </c>
      <c r="S144" s="5" t="s">
        <v>1157</v>
      </c>
      <c r="T144" s="5" t="s">
        <v>1085</v>
      </c>
      <c r="U144" s="5" t="s">
        <v>670</v>
      </c>
      <c r="V144" s="8">
        <v>27</v>
      </c>
      <c r="W144" s="9">
        <v>39881</v>
      </c>
      <c r="X144" s="5" t="s">
        <v>35</v>
      </c>
      <c r="Y144" s="10">
        <v>100</v>
      </c>
      <c r="Z144" s="10">
        <v>18.18</v>
      </c>
      <c r="AA144" s="10">
        <v>18.18</v>
      </c>
      <c r="AB144" s="10">
        <v>169186</v>
      </c>
      <c r="AC144" s="10">
        <v>5157</v>
      </c>
      <c r="AD144" s="10">
        <v>0</v>
      </c>
      <c r="AE144" s="11">
        <v>174343</v>
      </c>
      <c r="AF144" s="12" t="s">
        <v>44</v>
      </c>
      <c r="AG144" s="14" t="s">
        <v>167</v>
      </c>
      <c r="AH144" s="14" t="s">
        <v>65</v>
      </c>
      <c r="AI144" s="14" t="s">
        <v>36</v>
      </c>
      <c r="AJ144" s="14">
        <v>40000</v>
      </c>
      <c r="AK144" s="14">
        <v>40000</v>
      </c>
      <c r="AL144" s="13">
        <v>30</v>
      </c>
      <c r="AM144" s="13">
        <v>30</v>
      </c>
      <c r="AN144" s="14" t="s">
        <v>165</v>
      </c>
      <c r="AO144" s="14" t="s">
        <v>166</v>
      </c>
      <c r="AP144" s="14" t="s">
        <v>46</v>
      </c>
      <c r="AQ144" s="18">
        <v>202606</v>
      </c>
      <c r="AR144" s="14" t="s">
        <v>417</v>
      </c>
      <c r="AS144" s="14" t="s">
        <v>671</v>
      </c>
      <c r="AT144" s="12" t="s">
        <v>44</v>
      </c>
      <c r="AU144" s="22" t="s">
        <v>275</v>
      </c>
      <c r="AV144" s="22" t="s">
        <v>363</v>
      </c>
      <c r="AW144"/>
    </row>
    <row r="145" spans="1:49" x14ac:dyDescent="0.3">
      <c r="A145" s="5" t="s">
        <v>30</v>
      </c>
      <c r="B145" s="5" t="s">
        <v>54</v>
      </c>
      <c r="C145" s="5" t="s">
        <v>1050</v>
      </c>
      <c r="D145" s="5" t="s">
        <v>32</v>
      </c>
      <c r="E145" s="6" t="s">
        <v>33</v>
      </c>
      <c r="F145" s="7">
        <v>30</v>
      </c>
      <c r="G145" s="5" t="s">
        <v>1051</v>
      </c>
      <c r="H145" s="5" t="s">
        <v>1158</v>
      </c>
      <c r="I145" s="5" t="s">
        <v>1159</v>
      </c>
      <c r="J145" s="5" t="s">
        <v>34</v>
      </c>
      <c r="K145" s="5" t="s">
        <v>42</v>
      </c>
      <c r="L145" s="5" t="s">
        <v>124</v>
      </c>
      <c r="M145" s="5" t="s">
        <v>43</v>
      </c>
      <c r="N145" s="5" t="s">
        <v>56</v>
      </c>
      <c r="O145" s="6" t="s">
        <v>1160</v>
      </c>
      <c r="P145" s="5" t="s">
        <v>47</v>
      </c>
      <c r="Q145" s="5" t="s">
        <v>64</v>
      </c>
      <c r="R145" s="5" t="s">
        <v>667</v>
      </c>
      <c r="S145" s="5" t="s">
        <v>383</v>
      </c>
      <c r="T145" s="5" t="s">
        <v>465</v>
      </c>
      <c r="U145" s="5" t="s">
        <v>1161</v>
      </c>
      <c r="V145" s="8">
        <v>24</v>
      </c>
      <c r="W145" s="9">
        <v>27029</v>
      </c>
      <c r="X145" s="5" t="s">
        <v>35</v>
      </c>
      <c r="Y145" s="10">
        <v>100</v>
      </c>
      <c r="Z145" s="10">
        <v>18.18</v>
      </c>
      <c r="AA145" s="10">
        <v>18.18</v>
      </c>
      <c r="AB145" s="10">
        <v>169186</v>
      </c>
      <c r="AC145" s="10">
        <v>5157</v>
      </c>
      <c r="AD145" s="10">
        <v>0</v>
      </c>
      <c r="AE145" s="11">
        <v>174343</v>
      </c>
      <c r="AF145" s="12" t="s">
        <v>44</v>
      </c>
      <c r="AG145" s="14" t="s">
        <v>170</v>
      </c>
      <c r="AH145" s="14" t="s">
        <v>65</v>
      </c>
      <c r="AI145" s="14" t="s">
        <v>215</v>
      </c>
      <c r="AJ145" s="14">
        <v>30000</v>
      </c>
      <c r="AK145" s="14">
        <v>30000</v>
      </c>
      <c r="AL145" s="13">
        <v>30</v>
      </c>
      <c r="AM145" s="13">
        <v>27</v>
      </c>
      <c r="AN145" s="14" t="s">
        <v>165</v>
      </c>
      <c r="AO145" s="14" t="s">
        <v>166</v>
      </c>
      <c r="AP145" s="14" t="s">
        <v>46</v>
      </c>
      <c r="AQ145" s="18">
        <v>202606</v>
      </c>
      <c r="AR145" s="14" t="s">
        <v>417</v>
      </c>
      <c r="AS145" s="14" t="s">
        <v>671</v>
      </c>
      <c r="AT145" s="12" t="s">
        <v>44</v>
      </c>
      <c r="AU145" s="22" t="s">
        <v>275</v>
      </c>
      <c r="AV145" s="22" t="s">
        <v>363</v>
      </c>
      <c r="AW145"/>
    </row>
    <row r="146" spans="1:49" x14ac:dyDescent="0.3">
      <c r="A146" s="5" t="s">
        <v>30</v>
      </c>
      <c r="B146" s="5" t="s">
        <v>54</v>
      </c>
      <c r="C146" s="5" t="s">
        <v>1050</v>
      </c>
      <c r="D146" s="5" t="s">
        <v>32</v>
      </c>
      <c r="E146" s="6" t="s">
        <v>33</v>
      </c>
      <c r="F146" s="7">
        <v>36</v>
      </c>
      <c r="G146" s="5" t="s">
        <v>1051</v>
      </c>
      <c r="H146" s="5" t="s">
        <v>1162</v>
      </c>
      <c r="I146" s="5" t="s">
        <v>1163</v>
      </c>
      <c r="J146" s="5" t="s">
        <v>34</v>
      </c>
      <c r="K146" s="5" t="s">
        <v>183</v>
      </c>
      <c r="L146" s="5" t="s">
        <v>400</v>
      </c>
      <c r="M146" s="5" t="s">
        <v>43</v>
      </c>
      <c r="N146" s="5" t="s">
        <v>56</v>
      </c>
      <c r="O146" s="6" t="s">
        <v>1164</v>
      </c>
      <c r="P146" s="5" t="s">
        <v>253</v>
      </c>
      <c r="Q146" s="5" t="s">
        <v>71</v>
      </c>
      <c r="R146" s="5" t="s">
        <v>1165</v>
      </c>
      <c r="S146" s="5" t="s">
        <v>1114</v>
      </c>
      <c r="T146" s="5" t="s">
        <v>376</v>
      </c>
      <c r="U146" s="5" t="s">
        <v>1166</v>
      </c>
      <c r="V146" s="8">
        <v>10</v>
      </c>
      <c r="W146" s="9">
        <v>11048</v>
      </c>
      <c r="X146" s="5" t="s">
        <v>35</v>
      </c>
      <c r="Y146" s="10">
        <v>100</v>
      </c>
      <c r="Z146" s="10">
        <v>18.18</v>
      </c>
      <c r="AA146" s="10">
        <v>18.18</v>
      </c>
      <c r="AB146" s="10">
        <v>239361</v>
      </c>
      <c r="AC146" s="10">
        <v>112485</v>
      </c>
      <c r="AD146" s="10">
        <v>38466</v>
      </c>
      <c r="AE146" s="11">
        <v>390312</v>
      </c>
      <c r="AF146" s="12" t="s">
        <v>184</v>
      </c>
      <c r="AG146" s="14" t="s">
        <v>322</v>
      </c>
      <c r="AH146" s="14" t="s">
        <v>72</v>
      </c>
      <c r="AI146" s="14" t="s">
        <v>120</v>
      </c>
      <c r="AJ146" s="14">
        <v>20000</v>
      </c>
      <c r="AK146" s="14">
        <v>15000</v>
      </c>
      <c r="AL146" s="13">
        <v>12</v>
      </c>
      <c r="AM146" s="13">
        <v>12</v>
      </c>
      <c r="AN146" s="14" t="s">
        <v>75</v>
      </c>
      <c r="AO146" s="14" t="s">
        <v>76</v>
      </c>
      <c r="AP146" s="14" t="s">
        <v>46</v>
      </c>
      <c r="AQ146" s="18">
        <v>202606</v>
      </c>
      <c r="AR146" s="14" t="s">
        <v>158</v>
      </c>
      <c r="AS146"/>
      <c r="AT146" s="12" t="s">
        <v>184</v>
      </c>
      <c r="AU146" s="22" t="s">
        <v>275</v>
      </c>
      <c r="AV146" s="22" t="s">
        <v>363</v>
      </c>
      <c r="AW146"/>
    </row>
    <row r="147" spans="1:49" x14ac:dyDescent="0.3">
      <c r="A147" s="5" t="s">
        <v>30</v>
      </c>
      <c r="B147" s="5" t="s">
        <v>54</v>
      </c>
      <c r="C147" s="5" t="s">
        <v>1050</v>
      </c>
      <c r="D147" s="5" t="s">
        <v>32</v>
      </c>
      <c r="E147" s="6" t="s">
        <v>33</v>
      </c>
      <c r="F147" s="7">
        <v>38</v>
      </c>
      <c r="G147" s="5" t="s">
        <v>1051</v>
      </c>
      <c r="H147" s="5" t="s">
        <v>1167</v>
      </c>
      <c r="I147" s="5" t="s">
        <v>1168</v>
      </c>
      <c r="J147" s="5" t="s">
        <v>34</v>
      </c>
      <c r="K147" s="5" t="s">
        <v>50</v>
      </c>
      <c r="L147" s="5" t="s">
        <v>1169</v>
      </c>
      <c r="M147" s="5" t="s">
        <v>43</v>
      </c>
      <c r="N147" s="5" t="s">
        <v>56</v>
      </c>
      <c r="O147" s="6" t="e">
        <v>#N/A</v>
      </c>
      <c r="P147" s="5" t="s">
        <v>47</v>
      </c>
      <c r="Q147" s="5" t="s">
        <v>64</v>
      </c>
      <c r="R147" s="5" t="s">
        <v>265</v>
      </c>
      <c r="S147" s="5" t="s">
        <v>1170</v>
      </c>
      <c r="T147" s="5" t="s">
        <v>1171</v>
      </c>
      <c r="U147" s="5" t="s">
        <v>1103</v>
      </c>
      <c r="V147" s="8">
        <v>31</v>
      </c>
      <c r="W147" s="9">
        <v>57258</v>
      </c>
      <c r="X147" s="5" t="s">
        <v>1172</v>
      </c>
      <c r="Y147" s="10">
        <v>100</v>
      </c>
      <c r="Z147" s="10">
        <v>18.18</v>
      </c>
      <c r="AA147" s="10">
        <v>18.18</v>
      </c>
      <c r="AB147" s="10">
        <v>98862</v>
      </c>
      <c r="AC147" s="10">
        <v>9996</v>
      </c>
      <c r="AD147" s="10">
        <v>0</v>
      </c>
      <c r="AE147" s="11">
        <v>108858</v>
      </c>
      <c r="AF147" s="12" t="s">
        <v>52</v>
      </c>
      <c r="AG147" s="14" t="s">
        <v>186</v>
      </c>
      <c r="AH147" s="14" t="s">
        <v>65</v>
      </c>
      <c r="AI147" s="14" t="s">
        <v>49</v>
      </c>
      <c r="AJ147" s="14">
        <v>60000</v>
      </c>
      <c r="AK147" s="14">
        <v>60000</v>
      </c>
      <c r="AL147" s="13">
        <v>36</v>
      </c>
      <c r="AM147" s="13">
        <v>33</v>
      </c>
      <c r="AN147" s="14" t="s">
        <v>77</v>
      </c>
      <c r="AO147" s="14" t="s">
        <v>78</v>
      </c>
      <c r="AP147" s="14" t="s">
        <v>46</v>
      </c>
      <c r="AQ147" s="18">
        <v>202606</v>
      </c>
      <c r="AR147" s="14" t="s">
        <v>158</v>
      </c>
      <c r="AS147"/>
      <c r="AT147" s="12" t="s">
        <v>52</v>
      </c>
      <c r="AU147" s="22" t="s">
        <v>275</v>
      </c>
      <c r="AV147" s="22" t="s">
        <v>363</v>
      </c>
      <c r="AW147"/>
    </row>
    <row r="148" spans="1:49" x14ac:dyDescent="0.3">
      <c r="A148" s="5" t="s">
        <v>30</v>
      </c>
      <c r="B148" s="5" t="s">
        <v>54</v>
      </c>
      <c r="C148" s="5" t="s">
        <v>1050</v>
      </c>
      <c r="D148" s="5" t="s">
        <v>32</v>
      </c>
      <c r="E148" s="6" t="s">
        <v>33</v>
      </c>
      <c r="F148" s="7">
        <v>39</v>
      </c>
      <c r="G148" s="5" t="s">
        <v>1051</v>
      </c>
      <c r="H148" s="5" t="s">
        <v>1173</v>
      </c>
      <c r="I148" s="5" t="s">
        <v>1174</v>
      </c>
      <c r="J148" s="5" t="s">
        <v>34</v>
      </c>
      <c r="K148" s="5" t="s">
        <v>129</v>
      </c>
      <c r="L148" s="5" t="s">
        <v>155</v>
      </c>
      <c r="M148" s="5" t="s">
        <v>87</v>
      </c>
      <c r="N148" s="5" t="s">
        <v>56</v>
      </c>
      <c r="O148" s="6" t="s">
        <v>1175</v>
      </c>
      <c r="P148" s="5" t="s">
        <v>150</v>
      </c>
      <c r="Q148" s="5" t="s">
        <v>64</v>
      </c>
      <c r="R148" s="5" t="s">
        <v>139</v>
      </c>
      <c r="S148" s="5" t="s">
        <v>1176</v>
      </c>
      <c r="T148" s="5" t="s">
        <v>311</v>
      </c>
      <c r="U148" s="5" t="s">
        <v>1177</v>
      </c>
      <c r="V148" s="8">
        <v>16</v>
      </c>
      <c r="W148" s="9">
        <v>51491</v>
      </c>
      <c r="X148" s="5" t="s">
        <v>35</v>
      </c>
      <c r="Y148" s="10">
        <v>100</v>
      </c>
      <c r="Z148" s="10">
        <v>18.18</v>
      </c>
      <c r="AA148" s="10">
        <v>18.18</v>
      </c>
      <c r="AB148" s="10">
        <v>93919</v>
      </c>
      <c r="AC148" s="10">
        <v>9085</v>
      </c>
      <c r="AD148" s="10">
        <v>0</v>
      </c>
      <c r="AE148" s="11">
        <v>103004</v>
      </c>
      <c r="AF148" s="12" t="s">
        <v>130</v>
      </c>
      <c r="AG148" s="14" t="s">
        <v>211</v>
      </c>
      <c r="AH148" s="14" t="s">
        <v>65</v>
      </c>
      <c r="AI148" s="14" t="s">
        <v>36</v>
      </c>
      <c r="AJ148" s="14">
        <v>60000</v>
      </c>
      <c r="AK148" s="14">
        <v>55000</v>
      </c>
      <c r="AL148" s="13">
        <v>18</v>
      </c>
      <c r="AM148" s="13">
        <v>18</v>
      </c>
      <c r="AN148" s="14" t="s">
        <v>402</v>
      </c>
      <c r="AO148" s="14" t="s">
        <v>403</v>
      </c>
      <c r="AP148" s="14" t="s">
        <v>88</v>
      </c>
      <c r="AQ148" s="18">
        <v>202606</v>
      </c>
      <c r="AR148" s="14" t="s">
        <v>147</v>
      </c>
      <c r="AS148" s="14" t="s">
        <v>180</v>
      </c>
      <c r="AT148" s="12" t="s">
        <v>130</v>
      </c>
      <c r="AU148" s="22" t="s">
        <v>275</v>
      </c>
      <c r="AV148" s="22" t="s">
        <v>363</v>
      </c>
      <c r="AW148"/>
    </row>
    <row r="149" spans="1:49" x14ac:dyDescent="0.3">
      <c r="A149" s="5" t="s">
        <v>30</v>
      </c>
      <c r="B149" s="5" t="s">
        <v>54</v>
      </c>
      <c r="C149" s="5" t="s">
        <v>1050</v>
      </c>
      <c r="D149" s="5" t="s">
        <v>32</v>
      </c>
      <c r="E149" s="6" t="s">
        <v>33</v>
      </c>
      <c r="F149" s="7">
        <v>40</v>
      </c>
      <c r="G149" s="5" t="s">
        <v>1051</v>
      </c>
      <c r="H149" s="5" t="s">
        <v>1178</v>
      </c>
      <c r="I149" s="5" t="s">
        <v>1179</v>
      </c>
      <c r="J149" s="5" t="s">
        <v>34</v>
      </c>
      <c r="K149" s="5" t="s">
        <v>60</v>
      </c>
      <c r="L149" s="5" t="s">
        <v>1180</v>
      </c>
      <c r="M149" s="5" t="s">
        <v>48</v>
      </c>
      <c r="N149" s="5" t="s">
        <v>56</v>
      </c>
      <c r="O149" s="6" t="s">
        <v>1181</v>
      </c>
      <c r="P149" s="5" t="s">
        <v>51</v>
      </c>
      <c r="Q149" s="5" t="s">
        <v>64</v>
      </c>
      <c r="R149" s="5" t="s">
        <v>287</v>
      </c>
      <c r="S149" s="5" t="s">
        <v>1182</v>
      </c>
      <c r="T149" s="5" t="s">
        <v>455</v>
      </c>
      <c r="U149" s="5" t="s">
        <v>1183</v>
      </c>
      <c r="V149" s="8">
        <v>34</v>
      </c>
      <c r="W149" s="9">
        <v>13010</v>
      </c>
      <c r="X149" s="5" t="s">
        <v>35</v>
      </c>
      <c r="Y149" s="10">
        <v>100</v>
      </c>
      <c r="Z149" s="10">
        <v>18.18</v>
      </c>
      <c r="AA149" s="10">
        <v>18.18</v>
      </c>
      <c r="AB149" s="10">
        <v>15996</v>
      </c>
      <c r="AC149" s="10">
        <v>2943</v>
      </c>
      <c r="AD149" s="10">
        <v>0</v>
      </c>
      <c r="AE149" s="11">
        <v>18939</v>
      </c>
      <c r="AF149" s="12" t="s">
        <v>62</v>
      </c>
      <c r="AG149" s="14" t="s">
        <v>179</v>
      </c>
      <c r="AH149" s="14" t="s">
        <v>65</v>
      </c>
      <c r="AI149" s="14" t="s">
        <v>49</v>
      </c>
      <c r="AJ149" s="14">
        <v>20000</v>
      </c>
      <c r="AK149" s="14">
        <v>15000</v>
      </c>
      <c r="AL149" s="13">
        <v>36</v>
      </c>
      <c r="AM149" s="13">
        <v>36</v>
      </c>
      <c r="AN149" s="14" t="s">
        <v>1184</v>
      </c>
      <c r="AO149" s="14" t="s">
        <v>1185</v>
      </c>
      <c r="AP149" s="14" t="s">
        <v>48</v>
      </c>
      <c r="AQ149" s="18">
        <v>202606</v>
      </c>
      <c r="AR149" s="14" t="s">
        <v>158</v>
      </c>
      <c r="AS149"/>
      <c r="AT149" s="12" t="s">
        <v>62</v>
      </c>
      <c r="AU149" s="22" t="s">
        <v>275</v>
      </c>
      <c r="AV149" s="22" t="s">
        <v>363</v>
      </c>
      <c r="AW149"/>
    </row>
    <row r="150" spans="1:49" x14ac:dyDescent="0.3">
      <c r="A150" s="5" t="s">
        <v>30</v>
      </c>
      <c r="B150" s="5" t="s">
        <v>54</v>
      </c>
      <c r="C150" s="5" t="s">
        <v>1050</v>
      </c>
      <c r="D150" s="5" t="s">
        <v>32</v>
      </c>
      <c r="E150" s="6" t="s">
        <v>33</v>
      </c>
      <c r="F150" s="7">
        <v>42</v>
      </c>
      <c r="G150" s="5" t="s">
        <v>1051</v>
      </c>
      <c r="H150" s="5" t="s">
        <v>1186</v>
      </c>
      <c r="I150" s="5" t="s">
        <v>1187</v>
      </c>
      <c r="J150" s="5" t="s">
        <v>34</v>
      </c>
      <c r="K150" s="5" t="s">
        <v>131</v>
      </c>
      <c r="L150" s="5" t="s">
        <v>1188</v>
      </c>
      <c r="M150" s="5" t="s">
        <v>46</v>
      </c>
      <c r="N150" s="5" t="s">
        <v>56</v>
      </c>
      <c r="O150" s="6" t="s">
        <v>1189</v>
      </c>
      <c r="P150" s="5" t="s">
        <v>47</v>
      </c>
      <c r="Q150" s="5" t="s">
        <v>64</v>
      </c>
      <c r="R150" s="5" t="s">
        <v>1190</v>
      </c>
      <c r="S150" s="5" t="s">
        <v>1191</v>
      </c>
      <c r="T150" s="5" t="s">
        <v>485</v>
      </c>
      <c r="U150" s="5" t="s">
        <v>254</v>
      </c>
      <c r="V150" s="8">
        <v>36</v>
      </c>
      <c r="W150" s="9">
        <v>42829</v>
      </c>
      <c r="X150" s="5" t="s">
        <v>35</v>
      </c>
      <c r="Y150" s="10">
        <v>100</v>
      </c>
      <c r="Z150" s="10">
        <v>18.18</v>
      </c>
      <c r="AA150" s="10">
        <v>18.18</v>
      </c>
      <c r="AB150" s="10">
        <v>22344</v>
      </c>
      <c r="AC150" s="10">
        <v>6566</v>
      </c>
      <c r="AD150" s="10">
        <v>0</v>
      </c>
      <c r="AE150" s="11">
        <v>28910</v>
      </c>
      <c r="AF150" s="12" t="s">
        <v>132</v>
      </c>
      <c r="AG150" s="14" t="s">
        <v>178</v>
      </c>
      <c r="AH150" s="14" t="s">
        <v>65</v>
      </c>
      <c r="AI150" s="14" t="s">
        <v>335</v>
      </c>
      <c r="AJ150" s="14">
        <v>50000</v>
      </c>
      <c r="AK150" s="14">
        <v>45000</v>
      </c>
      <c r="AL150" s="13">
        <v>42</v>
      </c>
      <c r="AM150" s="13">
        <v>39</v>
      </c>
      <c r="AN150" s="14" t="s">
        <v>1192</v>
      </c>
      <c r="AO150" s="14" t="s">
        <v>1193</v>
      </c>
      <c r="AP150" s="14" t="s">
        <v>46</v>
      </c>
      <c r="AQ150" s="18">
        <v>202606</v>
      </c>
      <c r="AR150" s="14" t="s">
        <v>158</v>
      </c>
      <c r="AS150"/>
      <c r="AT150" s="12" t="s">
        <v>132</v>
      </c>
      <c r="AU150" s="22" t="s">
        <v>275</v>
      </c>
      <c r="AV150" s="22" t="s">
        <v>363</v>
      </c>
      <c r="AW150"/>
    </row>
    <row r="151" spans="1:49" x14ac:dyDescent="0.3">
      <c r="A151" s="5" t="s">
        <v>30</v>
      </c>
      <c r="B151" s="5" t="s">
        <v>54</v>
      </c>
      <c r="C151" s="5" t="s">
        <v>1050</v>
      </c>
      <c r="D151" s="5" t="s">
        <v>32</v>
      </c>
      <c r="E151" s="6" t="s">
        <v>33</v>
      </c>
      <c r="F151" s="7">
        <v>47</v>
      </c>
      <c r="G151" s="5" t="s">
        <v>1051</v>
      </c>
      <c r="H151" s="5" t="s">
        <v>1194</v>
      </c>
      <c r="I151" s="5" t="s">
        <v>1195</v>
      </c>
      <c r="J151" s="5" t="s">
        <v>34</v>
      </c>
      <c r="K151" s="5" t="s">
        <v>183</v>
      </c>
      <c r="L151" s="5" t="s">
        <v>252</v>
      </c>
      <c r="M151" s="5" t="s">
        <v>46</v>
      </c>
      <c r="N151" s="5" t="s">
        <v>56</v>
      </c>
      <c r="O151" s="6" t="e">
        <v>#N/A</v>
      </c>
      <c r="P151" s="5" t="s">
        <v>253</v>
      </c>
      <c r="Q151" s="5" t="s">
        <v>64</v>
      </c>
      <c r="R151" s="5" t="s">
        <v>1165</v>
      </c>
      <c r="S151" s="5" t="s">
        <v>1196</v>
      </c>
      <c r="T151" s="5" t="s">
        <v>1197</v>
      </c>
      <c r="U151" s="5" t="s">
        <v>1198</v>
      </c>
      <c r="V151" s="8">
        <v>35</v>
      </c>
      <c r="W151" s="9">
        <v>45086</v>
      </c>
      <c r="X151" s="5" t="s">
        <v>35</v>
      </c>
      <c r="Y151" s="10">
        <v>100</v>
      </c>
      <c r="Z151" s="10">
        <v>18.18</v>
      </c>
      <c r="AA151" s="10">
        <v>18.18</v>
      </c>
      <c r="AB151" s="10">
        <v>51649</v>
      </c>
      <c r="AC151" s="10">
        <v>37483</v>
      </c>
      <c r="AD151" s="10">
        <v>0</v>
      </c>
      <c r="AE151" s="11">
        <v>89132</v>
      </c>
      <c r="AF151" s="12" t="s">
        <v>184</v>
      </c>
      <c r="AG151" s="14" t="s">
        <v>250</v>
      </c>
      <c r="AH151" s="14" t="s">
        <v>65</v>
      </c>
      <c r="AI151" s="14" t="s">
        <v>120</v>
      </c>
      <c r="AJ151" s="14">
        <v>50000</v>
      </c>
      <c r="AK151" s="14">
        <v>50000</v>
      </c>
      <c r="AL151" s="13">
        <v>36</v>
      </c>
      <c r="AM151" s="13">
        <v>36</v>
      </c>
      <c r="AN151" s="14" t="s">
        <v>205</v>
      </c>
      <c r="AO151" s="14" t="s">
        <v>206</v>
      </c>
      <c r="AP151" s="14" t="s">
        <v>46</v>
      </c>
      <c r="AQ151" s="18">
        <v>202606</v>
      </c>
      <c r="AR151" s="14" t="s">
        <v>158</v>
      </c>
      <c r="AS151"/>
      <c r="AT151" s="12" t="s">
        <v>184</v>
      </c>
      <c r="AU151" s="22" t="s">
        <v>275</v>
      </c>
      <c r="AV151" s="22" t="s">
        <v>363</v>
      </c>
      <c r="AW151"/>
    </row>
    <row r="152" spans="1:49" x14ac:dyDescent="0.3">
      <c r="A152" s="5" t="s">
        <v>30</v>
      </c>
      <c r="B152" s="5" t="s">
        <v>54</v>
      </c>
      <c r="C152" s="5" t="s">
        <v>1050</v>
      </c>
      <c r="D152" s="5" t="s">
        <v>32</v>
      </c>
      <c r="E152" s="6" t="s">
        <v>33</v>
      </c>
      <c r="F152" s="7">
        <v>48</v>
      </c>
      <c r="G152" s="5" t="s">
        <v>1051</v>
      </c>
      <c r="H152" s="5" t="s">
        <v>1199</v>
      </c>
      <c r="I152" s="5" t="s">
        <v>1200</v>
      </c>
      <c r="J152" s="5" t="s">
        <v>34</v>
      </c>
      <c r="K152" s="5" t="s">
        <v>42</v>
      </c>
      <c r="L152" s="5" t="s">
        <v>216</v>
      </c>
      <c r="M152" s="5" t="s">
        <v>188</v>
      </c>
      <c r="N152" s="5" t="s">
        <v>56</v>
      </c>
      <c r="O152" s="6" t="s">
        <v>1201</v>
      </c>
      <c r="P152" s="5" t="s">
        <v>47</v>
      </c>
      <c r="Q152" s="5" t="s">
        <v>71</v>
      </c>
      <c r="R152" s="5" t="s">
        <v>248</v>
      </c>
      <c r="S152" s="5" t="s">
        <v>1202</v>
      </c>
      <c r="T152" s="5" t="s">
        <v>409</v>
      </c>
      <c r="U152" s="5" t="s">
        <v>1203</v>
      </c>
      <c r="V152" s="8">
        <v>10</v>
      </c>
      <c r="W152" s="9">
        <v>51039</v>
      </c>
      <c r="X152" s="5" t="s">
        <v>35</v>
      </c>
      <c r="Y152" s="10">
        <v>100</v>
      </c>
      <c r="Z152" s="10">
        <v>18.18</v>
      </c>
      <c r="AA152" s="10">
        <v>18.18</v>
      </c>
      <c r="AB152" s="10">
        <v>31737</v>
      </c>
      <c r="AC152" s="10">
        <v>3979</v>
      </c>
      <c r="AD152" s="10">
        <v>0</v>
      </c>
      <c r="AE152" s="11">
        <v>35716</v>
      </c>
      <c r="AF152" s="12" t="s">
        <v>44</v>
      </c>
      <c r="AG152" s="14" t="s">
        <v>726</v>
      </c>
      <c r="AH152" s="14" t="s">
        <v>72</v>
      </c>
      <c r="AI152" s="14" t="s">
        <v>49</v>
      </c>
      <c r="AJ152" s="14">
        <v>60000</v>
      </c>
      <c r="AK152" s="14">
        <v>55000</v>
      </c>
      <c r="AL152" s="13">
        <v>12</v>
      </c>
      <c r="AM152" s="13">
        <v>12</v>
      </c>
      <c r="AN152" s="14" t="s">
        <v>217</v>
      </c>
      <c r="AO152" s="14" t="s">
        <v>218</v>
      </c>
      <c r="AP152" s="14" t="s">
        <v>53</v>
      </c>
      <c r="AQ152" s="18">
        <v>202606</v>
      </c>
      <c r="AR152" s="14" t="s">
        <v>158</v>
      </c>
      <c r="AS152"/>
      <c r="AT152" s="12" t="s">
        <v>44</v>
      </c>
      <c r="AU152" s="22" t="s">
        <v>275</v>
      </c>
      <c r="AV152" s="22" t="s">
        <v>363</v>
      </c>
      <c r="AW152"/>
    </row>
    <row r="153" spans="1:49" x14ac:dyDescent="0.3">
      <c r="A153" s="5" t="s">
        <v>30</v>
      </c>
      <c r="B153" s="5" t="s">
        <v>54</v>
      </c>
      <c r="C153" s="5" t="s">
        <v>1050</v>
      </c>
      <c r="D153" s="5" t="s">
        <v>32</v>
      </c>
      <c r="E153" s="6" t="s">
        <v>33</v>
      </c>
      <c r="F153" s="7">
        <v>49</v>
      </c>
      <c r="G153" s="5" t="s">
        <v>1051</v>
      </c>
      <c r="H153" s="5" t="s">
        <v>1204</v>
      </c>
      <c r="I153" s="5" t="s">
        <v>1205</v>
      </c>
      <c r="J153" s="5" t="s">
        <v>34</v>
      </c>
      <c r="K153" s="5" t="s">
        <v>131</v>
      </c>
      <c r="L153" s="5" t="s">
        <v>263</v>
      </c>
      <c r="M153" s="5" t="s">
        <v>53</v>
      </c>
      <c r="N153" s="5" t="s">
        <v>56</v>
      </c>
      <c r="O153" s="6" t="s">
        <v>1206</v>
      </c>
      <c r="P153" s="5" t="s">
        <v>73</v>
      </c>
      <c r="Q153" s="5" t="s">
        <v>64</v>
      </c>
      <c r="R153" s="5" t="s">
        <v>334</v>
      </c>
      <c r="S153" s="5" t="s">
        <v>1207</v>
      </c>
      <c r="T153" s="5" t="s">
        <v>1080</v>
      </c>
      <c r="U153" s="5" t="s">
        <v>1208</v>
      </c>
      <c r="V153" s="8">
        <v>9</v>
      </c>
      <c r="W153" s="9">
        <v>592</v>
      </c>
      <c r="X153" s="5" t="s">
        <v>35</v>
      </c>
      <c r="Y153" s="10">
        <v>100</v>
      </c>
      <c r="Z153" s="10">
        <v>18.18</v>
      </c>
      <c r="AA153" s="10">
        <v>18.18</v>
      </c>
      <c r="AB153" s="10">
        <v>22339</v>
      </c>
      <c r="AC153" s="10">
        <v>6975</v>
      </c>
      <c r="AD153" s="10">
        <v>0</v>
      </c>
      <c r="AE153" s="11">
        <v>29314</v>
      </c>
      <c r="AF153" s="12" t="s">
        <v>132</v>
      </c>
      <c r="AG153" s="14" t="s">
        <v>320</v>
      </c>
      <c r="AH153" s="14" t="s">
        <v>65</v>
      </c>
      <c r="AI153" s="14" t="s">
        <v>335</v>
      </c>
      <c r="AJ153" s="14">
        <v>10000</v>
      </c>
      <c r="AK153" s="14">
        <v>5000</v>
      </c>
      <c r="AL153" s="13">
        <v>12</v>
      </c>
      <c r="AM153" s="13">
        <v>12</v>
      </c>
      <c r="AN153" s="14" t="s">
        <v>75</v>
      </c>
      <c r="AO153" s="14" t="s">
        <v>76</v>
      </c>
      <c r="AP153" s="14" t="s">
        <v>53</v>
      </c>
      <c r="AQ153" s="18">
        <v>202606</v>
      </c>
      <c r="AR153" s="14" t="s">
        <v>158</v>
      </c>
      <c r="AS153"/>
      <c r="AT153" s="12" t="s">
        <v>132</v>
      </c>
      <c r="AU153" s="22" t="s">
        <v>275</v>
      </c>
      <c r="AV153" s="22" t="s">
        <v>363</v>
      </c>
      <c r="AW153"/>
    </row>
    <row r="154" spans="1:49" x14ac:dyDescent="0.3">
      <c r="A154" s="5" t="s">
        <v>30</v>
      </c>
      <c r="B154" s="5" t="s">
        <v>54</v>
      </c>
      <c r="C154" s="5" t="s">
        <v>1050</v>
      </c>
      <c r="D154" s="5" t="s">
        <v>32</v>
      </c>
      <c r="E154" s="6" t="s">
        <v>33</v>
      </c>
      <c r="F154" s="7">
        <v>50</v>
      </c>
      <c r="G154" s="5" t="s">
        <v>1051</v>
      </c>
      <c r="H154" s="5" t="s">
        <v>1209</v>
      </c>
      <c r="I154" s="5" t="s">
        <v>1210</v>
      </c>
      <c r="J154" s="5" t="s">
        <v>34</v>
      </c>
      <c r="K154" s="5" t="s">
        <v>60</v>
      </c>
      <c r="L154" s="5" t="s">
        <v>408</v>
      </c>
      <c r="M154" s="5" t="s">
        <v>53</v>
      </c>
      <c r="N154" s="5" t="s">
        <v>56</v>
      </c>
      <c r="O154" s="6" t="s">
        <v>1211</v>
      </c>
      <c r="P154" s="5" t="s">
        <v>73</v>
      </c>
      <c r="Q154" s="5" t="s">
        <v>61</v>
      </c>
      <c r="R154" s="5" t="s">
        <v>70</v>
      </c>
      <c r="S154" s="5" t="s">
        <v>1212</v>
      </c>
      <c r="T154" s="5" t="s">
        <v>1152</v>
      </c>
      <c r="U154" s="5" t="s">
        <v>310</v>
      </c>
      <c r="V154" s="8">
        <v>16</v>
      </c>
      <c r="W154" s="9">
        <v>30477</v>
      </c>
      <c r="X154" s="5" t="s">
        <v>35</v>
      </c>
      <c r="Y154" s="10">
        <v>100</v>
      </c>
      <c r="Z154" s="10">
        <v>18.18</v>
      </c>
      <c r="AA154" s="10">
        <v>18.18</v>
      </c>
      <c r="AB154" s="10">
        <v>10589</v>
      </c>
      <c r="AC154" s="10">
        <v>12409</v>
      </c>
      <c r="AD154" s="10">
        <v>0</v>
      </c>
      <c r="AE154" s="11">
        <v>22998</v>
      </c>
      <c r="AF154" s="12" t="s">
        <v>62</v>
      </c>
      <c r="AG154" s="14" t="s">
        <v>326</v>
      </c>
      <c r="AH154" s="14" t="s">
        <v>63</v>
      </c>
      <c r="AI154" s="14" t="s">
        <v>49</v>
      </c>
      <c r="AJ154" s="14">
        <v>40000</v>
      </c>
      <c r="AK154" s="14">
        <v>35000</v>
      </c>
      <c r="AL154" s="13">
        <v>18</v>
      </c>
      <c r="AM154" s="13">
        <v>18</v>
      </c>
      <c r="AN154" s="14" t="s">
        <v>1213</v>
      </c>
      <c r="AO154" s="14" t="s">
        <v>1214</v>
      </c>
      <c r="AP154" s="14" t="s">
        <v>53</v>
      </c>
      <c r="AQ154" s="18">
        <v>202606</v>
      </c>
      <c r="AR154" s="14" t="s">
        <v>158</v>
      </c>
      <c r="AS154"/>
      <c r="AT154" s="12" t="s">
        <v>62</v>
      </c>
      <c r="AU154" s="22" t="s">
        <v>275</v>
      </c>
      <c r="AV154" s="22" t="s">
        <v>363</v>
      </c>
      <c r="AW154"/>
    </row>
    <row r="155" spans="1:49" x14ac:dyDescent="0.3">
      <c r="A155" s="5" t="s">
        <v>30</v>
      </c>
      <c r="B155" s="5" t="s">
        <v>54</v>
      </c>
      <c r="C155" s="5" t="s">
        <v>1050</v>
      </c>
      <c r="D155" s="5" t="s">
        <v>32</v>
      </c>
      <c r="E155" s="6" t="s">
        <v>33</v>
      </c>
      <c r="F155" s="7">
        <v>52</v>
      </c>
      <c r="G155" s="5" t="s">
        <v>1051</v>
      </c>
      <c r="H155" s="5" t="s">
        <v>1215</v>
      </c>
      <c r="I155" s="5" t="s">
        <v>1216</v>
      </c>
      <c r="J155" s="5" t="s">
        <v>34</v>
      </c>
      <c r="K155" s="5" t="s">
        <v>42</v>
      </c>
      <c r="L155" s="5" t="s">
        <v>161</v>
      </c>
      <c r="M155" s="5" t="s">
        <v>162</v>
      </c>
      <c r="N155" s="5" t="s">
        <v>56</v>
      </c>
      <c r="O155" s="6" t="s">
        <v>1217</v>
      </c>
      <c r="P155" s="5" t="s">
        <v>163</v>
      </c>
      <c r="Q155" s="5" t="s">
        <v>71</v>
      </c>
      <c r="R155" s="5" t="s">
        <v>70</v>
      </c>
      <c r="S155" s="5" t="s">
        <v>1218</v>
      </c>
      <c r="T155" s="5" t="s">
        <v>817</v>
      </c>
      <c r="U155" s="5" t="s">
        <v>1219</v>
      </c>
      <c r="V155" s="8">
        <v>13</v>
      </c>
      <c r="W155" s="9">
        <v>22380</v>
      </c>
      <c r="X155" s="5" t="s">
        <v>35</v>
      </c>
      <c r="Y155" s="10">
        <v>100</v>
      </c>
      <c r="Z155" s="10">
        <v>18.18</v>
      </c>
      <c r="AA155" s="10">
        <v>18.18</v>
      </c>
      <c r="AB155" s="10">
        <v>8194</v>
      </c>
      <c r="AC155" s="10">
        <v>1076</v>
      </c>
      <c r="AD155" s="10">
        <v>0</v>
      </c>
      <c r="AE155" s="11">
        <v>9270</v>
      </c>
      <c r="AF155" s="12" t="s">
        <v>44</v>
      </c>
      <c r="AG155" s="14" t="s">
        <v>1220</v>
      </c>
      <c r="AH155" s="14" t="s">
        <v>72</v>
      </c>
      <c r="AI155" s="14" t="s">
        <v>49</v>
      </c>
      <c r="AJ155" s="14">
        <v>30000</v>
      </c>
      <c r="AK155" s="14">
        <v>25000</v>
      </c>
      <c r="AL155" s="13">
        <v>18</v>
      </c>
      <c r="AM155" s="13">
        <v>15</v>
      </c>
      <c r="AN155" s="14" t="s">
        <v>240</v>
      </c>
      <c r="AO155" s="14" t="s">
        <v>331</v>
      </c>
      <c r="AP155" s="14" t="s">
        <v>162</v>
      </c>
      <c r="AQ155" s="18">
        <v>202606</v>
      </c>
      <c r="AR155" s="14" t="s">
        <v>158</v>
      </c>
      <c r="AS155"/>
      <c r="AT155" s="12" t="s">
        <v>44</v>
      </c>
      <c r="AU155" s="22" t="s">
        <v>275</v>
      </c>
      <c r="AV155" s="22" t="s">
        <v>363</v>
      </c>
      <c r="AW155"/>
    </row>
    <row r="156" spans="1:49" x14ac:dyDescent="0.3">
      <c r="A156" s="5" t="s">
        <v>30</v>
      </c>
      <c r="B156" s="5" t="s">
        <v>54</v>
      </c>
      <c r="C156" s="5" t="s">
        <v>1050</v>
      </c>
      <c r="D156" s="5" t="s">
        <v>32</v>
      </c>
      <c r="E156" s="6" t="s">
        <v>33</v>
      </c>
      <c r="F156" s="7">
        <v>53</v>
      </c>
      <c r="G156" s="5" t="s">
        <v>1051</v>
      </c>
      <c r="H156" s="5" t="s">
        <v>1221</v>
      </c>
      <c r="I156" s="5" t="s">
        <v>1222</v>
      </c>
      <c r="J156" s="5" t="s">
        <v>34</v>
      </c>
      <c r="K156" s="5" t="s">
        <v>42</v>
      </c>
      <c r="L156" s="5" t="s">
        <v>161</v>
      </c>
      <c r="M156" s="5" t="s">
        <v>162</v>
      </c>
      <c r="N156" s="5" t="s">
        <v>56</v>
      </c>
      <c r="O156" s="6" t="s">
        <v>1223</v>
      </c>
      <c r="P156" s="5" t="s">
        <v>163</v>
      </c>
      <c r="Q156" s="5" t="s">
        <v>71</v>
      </c>
      <c r="R156" s="5" t="s">
        <v>70</v>
      </c>
      <c r="S156" s="5" t="s">
        <v>1224</v>
      </c>
      <c r="T156" s="5" t="s">
        <v>1080</v>
      </c>
      <c r="U156" s="5" t="s">
        <v>1219</v>
      </c>
      <c r="V156" s="8">
        <v>13</v>
      </c>
      <c r="W156" s="9">
        <v>9200</v>
      </c>
      <c r="X156" s="5" t="s">
        <v>35</v>
      </c>
      <c r="Y156" s="10">
        <v>100</v>
      </c>
      <c r="Z156" s="10">
        <v>18.18</v>
      </c>
      <c r="AA156" s="10">
        <v>18.18</v>
      </c>
      <c r="AB156" s="10">
        <v>8194</v>
      </c>
      <c r="AC156" s="10">
        <v>1076</v>
      </c>
      <c r="AD156" s="10">
        <v>0</v>
      </c>
      <c r="AE156" s="11">
        <v>9270</v>
      </c>
      <c r="AF156" s="12" t="s">
        <v>44</v>
      </c>
      <c r="AG156" s="14" t="s">
        <v>1220</v>
      </c>
      <c r="AH156" s="14" t="s">
        <v>72</v>
      </c>
      <c r="AI156" s="14" t="s">
        <v>49</v>
      </c>
      <c r="AJ156" s="14">
        <v>10000</v>
      </c>
      <c r="AK156" s="14">
        <v>10000</v>
      </c>
      <c r="AL156" s="13">
        <v>18</v>
      </c>
      <c r="AM156" s="13">
        <v>15</v>
      </c>
      <c r="AN156" s="14" t="s">
        <v>240</v>
      </c>
      <c r="AO156" s="14" t="s">
        <v>331</v>
      </c>
      <c r="AP156" s="14" t="s">
        <v>162</v>
      </c>
      <c r="AQ156" s="18">
        <v>202606</v>
      </c>
      <c r="AR156" s="14" t="s">
        <v>158</v>
      </c>
      <c r="AS156"/>
      <c r="AT156" s="12" t="s">
        <v>44</v>
      </c>
      <c r="AU156" s="22" t="s">
        <v>275</v>
      </c>
      <c r="AV156" s="22" t="s">
        <v>363</v>
      </c>
      <c r="AW156"/>
    </row>
    <row r="157" spans="1:49" x14ac:dyDescent="0.3">
      <c r="A157" s="5" t="s">
        <v>30</v>
      </c>
      <c r="B157" s="5" t="s">
        <v>54</v>
      </c>
      <c r="C157" s="5" t="s">
        <v>1050</v>
      </c>
      <c r="D157" s="5" t="s">
        <v>32</v>
      </c>
      <c r="E157" s="6" t="s">
        <v>33</v>
      </c>
      <c r="F157" s="7">
        <v>54</v>
      </c>
      <c r="G157" s="5" t="s">
        <v>1051</v>
      </c>
      <c r="H157" s="5" t="s">
        <v>1225</v>
      </c>
      <c r="I157" s="5" t="s">
        <v>1226</v>
      </c>
      <c r="J157" s="5" t="s">
        <v>34</v>
      </c>
      <c r="K157" s="5" t="s">
        <v>42</v>
      </c>
      <c r="L157" s="5" t="s">
        <v>161</v>
      </c>
      <c r="M157" s="5" t="s">
        <v>162</v>
      </c>
      <c r="N157" s="5" t="s">
        <v>56</v>
      </c>
      <c r="O157" s="6" t="s">
        <v>1227</v>
      </c>
      <c r="P157" s="5" t="s">
        <v>163</v>
      </c>
      <c r="Q157" s="5" t="s">
        <v>64</v>
      </c>
      <c r="R157" s="5" t="s">
        <v>70</v>
      </c>
      <c r="S157" s="5" t="s">
        <v>1228</v>
      </c>
      <c r="T157" s="5" t="s">
        <v>1197</v>
      </c>
      <c r="U157" s="5" t="s">
        <v>1203</v>
      </c>
      <c r="V157" s="8">
        <v>12</v>
      </c>
      <c r="W157" s="9">
        <v>8900</v>
      </c>
      <c r="X157" s="5" t="s">
        <v>35</v>
      </c>
      <c r="Y157" s="10">
        <v>100</v>
      </c>
      <c r="Z157" s="10">
        <v>18.18</v>
      </c>
      <c r="AA157" s="10">
        <v>18.18</v>
      </c>
      <c r="AB157" s="10">
        <v>6434</v>
      </c>
      <c r="AC157" s="10">
        <v>2348</v>
      </c>
      <c r="AD157" s="10">
        <v>0</v>
      </c>
      <c r="AE157" s="11">
        <v>8782</v>
      </c>
      <c r="AF157" s="12" t="s">
        <v>44</v>
      </c>
      <c r="AG157" s="14" t="s">
        <v>213</v>
      </c>
      <c r="AH157" s="14" t="s">
        <v>65</v>
      </c>
      <c r="AI157" s="14" t="s">
        <v>49</v>
      </c>
      <c r="AJ157" s="14">
        <v>10000</v>
      </c>
      <c r="AK157" s="14">
        <v>10000</v>
      </c>
      <c r="AL157" s="13">
        <v>18</v>
      </c>
      <c r="AM157" s="13">
        <v>15</v>
      </c>
      <c r="AN157" s="14" t="s">
        <v>329</v>
      </c>
      <c r="AO157" s="14" t="s">
        <v>1229</v>
      </c>
      <c r="AP157" s="14" t="s">
        <v>162</v>
      </c>
      <c r="AQ157" s="18">
        <v>202606</v>
      </c>
      <c r="AR157" s="14" t="s">
        <v>158</v>
      </c>
      <c r="AS157"/>
      <c r="AT157" s="12" t="s">
        <v>44</v>
      </c>
      <c r="AU157" s="22" t="s">
        <v>275</v>
      </c>
      <c r="AV157" s="22" t="s">
        <v>363</v>
      </c>
      <c r="AW157"/>
    </row>
    <row r="158" spans="1:49" x14ac:dyDescent="0.3">
      <c r="A158" s="5" t="s">
        <v>30</v>
      </c>
      <c r="B158" s="5" t="s">
        <v>54</v>
      </c>
      <c r="C158" s="5" t="s">
        <v>1050</v>
      </c>
      <c r="D158" s="5" t="s">
        <v>32</v>
      </c>
      <c r="E158" s="6" t="s">
        <v>33</v>
      </c>
      <c r="F158" s="7">
        <v>55</v>
      </c>
      <c r="G158" s="5" t="s">
        <v>1051</v>
      </c>
      <c r="H158" s="5" t="s">
        <v>1230</v>
      </c>
      <c r="I158" s="5" t="s">
        <v>1231</v>
      </c>
      <c r="J158" s="5" t="s">
        <v>34</v>
      </c>
      <c r="K158" s="5" t="s">
        <v>183</v>
      </c>
      <c r="L158" s="5" t="s">
        <v>753</v>
      </c>
      <c r="M158" s="5" t="s">
        <v>754</v>
      </c>
      <c r="N158" s="5" t="s">
        <v>56</v>
      </c>
      <c r="O158" s="6" t="e">
        <v>#N/A</v>
      </c>
      <c r="P158" s="5" t="s">
        <v>73</v>
      </c>
      <c r="Q158" s="5" t="s">
        <v>64</v>
      </c>
      <c r="R158" s="5" t="s">
        <v>325</v>
      </c>
      <c r="S158" s="5" t="s">
        <v>1232</v>
      </c>
      <c r="T158" s="5" t="s">
        <v>1152</v>
      </c>
      <c r="U158" s="5" t="s">
        <v>810</v>
      </c>
      <c r="V158" s="8">
        <v>39</v>
      </c>
      <c r="W158" s="9">
        <v>50832</v>
      </c>
      <c r="X158" s="5" t="s">
        <v>35</v>
      </c>
      <c r="Y158" s="10">
        <v>100</v>
      </c>
      <c r="Z158" s="10">
        <v>18.18</v>
      </c>
      <c r="AA158" s="10">
        <v>18.18</v>
      </c>
      <c r="AB158" s="10">
        <v>240</v>
      </c>
      <c r="AC158" s="10">
        <v>6967</v>
      </c>
      <c r="AD158" s="10">
        <v>0</v>
      </c>
      <c r="AE158" s="11">
        <v>7207</v>
      </c>
      <c r="AF158" s="12" t="s">
        <v>184</v>
      </c>
      <c r="AG158" s="14" t="s">
        <v>308</v>
      </c>
      <c r="AH158" s="14" t="s">
        <v>65</v>
      </c>
      <c r="AI158" s="14" t="s">
        <v>215</v>
      </c>
      <c r="AJ158" s="14">
        <v>60000</v>
      </c>
      <c r="AK158" s="14">
        <v>55000</v>
      </c>
      <c r="AL158" s="13">
        <v>42</v>
      </c>
      <c r="AM158" s="13">
        <v>42</v>
      </c>
      <c r="AN158" s="14" t="s">
        <v>75</v>
      </c>
      <c r="AO158" s="14" t="s">
        <v>76</v>
      </c>
      <c r="AP158" s="14" t="s">
        <v>754</v>
      </c>
      <c r="AQ158" s="18">
        <v>202606</v>
      </c>
      <c r="AR158" s="14" t="s">
        <v>158</v>
      </c>
      <c r="AS158"/>
      <c r="AT158" s="12" t="s">
        <v>184</v>
      </c>
      <c r="AU158" s="22" t="s">
        <v>275</v>
      </c>
      <c r="AV158" s="22" t="s">
        <v>363</v>
      </c>
      <c r="AW158"/>
    </row>
    <row r="159" spans="1:49" x14ac:dyDescent="0.3">
      <c r="A159" s="5" t="s">
        <v>30</v>
      </c>
      <c r="B159" s="5" t="s">
        <v>54</v>
      </c>
      <c r="C159" s="5" t="s">
        <v>1141</v>
      </c>
      <c r="D159" s="5" t="s">
        <v>32</v>
      </c>
      <c r="E159" s="6" t="s">
        <v>33</v>
      </c>
      <c r="F159" s="7">
        <v>1</v>
      </c>
      <c r="G159" s="5" t="s">
        <v>361</v>
      </c>
      <c r="H159" s="5" t="s">
        <v>1233</v>
      </c>
      <c r="I159" s="5" t="s">
        <v>1234</v>
      </c>
      <c r="J159" s="5" t="s">
        <v>34</v>
      </c>
      <c r="K159" s="5" t="s">
        <v>312</v>
      </c>
      <c r="L159" s="5" t="s">
        <v>1235</v>
      </c>
      <c r="M159" s="5" t="s">
        <v>43</v>
      </c>
      <c r="N159" s="5" t="s">
        <v>56</v>
      </c>
      <c r="O159" s="6" t="s">
        <v>1236</v>
      </c>
      <c r="P159" s="5" t="s">
        <v>47</v>
      </c>
      <c r="Q159" s="5" t="s">
        <v>64</v>
      </c>
      <c r="R159" s="5" t="s">
        <v>74</v>
      </c>
      <c r="S159" s="5" t="s">
        <v>1237</v>
      </c>
      <c r="T159" s="5" t="s">
        <v>1238</v>
      </c>
      <c r="U159" s="5" t="s">
        <v>1239</v>
      </c>
      <c r="V159" s="8">
        <v>12</v>
      </c>
      <c r="W159" s="9">
        <v>17131</v>
      </c>
      <c r="X159" s="5" t="s">
        <v>35</v>
      </c>
      <c r="Y159" s="10">
        <v>100</v>
      </c>
      <c r="Z159" s="10">
        <v>18.18</v>
      </c>
      <c r="AA159" s="10">
        <v>18.18</v>
      </c>
      <c r="AB159" s="10">
        <v>102509</v>
      </c>
      <c r="AC159" s="10">
        <v>62902</v>
      </c>
      <c r="AD159" s="10">
        <v>0</v>
      </c>
      <c r="AE159" s="11">
        <v>165411</v>
      </c>
      <c r="AF159" s="12" t="s">
        <v>530</v>
      </c>
      <c r="AG159" s="14" t="s">
        <v>258</v>
      </c>
      <c r="AH159" s="14" t="s">
        <v>65</v>
      </c>
      <c r="AI159" s="14" t="s">
        <v>49</v>
      </c>
      <c r="AJ159" s="14">
        <v>20000</v>
      </c>
      <c r="AK159" s="14">
        <v>20000</v>
      </c>
      <c r="AL159" s="13">
        <v>18</v>
      </c>
      <c r="AM159" s="13">
        <v>15</v>
      </c>
      <c r="AN159" s="14" t="s">
        <v>58</v>
      </c>
      <c r="AO159" s="14" t="s">
        <v>59</v>
      </c>
      <c r="AP159" s="14" t="s">
        <v>46</v>
      </c>
      <c r="AQ159" s="18">
        <v>202606</v>
      </c>
      <c r="AR159" s="14" t="s">
        <v>158</v>
      </c>
      <c r="AS159"/>
      <c r="AT159" s="12" t="s">
        <v>530</v>
      </c>
      <c r="AU159" s="22" t="s">
        <v>275</v>
      </c>
      <c r="AV159" s="22" t="s">
        <v>363</v>
      </c>
      <c r="AW159"/>
    </row>
    <row r="160" spans="1:49" x14ac:dyDescent="0.3">
      <c r="A160" s="5" t="s">
        <v>80</v>
      </c>
      <c r="B160" s="5" t="s">
        <v>31</v>
      </c>
      <c r="C160" s="5" t="s">
        <v>1050</v>
      </c>
      <c r="D160" s="5" t="s">
        <v>81</v>
      </c>
      <c r="E160" s="6" t="s">
        <v>33</v>
      </c>
      <c r="F160" s="7">
        <v>1</v>
      </c>
      <c r="G160" s="5" t="s">
        <v>1051</v>
      </c>
      <c r="H160" s="5" t="s">
        <v>1240</v>
      </c>
      <c r="I160" s="5" t="s">
        <v>1241</v>
      </c>
      <c r="J160" s="5" t="s">
        <v>34</v>
      </c>
      <c r="K160" s="5" t="s">
        <v>244</v>
      </c>
      <c r="L160" s="5" t="s">
        <v>1242</v>
      </c>
      <c r="M160" s="5" t="s">
        <v>39</v>
      </c>
      <c r="N160" s="5" t="s">
        <v>56</v>
      </c>
      <c r="O160" s="6" t="s">
        <v>1243</v>
      </c>
      <c r="P160" s="5" t="s">
        <v>127</v>
      </c>
      <c r="Q160" s="5"/>
      <c r="R160" s="5" t="s">
        <v>139</v>
      </c>
      <c r="S160" s="5" t="s">
        <v>1091</v>
      </c>
      <c r="T160" s="5" t="s">
        <v>1098</v>
      </c>
      <c r="U160" s="5" t="s">
        <v>1244</v>
      </c>
      <c r="V160" s="8">
        <v>22</v>
      </c>
      <c r="W160" s="9">
        <v>27692</v>
      </c>
      <c r="X160" s="5" t="s">
        <v>35</v>
      </c>
      <c r="Y160" s="10">
        <v>100</v>
      </c>
      <c r="Z160" s="10">
        <v>27.72</v>
      </c>
      <c r="AA160" s="10">
        <v>27.72</v>
      </c>
      <c r="AB160" s="10">
        <v>99224</v>
      </c>
      <c r="AC160" s="10">
        <v>12959</v>
      </c>
      <c r="AD160" s="10">
        <v>0</v>
      </c>
      <c r="AE160" s="11">
        <v>112183</v>
      </c>
      <c r="AF160" s="12" t="s">
        <v>245</v>
      </c>
      <c r="AG160" s="14" t="s">
        <v>204</v>
      </c>
      <c r="AH160" s="14" t="e">
        <v>#N/A</v>
      </c>
      <c r="AI160" s="14" t="s">
        <v>36</v>
      </c>
      <c r="AJ160" s="14">
        <v>30000</v>
      </c>
      <c r="AK160" s="14">
        <v>30000</v>
      </c>
      <c r="AL160" s="13">
        <v>24</v>
      </c>
      <c r="AM160" s="13">
        <v>24</v>
      </c>
      <c r="AN160" s="14" t="s">
        <v>1245</v>
      </c>
      <c r="AO160" s="14" t="s">
        <v>86</v>
      </c>
      <c r="AP160" s="14" t="s">
        <v>37</v>
      </c>
      <c r="AQ160" s="18">
        <v>202606</v>
      </c>
      <c r="AR160" s="14" t="s">
        <v>147</v>
      </c>
      <c r="AS160" s="14" t="s">
        <v>174</v>
      </c>
      <c r="AT160" s="14" t="s">
        <v>174</v>
      </c>
      <c r="AU160" s="22" t="s">
        <v>275</v>
      </c>
      <c r="AV160" s="22" t="s">
        <v>363</v>
      </c>
      <c r="AW160"/>
    </row>
    <row r="161" spans="1:49" x14ac:dyDescent="0.3">
      <c r="A161" s="5" t="s">
        <v>80</v>
      </c>
      <c r="B161" s="5" t="s">
        <v>31</v>
      </c>
      <c r="C161" s="5" t="s">
        <v>1050</v>
      </c>
      <c r="D161" s="5" t="s">
        <v>81</v>
      </c>
      <c r="E161" s="6" t="s">
        <v>33</v>
      </c>
      <c r="F161" s="7">
        <v>2</v>
      </c>
      <c r="G161" s="5" t="s">
        <v>1051</v>
      </c>
      <c r="H161" s="5" t="s">
        <v>1246</v>
      </c>
      <c r="I161" s="5" t="s">
        <v>1247</v>
      </c>
      <c r="J161" s="5" t="s">
        <v>34</v>
      </c>
      <c r="K161" s="5" t="s">
        <v>82</v>
      </c>
      <c r="L161" s="5" t="s">
        <v>273</v>
      </c>
      <c r="M161" s="5" t="s">
        <v>39</v>
      </c>
      <c r="N161" s="5" t="s">
        <v>56</v>
      </c>
      <c r="O161" s="6" t="s">
        <v>1248</v>
      </c>
      <c r="P161" s="5" t="s">
        <v>292</v>
      </c>
      <c r="Q161" s="5" t="s">
        <v>122</v>
      </c>
      <c r="R161" s="5" t="s">
        <v>139</v>
      </c>
      <c r="S161" s="5" t="s">
        <v>1249</v>
      </c>
      <c r="T161" s="5" t="s">
        <v>1104</v>
      </c>
      <c r="U161" s="5" t="s">
        <v>1250</v>
      </c>
      <c r="V161" s="8">
        <v>60</v>
      </c>
      <c r="W161" s="9">
        <v>69593</v>
      </c>
      <c r="X161" s="5" t="s">
        <v>35</v>
      </c>
      <c r="Y161" s="10">
        <v>100</v>
      </c>
      <c r="Z161" s="10">
        <v>27.72</v>
      </c>
      <c r="AA161" s="10">
        <v>27.72</v>
      </c>
      <c r="AB161" s="10">
        <v>0</v>
      </c>
      <c r="AC161" s="10">
        <v>6930</v>
      </c>
      <c r="AD161" s="10">
        <v>0</v>
      </c>
      <c r="AE161" s="11">
        <v>6930</v>
      </c>
      <c r="AF161" s="12" t="s">
        <v>414</v>
      </c>
      <c r="AG161" s="14" t="s">
        <v>231</v>
      </c>
      <c r="AH161" s="14" t="s">
        <v>123</v>
      </c>
      <c r="AI161" s="14" t="s">
        <v>36</v>
      </c>
      <c r="AJ161" s="14">
        <v>70000</v>
      </c>
      <c r="AK161" s="14">
        <v>70000</v>
      </c>
      <c r="AL161" s="13" t="s">
        <v>121</v>
      </c>
      <c r="AM161" s="13" t="s">
        <v>121</v>
      </c>
      <c r="AN161" s="14" t="s">
        <v>293</v>
      </c>
      <c r="AO161" s="14" t="s">
        <v>86</v>
      </c>
      <c r="AP161" s="14" t="s">
        <v>37</v>
      </c>
      <c r="AQ161" s="18">
        <v>202606</v>
      </c>
      <c r="AR161" s="14" t="s">
        <v>147</v>
      </c>
      <c r="AS161" s="14" t="s">
        <v>157</v>
      </c>
      <c r="AT161" s="12" t="s">
        <v>157</v>
      </c>
      <c r="AU161" s="22" t="s">
        <v>275</v>
      </c>
      <c r="AV161" s="22" t="s">
        <v>363</v>
      </c>
      <c r="AW161"/>
    </row>
    <row r="162" spans="1:49" x14ac:dyDescent="0.3">
      <c r="A162" s="5" t="s">
        <v>80</v>
      </c>
      <c r="B162" s="5" t="s">
        <v>31</v>
      </c>
      <c r="C162" s="5" t="s">
        <v>1050</v>
      </c>
      <c r="D162" s="5" t="s">
        <v>81</v>
      </c>
      <c r="E162" s="6" t="s">
        <v>33</v>
      </c>
      <c r="F162" s="7">
        <v>3</v>
      </c>
      <c r="G162" s="5" t="s">
        <v>1051</v>
      </c>
      <c r="H162" s="5" t="s">
        <v>1251</v>
      </c>
      <c r="I162" s="5" t="s">
        <v>1247</v>
      </c>
      <c r="J162" s="5" t="s">
        <v>294</v>
      </c>
      <c r="K162" s="5" t="s">
        <v>82</v>
      </c>
      <c r="L162" s="5" t="s">
        <v>273</v>
      </c>
      <c r="M162" s="5" t="s">
        <v>39</v>
      </c>
      <c r="N162" s="5" t="s">
        <v>56</v>
      </c>
      <c r="O162" s="6" t="s">
        <v>1248</v>
      </c>
      <c r="P162" s="5" t="s">
        <v>295</v>
      </c>
      <c r="Q162" s="5"/>
      <c r="R162" s="5" t="s">
        <v>139</v>
      </c>
      <c r="S162" s="5" t="s">
        <v>1249</v>
      </c>
      <c r="T162" s="5" t="s">
        <v>1104</v>
      </c>
      <c r="U162" s="5" t="s">
        <v>1250</v>
      </c>
      <c r="V162" s="8">
        <v>60</v>
      </c>
      <c r="W162" s="9">
        <v>69593</v>
      </c>
      <c r="X162" s="5" t="s">
        <v>35</v>
      </c>
      <c r="Y162" s="10">
        <v>100</v>
      </c>
      <c r="Z162" s="10">
        <v>27.72</v>
      </c>
      <c r="AA162" s="10">
        <v>27.72</v>
      </c>
      <c r="AB162" s="10">
        <v>260333</v>
      </c>
      <c r="AC162" s="10">
        <v>0</v>
      </c>
      <c r="AD162" s="10">
        <v>0</v>
      </c>
      <c r="AE162" s="11">
        <v>260333</v>
      </c>
      <c r="AF162" s="12" t="s">
        <v>414</v>
      </c>
      <c r="AG162" s="14" t="s">
        <v>231</v>
      </c>
      <c r="AH162" s="14" t="e">
        <v>#N/A</v>
      </c>
      <c r="AI162" s="14" t="s">
        <v>36</v>
      </c>
      <c r="AJ162" s="14">
        <v>70000</v>
      </c>
      <c r="AK162" s="14">
        <v>70000</v>
      </c>
      <c r="AL162" s="13" t="s">
        <v>121</v>
      </c>
      <c r="AM162" s="13" t="s">
        <v>121</v>
      </c>
      <c r="AN162" s="14" t="s">
        <v>1252</v>
      </c>
      <c r="AO162" s="14" t="s">
        <v>86</v>
      </c>
      <c r="AP162" s="14" t="s">
        <v>37</v>
      </c>
      <c r="AQ162" s="18">
        <v>202606</v>
      </c>
      <c r="AR162" s="14" t="s">
        <v>147</v>
      </c>
      <c r="AS162" s="14" t="s">
        <v>157</v>
      </c>
      <c r="AT162" s="12" t="s">
        <v>157</v>
      </c>
      <c r="AU162" s="22" t="s">
        <v>275</v>
      </c>
      <c r="AV162" s="22" t="s">
        <v>363</v>
      </c>
      <c r="AW162"/>
    </row>
    <row r="163" spans="1:49" x14ac:dyDescent="0.3">
      <c r="A163" s="5" t="s">
        <v>80</v>
      </c>
      <c r="B163" s="5" t="s">
        <v>31</v>
      </c>
      <c r="C163" s="5" t="s">
        <v>1050</v>
      </c>
      <c r="D163" s="5" t="s">
        <v>81</v>
      </c>
      <c r="E163" s="6" t="s">
        <v>33</v>
      </c>
      <c r="F163" s="7">
        <v>4</v>
      </c>
      <c r="G163" s="5" t="s">
        <v>1051</v>
      </c>
      <c r="H163" s="5" t="s">
        <v>1253</v>
      </c>
      <c r="I163" s="5" t="s">
        <v>1247</v>
      </c>
      <c r="J163" s="5" t="s">
        <v>34</v>
      </c>
      <c r="K163" s="5" t="s">
        <v>82</v>
      </c>
      <c r="L163" s="5" t="s">
        <v>273</v>
      </c>
      <c r="M163" s="5" t="s">
        <v>39</v>
      </c>
      <c r="N163" s="5" t="s">
        <v>56</v>
      </c>
      <c r="O163" s="6" t="s">
        <v>1248</v>
      </c>
      <c r="P163" s="5" t="s">
        <v>83</v>
      </c>
      <c r="Q163" s="5"/>
      <c r="R163" s="5" t="s">
        <v>139</v>
      </c>
      <c r="S163" s="5" t="s">
        <v>1249</v>
      </c>
      <c r="T163" s="5" t="s">
        <v>1104</v>
      </c>
      <c r="U163" s="5" t="s">
        <v>1250</v>
      </c>
      <c r="V163" s="8">
        <v>60</v>
      </c>
      <c r="W163" s="9">
        <v>69593</v>
      </c>
      <c r="X163" s="5" t="s">
        <v>35</v>
      </c>
      <c r="Y163" s="10">
        <v>100</v>
      </c>
      <c r="Z163" s="10">
        <v>27.72</v>
      </c>
      <c r="AA163" s="10">
        <v>27.72</v>
      </c>
      <c r="AB163" s="10">
        <v>11702</v>
      </c>
      <c r="AC163" s="10">
        <v>29979</v>
      </c>
      <c r="AD163" s="10">
        <v>0</v>
      </c>
      <c r="AE163" s="11">
        <v>41681</v>
      </c>
      <c r="AF163" s="12" t="s">
        <v>414</v>
      </c>
      <c r="AG163" s="14" t="s">
        <v>231</v>
      </c>
      <c r="AH163" s="14" t="e">
        <v>#N/A</v>
      </c>
      <c r="AI163" s="14" t="s">
        <v>36</v>
      </c>
      <c r="AJ163" s="14">
        <v>70000</v>
      </c>
      <c r="AK163" s="14">
        <v>70000</v>
      </c>
      <c r="AL163" s="13" t="s">
        <v>121</v>
      </c>
      <c r="AM163" s="13" t="s">
        <v>121</v>
      </c>
      <c r="AN163" s="14" t="s">
        <v>1254</v>
      </c>
      <c r="AO163" s="14" t="s">
        <v>86</v>
      </c>
      <c r="AP163" s="14" t="s">
        <v>37</v>
      </c>
      <c r="AQ163" s="18">
        <v>202606</v>
      </c>
      <c r="AR163" s="14" t="s">
        <v>147</v>
      </c>
      <c r="AS163" s="14" t="s">
        <v>157</v>
      </c>
      <c r="AT163" s="12" t="s">
        <v>157</v>
      </c>
      <c r="AU163" s="22" t="s">
        <v>275</v>
      </c>
      <c r="AV163" s="22" t="s">
        <v>363</v>
      </c>
      <c r="AW163"/>
    </row>
    <row r="164" spans="1:49" x14ac:dyDescent="0.3">
      <c r="A164" s="5" t="s">
        <v>80</v>
      </c>
      <c r="B164" s="5" t="s">
        <v>31</v>
      </c>
      <c r="C164" s="5" t="s">
        <v>1050</v>
      </c>
      <c r="D164" s="5" t="s">
        <v>81</v>
      </c>
      <c r="E164" s="6" t="s">
        <v>33</v>
      </c>
      <c r="F164" s="7">
        <v>5</v>
      </c>
      <c r="G164" s="5" t="s">
        <v>1051</v>
      </c>
      <c r="H164" s="5" t="s">
        <v>1255</v>
      </c>
      <c r="I164" s="5" t="s">
        <v>1256</v>
      </c>
      <c r="J164" s="5" t="s">
        <v>34</v>
      </c>
      <c r="K164" s="5" t="s">
        <v>141</v>
      </c>
      <c r="L164" s="5" t="s">
        <v>224</v>
      </c>
      <c r="M164" s="5" t="s">
        <v>39</v>
      </c>
      <c r="N164" s="5" t="s">
        <v>56</v>
      </c>
      <c r="O164" s="6" t="s">
        <v>1257</v>
      </c>
      <c r="P164" s="5" t="s">
        <v>345</v>
      </c>
      <c r="Q164" s="5"/>
      <c r="R164" s="5" t="s">
        <v>251</v>
      </c>
      <c r="S164" s="5" t="s">
        <v>1258</v>
      </c>
      <c r="T164" s="5" t="s">
        <v>1259</v>
      </c>
      <c r="U164" s="5" t="s">
        <v>296</v>
      </c>
      <c r="V164" s="8">
        <v>33</v>
      </c>
      <c r="W164" s="9">
        <v>17134</v>
      </c>
      <c r="X164" s="5" t="s">
        <v>35</v>
      </c>
      <c r="Y164" s="10">
        <v>100</v>
      </c>
      <c r="Z164" s="10">
        <v>27.72</v>
      </c>
      <c r="AA164" s="10">
        <v>27.72</v>
      </c>
      <c r="AB164" s="10">
        <v>346680</v>
      </c>
      <c r="AC164" s="10">
        <v>52391</v>
      </c>
      <c r="AD164" s="10">
        <v>0</v>
      </c>
      <c r="AE164" s="11">
        <v>399071</v>
      </c>
      <c r="AF164" s="12" t="s">
        <v>142</v>
      </c>
      <c r="AG164" s="14" t="s">
        <v>173</v>
      </c>
      <c r="AH164" s="14" t="e">
        <v>#N/A</v>
      </c>
      <c r="AI164" s="14" t="s">
        <v>85</v>
      </c>
      <c r="AJ164" s="14">
        <v>20000</v>
      </c>
      <c r="AK164" s="14">
        <v>20000</v>
      </c>
      <c r="AL164" s="13">
        <v>36</v>
      </c>
      <c r="AM164" s="13">
        <v>36</v>
      </c>
      <c r="AN164" s="14" t="s">
        <v>1260</v>
      </c>
      <c r="AO164" s="14" t="s">
        <v>86</v>
      </c>
      <c r="AP164" s="14" t="s">
        <v>37</v>
      </c>
      <c r="AQ164" s="18">
        <v>202606</v>
      </c>
      <c r="AR164" s="14" t="s">
        <v>147</v>
      </c>
      <c r="AS164" s="14" t="s">
        <v>157</v>
      </c>
      <c r="AT164" s="12" t="s">
        <v>157</v>
      </c>
      <c r="AU164" s="22" t="s">
        <v>275</v>
      </c>
      <c r="AV164" s="22" t="s">
        <v>363</v>
      </c>
      <c r="AW164"/>
    </row>
    <row r="165" spans="1:49" x14ac:dyDescent="0.3">
      <c r="A165" s="5" t="s">
        <v>80</v>
      </c>
      <c r="B165" s="5" t="s">
        <v>31</v>
      </c>
      <c r="C165" s="5" t="s">
        <v>1050</v>
      </c>
      <c r="D165" s="5" t="s">
        <v>81</v>
      </c>
      <c r="E165" s="6" t="s">
        <v>33</v>
      </c>
      <c r="F165" s="7">
        <v>6</v>
      </c>
      <c r="G165" s="5" t="s">
        <v>1051</v>
      </c>
      <c r="H165" s="5" t="s">
        <v>1261</v>
      </c>
      <c r="I165" s="5" t="s">
        <v>1262</v>
      </c>
      <c r="J165" s="5" t="s">
        <v>34</v>
      </c>
      <c r="K165" s="5" t="s">
        <v>141</v>
      </c>
      <c r="L165" s="5" t="s">
        <v>224</v>
      </c>
      <c r="M165" s="5" t="s">
        <v>39</v>
      </c>
      <c r="N165" s="5" t="s">
        <v>56</v>
      </c>
      <c r="O165" s="6" t="s">
        <v>1263</v>
      </c>
      <c r="P165" s="5" t="s">
        <v>345</v>
      </c>
      <c r="Q165" s="5"/>
      <c r="R165" s="5" t="s">
        <v>140</v>
      </c>
      <c r="S165" s="5" t="s">
        <v>1264</v>
      </c>
      <c r="T165" s="5" t="s">
        <v>1080</v>
      </c>
      <c r="U165" s="5" t="s">
        <v>296</v>
      </c>
      <c r="V165" s="8">
        <v>33</v>
      </c>
      <c r="W165" s="9">
        <v>75723</v>
      </c>
      <c r="X165" s="5" t="s">
        <v>35</v>
      </c>
      <c r="Y165" s="10">
        <v>100</v>
      </c>
      <c r="Z165" s="10">
        <v>27.72</v>
      </c>
      <c r="AA165" s="10">
        <v>27.72</v>
      </c>
      <c r="AB165" s="10">
        <v>353529</v>
      </c>
      <c r="AC165" s="10">
        <v>84698</v>
      </c>
      <c r="AD165" s="10">
        <v>0</v>
      </c>
      <c r="AE165" s="11">
        <v>438227</v>
      </c>
      <c r="AF165" s="12" t="s">
        <v>142</v>
      </c>
      <c r="AG165" s="14" t="s">
        <v>225</v>
      </c>
      <c r="AH165" s="14" t="e">
        <v>#N/A</v>
      </c>
      <c r="AI165" s="14" t="s">
        <v>36</v>
      </c>
      <c r="AJ165" s="14">
        <v>80000</v>
      </c>
      <c r="AK165" s="14">
        <v>80000</v>
      </c>
      <c r="AL165" s="13">
        <v>36</v>
      </c>
      <c r="AM165" s="13">
        <v>36</v>
      </c>
      <c r="AN165" s="14" t="s">
        <v>1265</v>
      </c>
      <c r="AO165" s="14" t="s">
        <v>86</v>
      </c>
      <c r="AP165" s="14" t="s">
        <v>37</v>
      </c>
      <c r="AQ165" s="18">
        <v>202606</v>
      </c>
      <c r="AR165" s="14" t="s">
        <v>147</v>
      </c>
      <c r="AS165" s="14" t="s">
        <v>157</v>
      </c>
      <c r="AT165" s="12" t="s">
        <v>157</v>
      </c>
      <c r="AU165" s="22" t="s">
        <v>275</v>
      </c>
      <c r="AV165" s="22" t="s">
        <v>363</v>
      </c>
      <c r="AW165"/>
    </row>
    <row r="166" spans="1:49" x14ac:dyDescent="0.3">
      <c r="A166" s="5" t="s">
        <v>80</v>
      </c>
      <c r="B166" s="5" t="s">
        <v>31</v>
      </c>
      <c r="C166" s="5" t="s">
        <v>1050</v>
      </c>
      <c r="D166" s="5" t="s">
        <v>81</v>
      </c>
      <c r="E166" s="6" t="s">
        <v>33</v>
      </c>
      <c r="F166" s="7">
        <v>7</v>
      </c>
      <c r="G166" s="5" t="s">
        <v>1051</v>
      </c>
      <c r="H166" s="5" t="s">
        <v>1266</v>
      </c>
      <c r="I166" s="5" t="s">
        <v>1267</v>
      </c>
      <c r="J166" s="5" t="s">
        <v>294</v>
      </c>
      <c r="K166" s="5" t="s">
        <v>141</v>
      </c>
      <c r="L166" s="5" t="s">
        <v>224</v>
      </c>
      <c r="M166" s="5" t="s">
        <v>39</v>
      </c>
      <c r="N166" s="5" t="s">
        <v>56</v>
      </c>
      <c r="O166" s="6" t="s">
        <v>1268</v>
      </c>
      <c r="P166" s="5" t="s">
        <v>295</v>
      </c>
      <c r="Q166" s="5"/>
      <c r="R166" s="5" t="s">
        <v>238</v>
      </c>
      <c r="S166" s="5" t="s">
        <v>1269</v>
      </c>
      <c r="T166" s="5" t="s">
        <v>492</v>
      </c>
      <c r="U166" s="5" t="s">
        <v>1270</v>
      </c>
      <c r="V166" s="8">
        <v>32</v>
      </c>
      <c r="W166" s="9">
        <v>35739</v>
      </c>
      <c r="X166" s="5" t="s">
        <v>35</v>
      </c>
      <c r="Y166" s="10">
        <v>100</v>
      </c>
      <c r="Z166" s="10">
        <v>27.72</v>
      </c>
      <c r="AA166" s="10">
        <v>27.72</v>
      </c>
      <c r="AB166" s="10">
        <v>208467</v>
      </c>
      <c r="AC166" s="10">
        <v>0</v>
      </c>
      <c r="AD166" s="10">
        <v>0</v>
      </c>
      <c r="AE166" s="11">
        <v>208467</v>
      </c>
      <c r="AF166" s="12" t="s">
        <v>142</v>
      </c>
      <c r="AG166" s="14" t="s">
        <v>156</v>
      </c>
      <c r="AH166" s="14" t="e">
        <v>#N/A</v>
      </c>
      <c r="AI166" s="14" t="s">
        <v>234</v>
      </c>
      <c r="AJ166" s="14">
        <v>40000</v>
      </c>
      <c r="AK166" s="14">
        <v>40000</v>
      </c>
      <c r="AL166" s="13">
        <v>36</v>
      </c>
      <c r="AM166" s="13">
        <v>33</v>
      </c>
      <c r="AN166" s="14" t="s">
        <v>1271</v>
      </c>
      <c r="AO166" s="14" t="s">
        <v>86</v>
      </c>
      <c r="AP166" s="14" t="s">
        <v>37</v>
      </c>
      <c r="AQ166" s="18">
        <v>202606</v>
      </c>
      <c r="AR166" s="14" t="s">
        <v>147</v>
      </c>
      <c r="AS166" s="14" t="s">
        <v>157</v>
      </c>
      <c r="AT166" s="12" t="s">
        <v>157</v>
      </c>
      <c r="AU166" s="22" t="s">
        <v>275</v>
      </c>
      <c r="AV166" s="22" t="s">
        <v>363</v>
      </c>
      <c r="AW166"/>
    </row>
    <row r="167" spans="1:49" x14ac:dyDescent="0.3">
      <c r="A167" s="5" t="s">
        <v>80</v>
      </c>
      <c r="B167" s="5" t="s">
        <v>31</v>
      </c>
      <c r="C167" s="5" t="s">
        <v>1050</v>
      </c>
      <c r="D167" s="5" t="s">
        <v>81</v>
      </c>
      <c r="E167" s="6" t="s">
        <v>33</v>
      </c>
      <c r="F167" s="7">
        <v>8</v>
      </c>
      <c r="G167" s="5" t="s">
        <v>1051</v>
      </c>
      <c r="H167" s="5" t="s">
        <v>1272</v>
      </c>
      <c r="I167" s="5" t="s">
        <v>1267</v>
      </c>
      <c r="J167" s="5" t="s">
        <v>34</v>
      </c>
      <c r="K167" s="5" t="s">
        <v>141</v>
      </c>
      <c r="L167" s="5" t="s">
        <v>224</v>
      </c>
      <c r="M167" s="5" t="s">
        <v>39</v>
      </c>
      <c r="N167" s="5" t="s">
        <v>56</v>
      </c>
      <c r="O167" s="6" t="s">
        <v>1268</v>
      </c>
      <c r="P167" s="5" t="s">
        <v>292</v>
      </c>
      <c r="Q167" s="5" t="s">
        <v>64</v>
      </c>
      <c r="R167" s="5" t="s">
        <v>238</v>
      </c>
      <c r="S167" s="5" t="s">
        <v>1269</v>
      </c>
      <c r="T167" s="5" t="s">
        <v>492</v>
      </c>
      <c r="U167" s="5" t="s">
        <v>1270</v>
      </c>
      <c r="V167" s="8">
        <v>32</v>
      </c>
      <c r="W167" s="9">
        <v>35739</v>
      </c>
      <c r="X167" s="5" t="s">
        <v>35</v>
      </c>
      <c r="Y167" s="10">
        <v>100</v>
      </c>
      <c r="Z167" s="10">
        <v>27.72</v>
      </c>
      <c r="AA167" s="10">
        <v>27.72</v>
      </c>
      <c r="AB167" s="10">
        <v>0</v>
      </c>
      <c r="AC167" s="10">
        <v>6930</v>
      </c>
      <c r="AD167" s="10">
        <v>0</v>
      </c>
      <c r="AE167" s="11">
        <v>6930</v>
      </c>
      <c r="AF167" s="12" t="s">
        <v>142</v>
      </c>
      <c r="AG167" s="14" t="s">
        <v>156</v>
      </c>
      <c r="AH167" s="14" t="s">
        <v>65</v>
      </c>
      <c r="AI167" s="14" t="s">
        <v>234</v>
      </c>
      <c r="AJ167" s="14">
        <v>40000</v>
      </c>
      <c r="AK167" s="14">
        <v>40000</v>
      </c>
      <c r="AL167" s="13">
        <v>36</v>
      </c>
      <c r="AM167" s="13">
        <v>33</v>
      </c>
      <c r="AN167" s="14" t="s">
        <v>293</v>
      </c>
      <c r="AO167" s="14" t="s">
        <v>86</v>
      </c>
      <c r="AP167" s="14" t="s">
        <v>37</v>
      </c>
      <c r="AQ167" s="18">
        <v>202606</v>
      </c>
      <c r="AR167" s="14" t="s">
        <v>147</v>
      </c>
      <c r="AS167" s="14" t="s">
        <v>157</v>
      </c>
      <c r="AT167" s="12" t="s">
        <v>157</v>
      </c>
      <c r="AU167" s="22" t="s">
        <v>275</v>
      </c>
      <c r="AV167" s="22" t="s">
        <v>363</v>
      </c>
      <c r="AW167"/>
    </row>
    <row r="168" spans="1:49" x14ac:dyDescent="0.3">
      <c r="A168" s="5" t="s">
        <v>80</v>
      </c>
      <c r="B168" s="5" t="s">
        <v>31</v>
      </c>
      <c r="C168" s="5" t="s">
        <v>1050</v>
      </c>
      <c r="D168" s="5" t="s">
        <v>81</v>
      </c>
      <c r="E168" s="6" t="s">
        <v>33</v>
      </c>
      <c r="F168" s="7">
        <v>9</v>
      </c>
      <c r="G168" s="5" t="s">
        <v>1051</v>
      </c>
      <c r="H168" s="5" t="s">
        <v>1273</v>
      </c>
      <c r="I168" s="5" t="s">
        <v>1267</v>
      </c>
      <c r="J168" s="5" t="s">
        <v>34</v>
      </c>
      <c r="K168" s="5" t="s">
        <v>141</v>
      </c>
      <c r="L168" s="5" t="s">
        <v>224</v>
      </c>
      <c r="M168" s="5" t="s">
        <v>39</v>
      </c>
      <c r="N168" s="5" t="s">
        <v>56</v>
      </c>
      <c r="O168" s="6" t="s">
        <v>1268</v>
      </c>
      <c r="P168" s="5" t="s">
        <v>127</v>
      </c>
      <c r="Q168" s="5"/>
      <c r="R168" s="5" t="s">
        <v>238</v>
      </c>
      <c r="S168" s="5" t="s">
        <v>1269</v>
      </c>
      <c r="T168" s="5" t="s">
        <v>492</v>
      </c>
      <c r="U168" s="5" t="s">
        <v>1270</v>
      </c>
      <c r="V168" s="8">
        <v>32</v>
      </c>
      <c r="W168" s="9">
        <v>35739</v>
      </c>
      <c r="X168" s="5" t="s">
        <v>35</v>
      </c>
      <c r="Y168" s="10">
        <v>100</v>
      </c>
      <c r="Z168" s="10">
        <v>27.72</v>
      </c>
      <c r="AA168" s="10">
        <v>27.72</v>
      </c>
      <c r="AB168" s="10">
        <v>0</v>
      </c>
      <c r="AC168" s="10">
        <v>25211</v>
      </c>
      <c r="AD168" s="10">
        <v>0</v>
      </c>
      <c r="AE168" s="11">
        <v>25211</v>
      </c>
      <c r="AF168" s="12" t="s">
        <v>142</v>
      </c>
      <c r="AG168" s="14" t="s">
        <v>156</v>
      </c>
      <c r="AH168" s="14" t="e">
        <v>#N/A</v>
      </c>
      <c r="AI168" s="14" t="s">
        <v>234</v>
      </c>
      <c r="AJ168" s="14">
        <v>40000</v>
      </c>
      <c r="AK168" s="14">
        <v>40000</v>
      </c>
      <c r="AL168" s="13">
        <v>36</v>
      </c>
      <c r="AM168" s="13">
        <v>33</v>
      </c>
      <c r="AN168" s="14" t="s">
        <v>1274</v>
      </c>
      <c r="AO168" s="14" t="s">
        <v>86</v>
      </c>
      <c r="AP168" s="14" t="s">
        <v>37</v>
      </c>
      <c r="AQ168" s="18">
        <v>202606</v>
      </c>
      <c r="AR168" s="14" t="s">
        <v>147</v>
      </c>
      <c r="AS168" s="14" t="s">
        <v>157</v>
      </c>
      <c r="AT168" s="12" t="s">
        <v>157</v>
      </c>
      <c r="AU168" s="22" t="s">
        <v>275</v>
      </c>
      <c r="AV168" s="22" t="s">
        <v>363</v>
      </c>
      <c r="AW168"/>
    </row>
    <row r="169" spans="1:49" x14ac:dyDescent="0.3">
      <c r="A169" s="5" t="s">
        <v>80</v>
      </c>
      <c r="B169" s="5" t="s">
        <v>31</v>
      </c>
      <c r="C169" s="5" t="s">
        <v>1050</v>
      </c>
      <c r="D169" s="5" t="s">
        <v>81</v>
      </c>
      <c r="E169" s="6" t="s">
        <v>33</v>
      </c>
      <c r="F169" s="7">
        <v>10</v>
      </c>
      <c r="G169" s="5" t="s">
        <v>1051</v>
      </c>
      <c r="H169" s="5" t="s">
        <v>1275</v>
      </c>
      <c r="I169" s="5" t="s">
        <v>1276</v>
      </c>
      <c r="J169" s="5" t="s">
        <v>34</v>
      </c>
      <c r="K169" s="5" t="s">
        <v>141</v>
      </c>
      <c r="L169" s="5" t="s">
        <v>224</v>
      </c>
      <c r="M169" s="5" t="s">
        <v>39</v>
      </c>
      <c r="N169" s="5" t="s">
        <v>56</v>
      </c>
      <c r="O169" s="6" t="s">
        <v>1277</v>
      </c>
      <c r="P169" s="5" t="s">
        <v>127</v>
      </c>
      <c r="Q169" s="5"/>
      <c r="R169" s="5" t="s">
        <v>140</v>
      </c>
      <c r="S169" s="5" t="s">
        <v>1278</v>
      </c>
      <c r="T169" s="5" t="s">
        <v>1062</v>
      </c>
      <c r="U169" s="5" t="s">
        <v>1279</v>
      </c>
      <c r="V169" s="8">
        <v>26</v>
      </c>
      <c r="W169" s="9">
        <v>72882</v>
      </c>
      <c r="X169" s="5" t="s">
        <v>35</v>
      </c>
      <c r="Y169" s="10">
        <v>100</v>
      </c>
      <c r="Z169" s="10">
        <v>27.72</v>
      </c>
      <c r="AA169" s="10">
        <v>27.72</v>
      </c>
      <c r="AB169" s="10">
        <v>210644</v>
      </c>
      <c r="AC169" s="10">
        <v>20028</v>
      </c>
      <c r="AD169" s="10">
        <v>0</v>
      </c>
      <c r="AE169" s="11">
        <v>230672</v>
      </c>
      <c r="AF169" s="12" t="s">
        <v>142</v>
      </c>
      <c r="AG169" s="14" t="s">
        <v>235</v>
      </c>
      <c r="AH169" s="14" t="e">
        <v>#N/A</v>
      </c>
      <c r="AI169" s="14" t="s">
        <v>36</v>
      </c>
      <c r="AJ169" s="14">
        <v>80000</v>
      </c>
      <c r="AK169" s="14">
        <v>75000</v>
      </c>
      <c r="AL169" s="13">
        <v>30</v>
      </c>
      <c r="AM169" s="13">
        <v>27</v>
      </c>
      <c r="AN169" s="14" t="s">
        <v>1280</v>
      </c>
      <c r="AO169" s="14" t="s">
        <v>86</v>
      </c>
      <c r="AP169" s="14" t="s">
        <v>37</v>
      </c>
      <c r="AQ169" s="18">
        <v>202606</v>
      </c>
      <c r="AR169" s="14" t="s">
        <v>147</v>
      </c>
      <c r="AS169" s="14" t="s">
        <v>157</v>
      </c>
      <c r="AT169" s="12" t="s">
        <v>157</v>
      </c>
      <c r="AU169" s="22" t="s">
        <v>275</v>
      </c>
      <c r="AV169" s="22" t="s">
        <v>363</v>
      </c>
      <c r="AW169"/>
    </row>
    <row r="170" spans="1:49" x14ac:dyDescent="0.3">
      <c r="A170" s="5" t="s">
        <v>80</v>
      </c>
      <c r="B170" s="5" t="s">
        <v>31</v>
      </c>
      <c r="C170" s="5" t="s">
        <v>1050</v>
      </c>
      <c r="D170" s="5" t="s">
        <v>81</v>
      </c>
      <c r="E170" s="6" t="s">
        <v>33</v>
      </c>
      <c r="F170" s="7">
        <v>11</v>
      </c>
      <c r="G170" s="5" t="s">
        <v>1051</v>
      </c>
      <c r="H170" s="5" t="s">
        <v>1281</v>
      </c>
      <c r="I170" s="5" t="s">
        <v>1282</v>
      </c>
      <c r="J170" s="5" t="s">
        <v>34</v>
      </c>
      <c r="K170" s="5" t="s">
        <v>208</v>
      </c>
      <c r="L170" s="5" t="s">
        <v>410</v>
      </c>
      <c r="M170" s="5" t="s">
        <v>39</v>
      </c>
      <c r="N170" s="5" t="s">
        <v>56</v>
      </c>
      <c r="O170" s="6" t="s">
        <v>1283</v>
      </c>
      <c r="P170" s="5" t="s">
        <v>83</v>
      </c>
      <c r="Q170" s="5"/>
      <c r="R170" s="5" t="s">
        <v>140</v>
      </c>
      <c r="S170" s="5" t="s">
        <v>1284</v>
      </c>
      <c r="T170" s="5" t="s">
        <v>1152</v>
      </c>
      <c r="U170" s="5" t="s">
        <v>1285</v>
      </c>
      <c r="V170" s="8">
        <v>53</v>
      </c>
      <c r="W170" s="9">
        <v>63385</v>
      </c>
      <c r="X170" s="5" t="s">
        <v>35</v>
      </c>
      <c r="Y170" s="10">
        <v>100</v>
      </c>
      <c r="Z170" s="10">
        <v>27.72</v>
      </c>
      <c r="AA170" s="10">
        <v>27.72</v>
      </c>
      <c r="AB170" s="10">
        <v>152726</v>
      </c>
      <c r="AC170" s="10">
        <v>24116</v>
      </c>
      <c r="AD170" s="10">
        <v>0</v>
      </c>
      <c r="AE170" s="11">
        <v>176842</v>
      </c>
      <c r="AF170" s="12" t="s">
        <v>411</v>
      </c>
      <c r="AG170" s="14" t="s">
        <v>1286</v>
      </c>
      <c r="AH170" s="14" t="e">
        <v>#N/A</v>
      </c>
      <c r="AI170" s="14" t="s">
        <v>36</v>
      </c>
      <c r="AJ170" s="14">
        <v>70000</v>
      </c>
      <c r="AK170" s="14">
        <v>65000</v>
      </c>
      <c r="AL170" s="13">
        <v>54</v>
      </c>
      <c r="AM170" s="13">
        <v>54</v>
      </c>
      <c r="AN170" s="14" t="s">
        <v>1287</v>
      </c>
      <c r="AO170" s="14" t="s">
        <v>86</v>
      </c>
      <c r="AP170" s="14" t="s">
        <v>37</v>
      </c>
      <c r="AQ170" s="18">
        <v>202606</v>
      </c>
      <c r="AR170" s="14" t="s">
        <v>147</v>
      </c>
      <c r="AS170" s="14" t="s">
        <v>157</v>
      </c>
      <c r="AT170" s="12" t="s">
        <v>157</v>
      </c>
      <c r="AU170" s="22" t="s">
        <v>275</v>
      </c>
      <c r="AV170" s="22" t="s">
        <v>363</v>
      </c>
      <c r="AW170"/>
    </row>
    <row r="171" spans="1:49" x14ac:dyDescent="0.3">
      <c r="A171" s="5" t="s">
        <v>80</v>
      </c>
      <c r="B171" s="5" t="s">
        <v>31</v>
      </c>
      <c r="C171" s="5" t="s">
        <v>1050</v>
      </c>
      <c r="D171" s="5" t="s">
        <v>81</v>
      </c>
      <c r="E171" s="6" t="s">
        <v>33</v>
      </c>
      <c r="F171" s="7">
        <v>12</v>
      </c>
      <c r="G171" s="5" t="s">
        <v>1051</v>
      </c>
      <c r="H171" s="5" t="s">
        <v>1288</v>
      </c>
      <c r="I171" s="5" t="s">
        <v>1289</v>
      </c>
      <c r="J171" s="5" t="s">
        <v>34</v>
      </c>
      <c r="K171" s="5" t="s">
        <v>38</v>
      </c>
      <c r="L171" s="5" t="s">
        <v>764</v>
      </c>
      <c r="M171" s="5" t="s">
        <v>765</v>
      </c>
      <c r="N171" s="5" t="s">
        <v>56</v>
      </c>
      <c r="O171" s="6" t="s">
        <v>1290</v>
      </c>
      <c r="P171" s="5" t="s">
        <v>83</v>
      </c>
      <c r="Q171" s="5"/>
      <c r="R171" s="5" t="s">
        <v>140</v>
      </c>
      <c r="S171" s="5" t="s">
        <v>1291</v>
      </c>
      <c r="T171" s="5" t="s">
        <v>1292</v>
      </c>
      <c r="U171" s="5" t="s">
        <v>1293</v>
      </c>
      <c r="V171" s="8">
        <v>43</v>
      </c>
      <c r="W171" s="9">
        <v>49857</v>
      </c>
      <c r="X171" s="5" t="s">
        <v>1294</v>
      </c>
      <c r="Y171" s="10">
        <v>100</v>
      </c>
      <c r="Z171" s="10">
        <v>27.72</v>
      </c>
      <c r="AA171" s="10">
        <v>27.72</v>
      </c>
      <c r="AB171" s="10">
        <v>262978</v>
      </c>
      <c r="AC171" s="10">
        <v>116632</v>
      </c>
      <c r="AD171" s="10">
        <v>0</v>
      </c>
      <c r="AE171" s="11">
        <v>379610</v>
      </c>
      <c r="AF171" s="12" t="s">
        <v>41</v>
      </c>
      <c r="AG171" s="14" t="s">
        <v>134</v>
      </c>
      <c r="AH171" s="14" t="e">
        <v>#N/A</v>
      </c>
      <c r="AI171" s="14" t="s">
        <v>36</v>
      </c>
      <c r="AJ171" s="14">
        <v>50000</v>
      </c>
      <c r="AK171" s="14">
        <v>50000</v>
      </c>
      <c r="AL171" s="13">
        <v>48</v>
      </c>
      <c r="AM171" s="13">
        <v>45</v>
      </c>
      <c r="AN171" s="14" t="s">
        <v>220</v>
      </c>
      <c r="AO171" s="14" t="s">
        <v>86</v>
      </c>
      <c r="AP171" s="14" t="s">
        <v>37</v>
      </c>
      <c r="AQ171" s="18">
        <v>202606</v>
      </c>
      <c r="AR171" s="14" t="s">
        <v>147</v>
      </c>
      <c r="AS171" s="17" t="s">
        <v>159</v>
      </c>
      <c r="AT171" s="17" t="s">
        <v>159</v>
      </c>
      <c r="AU171" s="22" t="s">
        <v>275</v>
      </c>
      <c r="AV171" s="22" t="s">
        <v>363</v>
      </c>
      <c r="AW171"/>
    </row>
    <row r="172" spans="1:49" x14ac:dyDescent="0.3">
      <c r="A172" s="5" t="s">
        <v>80</v>
      </c>
      <c r="B172" s="5" t="s">
        <v>54</v>
      </c>
      <c r="C172" s="5" t="s">
        <v>1050</v>
      </c>
      <c r="D172" s="5" t="s">
        <v>81</v>
      </c>
      <c r="E172" s="6" t="s">
        <v>33</v>
      </c>
      <c r="F172" s="7">
        <v>1</v>
      </c>
      <c r="G172" s="5" t="s">
        <v>1051</v>
      </c>
      <c r="H172" s="5" t="s">
        <v>1295</v>
      </c>
      <c r="I172" s="5" t="s">
        <v>1296</v>
      </c>
      <c r="J172" s="5" t="s">
        <v>34</v>
      </c>
      <c r="K172" s="5" t="s">
        <v>82</v>
      </c>
      <c r="L172" s="5" t="s">
        <v>1297</v>
      </c>
      <c r="M172" s="5" t="s">
        <v>39</v>
      </c>
      <c r="N172" s="5" t="s">
        <v>56</v>
      </c>
      <c r="O172" s="6" t="s">
        <v>1298</v>
      </c>
      <c r="P172" s="5" t="s">
        <v>127</v>
      </c>
      <c r="Q172" s="5" t="s">
        <v>61</v>
      </c>
      <c r="R172" s="5" t="s">
        <v>139</v>
      </c>
      <c r="S172" s="5" t="s">
        <v>1299</v>
      </c>
      <c r="T172" s="5" t="s">
        <v>376</v>
      </c>
      <c r="U172" s="5" t="s">
        <v>1300</v>
      </c>
      <c r="V172" s="8">
        <v>33</v>
      </c>
      <c r="W172" s="9">
        <v>46850</v>
      </c>
      <c r="X172" s="5" t="s">
        <v>35</v>
      </c>
      <c r="Y172" s="10">
        <v>100</v>
      </c>
      <c r="Z172" s="10">
        <v>19.8</v>
      </c>
      <c r="AA172" s="10">
        <v>19.8</v>
      </c>
      <c r="AB172" s="10">
        <v>92160</v>
      </c>
      <c r="AC172" s="10">
        <v>77228</v>
      </c>
      <c r="AD172" s="10">
        <v>0</v>
      </c>
      <c r="AE172" s="11">
        <v>169388</v>
      </c>
      <c r="AF172" s="12" t="s">
        <v>414</v>
      </c>
      <c r="AG172" s="14" t="s">
        <v>133</v>
      </c>
      <c r="AH172" s="14" t="s">
        <v>63</v>
      </c>
      <c r="AI172" s="14" t="s">
        <v>36</v>
      </c>
      <c r="AJ172" s="14">
        <v>50000</v>
      </c>
      <c r="AK172" s="14">
        <v>50000</v>
      </c>
      <c r="AL172" s="13">
        <v>36</v>
      </c>
      <c r="AM172" s="13">
        <v>36</v>
      </c>
      <c r="AN172" s="14" t="s">
        <v>398</v>
      </c>
      <c r="AO172" s="14" t="s">
        <v>399</v>
      </c>
      <c r="AP172" s="14" t="s">
        <v>37</v>
      </c>
      <c r="AQ172" s="18">
        <v>202606</v>
      </c>
      <c r="AR172" s="14" t="s">
        <v>147</v>
      </c>
      <c r="AS172" s="14" t="s">
        <v>157</v>
      </c>
      <c r="AT172" s="12" t="s">
        <v>157</v>
      </c>
      <c r="AU172" s="22" t="s">
        <v>275</v>
      </c>
      <c r="AV172" s="22" t="s">
        <v>363</v>
      </c>
      <c r="AW172"/>
    </row>
    <row r="173" spans="1:49" x14ac:dyDescent="0.3">
      <c r="A173" s="5" t="s">
        <v>80</v>
      </c>
      <c r="B173" s="5" t="s">
        <v>54</v>
      </c>
      <c r="C173" s="5" t="s">
        <v>1050</v>
      </c>
      <c r="D173" s="5" t="s">
        <v>81</v>
      </c>
      <c r="E173" s="6" t="s">
        <v>33</v>
      </c>
      <c r="F173" s="7">
        <v>2</v>
      </c>
      <c r="G173" s="5" t="s">
        <v>1051</v>
      </c>
      <c r="H173" s="5" t="s">
        <v>1301</v>
      </c>
      <c r="I173" s="5" t="s">
        <v>1302</v>
      </c>
      <c r="J173" s="5" t="s">
        <v>34</v>
      </c>
      <c r="K173" s="5" t="s">
        <v>82</v>
      </c>
      <c r="L173" s="5" t="s">
        <v>69</v>
      </c>
      <c r="M173" s="5" t="s">
        <v>39</v>
      </c>
      <c r="N173" s="5" t="s">
        <v>56</v>
      </c>
      <c r="O173" s="6" t="s">
        <v>1303</v>
      </c>
      <c r="P173" s="5" t="s">
        <v>127</v>
      </c>
      <c r="Q173" s="5" t="s">
        <v>64</v>
      </c>
      <c r="R173" s="5" t="s">
        <v>140</v>
      </c>
      <c r="S173" s="5" t="s">
        <v>1304</v>
      </c>
      <c r="T173" s="5" t="s">
        <v>1305</v>
      </c>
      <c r="U173" s="5" t="s">
        <v>1306</v>
      </c>
      <c r="V173" s="8">
        <v>48</v>
      </c>
      <c r="W173" s="9">
        <v>94043</v>
      </c>
      <c r="X173" s="5" t="s">
        <v>35</v>
      </c>
      <c r="Y173" s="10">
        <v>100</v>
      </c>
      <c r="Z173" s="10">
        <v>19.8</v>
      </c>
      <c r="AA173" s="10">
        <v>19.8</v>
      </c>
      <c r="AB173" s="10">
        <v>210449</v>
      </c>
      <c r="AC173" s="10">
        <v>62914</v>
      </c>
      <c r="AD173" s="10">
        <v>62622</v>
      </c>
      <c r="AE173" s="11">
        <v>335985</v>
      </c>
      <c r="AF173" s="12" t="s">
        <v>414</v>
      </c>
      <c r="AG173" s="14" t="s">
        <v>285</v>
      </c>
      <c r="AH173" s="14" t="s">
        <v>65</v>
      </c>
      <c r="AI173" s="14" t="s">
        <v>36</v>
      </c>
      <c r="AJ173" s="14">
        <v>100000</v>
      </c>
      <c r="AK173" s="14">
        <v>95000</v>
      </c>
      <c r="AL173" s="13">
        <v>54</v>
      </c>
      <c r="AM173" s="13">
        <v>51</v>
      </c>
      <c r="AN173" s="14" t="s">
        <v>58</v>
      </c>
      <c r="AO173" s="14" t="s">
        <v>59</v>
      </c>
      <c r="AP173" s="14" t="s">
        <v>37</v>
      </c>
      <c r="AQ173" s="18">
        <v>202606</v>
      </c>
      <c r="AR173" s="14" t="s">
        <v>147</v>
      </c>
      <c r="AS173" s="14" t="s">
        <v>157</v>
      </c>
      <c r="AT173" s="12" t="s">
        <v>157</v>
      </c>
      <c r="AU173" s="22" t="s">
        <v>275</v>
      </c>
      <c r="AV173" s="22" t="s">
        <v>363</v>
      </c>
      <c r="AW173"/>
    </row>
    <row r="174" spans="1:49" x14ac:dyDescent="0.3">
      <c r="A174" s="5" t="s">
        <v>80</v>
      </c>
      <c r="B174" s="5" t="s">
        <v>54</v>
      </c>
      <c r="C174" s="5" t="s">
        <v>1050</v>
      </c>
      <c r="D174" s="5" t="s">
        <v>81</v>
      </c>
      <c r="E174" s="6" t="s">
        <v>33</v>
      </c>
      <c r="F174" s="7">
        <v>3</v>
      </c>
      <c r="G174" s="5" t="s">
        <v>1051</v>
      </c>
      <c r="H174" s="5" t="s">
        <v>1307</v>
      </c>
      <c r="I174" s="5" t="s">
        <v>1308</v>
      </c>
      <c r="J174" s="5" t="s">
        <v>34</v>
      </c>
      <c r="K174" s="5" t="s">
        <v>141</v>
      </c>
      <c r="L174" s="5" t="s">
        <v>168</v>
      </c>
      <c r="M174" s="5" t="s">
        <v>39</v>
      </c>
      <c r="N174" s="5" t="s">
        <v>56</v>
      </c>
      <c r="O174" s="6" t="s">
        <v>1309</v>
      </c>
      <c r="P174" s="5" t="s">
        <v>127</v>
      </c>
      <c r="Q174" s="5" t="s">
        <v>122</v>
      </c>
      <c r="R174" s="5" t="s">
        <v>289</v>
      </c>
      <c r="S174" s="5" t="s">
        <v>373</v>
      </c>
      <c r="T174" s="5" t="s">
        <v>669</v>
      </c>
      <c r="U174" s="5" t="s">
        <v>1310</v>
      </c>
      <c r="V174" s="8">
        <v>44</v>
      </c>
      <c r="W174" s="9">
        <v>82430</v>
      </c>
      <c r="X174" s="5" t="s">
        <v>35</v>
      </c>
      <c r="Y174" s="10">
        <v>100</v>
      </c>
      <c r="Z174" s="10">
        <v>19.8</v>
      </c>
      <c r="AA174" s="10">
        <v>19.8</v>
      </c>
      <c r="AB174" s="10">
        <v>181977</v>
      </c>
      <c r="AC174" s="10">
        <v>141165</v>
      </c>
      <c r="AD174" s="10">
        <v>0</v>
      </c>
      <c r="AE174" s="11">
        <v>323142</v>
      </c>
      <c r="AF174" s="12" t="s">
        <v>142</v>
      </c>
      <c r="AG174" s="14" t="s">
        <v>301</v>
      </c>
      <c r="AH174" s="14" t="s">
        <v>123</v>
      </c>
      <c r="AI174" s="14" t="s">
        <v>175</v>
      </c>
      <c r="AJ174" s="14">
        <v>90000</v>
      </c>
      <c r="AK174" s="14">
        <v>85000</v>
      </c>
      <c r="AL174" s="13">
        <v>48</v>
      </c>
      <c r="AM174" s="13">
        <v>45</v>
      </c>
      <c r="AN174" s="14" t="s">
        <v>58</v>
      </c>
      <c r="AO174" s="14" t="s">
        <v>59</v>
      </c>
      <c r="AP174" s="14" t="s">
        <v>37</v>
      </c>
      <c r="AQ174" s="18">
        <v>202606</v>
      </c>
      <c r="AR174" s="14" t="s">
        <v>147</v>
      </c>
      <c r="AS174" s="14" t="s">
        <v>157</v>
      </c>
      <c r="AT174" s="12" t="s">
        <v>157</v>
      </c>
      <c r="AU174" s="22" t="s">
        <v>275</v>
      </c>
      <c r="AV174" s="22" t="s">
        <v>363</v>
      </c>
      <c r="AW174"/>
    </row>
    <row r="175" spans="1:49" x14ac:dyDescent="0.3">
      <c r="A175" s="5" t="s">
        <v>80</v>
      </c>
      <c r="B175" s="5" t="s">
        <v>54</v>
      </c>
      <c r="C175" s="5" t="s">
        <v>1050</v>
      </c>
      <c r="D175" s="5" t="s">
        <v>81</v>
      </c>
      <c r="E175" s="6" t="s">
        <v>33</v>
      </c>
      <c r="F175" s="7">
        <v>4</v>
      </c>
      <c r="G175" s="5" t="s">
        <v>1051</v>
      </c>
      <c r="H175" s="5" t="s">
        <v>1311</v>
      </c>
      <c r="I175" s="5" t="s">
        <v>1312</v>
      </c>
      <c r="J175" s="5" t="s">
        <v>34</v>
      </c>
      <c r="K175" s="5" t="s">
        <v>141</v>
      </c>
      <c r="L175" s="5" t="s">
        <v>168</v>
      </c>
      <c r="M175" s="5" t="s">
        <v>39</v>
      </c>
      <c r="N175" s="5" t="s">
        <v>56</v>
      </c>
      <c r="O175" s="6" t="s">
        <v>1313</v>
      </c>
      <c r="P175" s="5" t="s">
        <v>154</v>
      </c>
      <c r="Q175" s="5" t="s">
        <v>64</v>
      </c>
      <c r="R175" s="5" t="s">
        <v>1165</v>
      </c>
      <c r="S175" s="5" t="s">
        <v>1314</v>
      </c>
      <c r="T175" s="5" t="s">
        <v>817</v>
      </c>
      <c r="U175" s="5" t="s">
        <v>1315</v>
      </c>
      <c r="V175" s="8">
        <v>12</v>
      </c>
      <c r="W175" s="9">
        <v>24645</v>
      </c>
      <c r="X175" s="5" t="s">
        <v>35</v>
      </c>
      <c r="Y175" s="10">
        <v>100</v>
      </c>
      <c r="Z175" s="10">
        <v>19.8</v>
      </c>
      <c r="AA175" s="10">
        <v>19.8</v>
      </c>
      <c r="AB175" s="10">
        <v>0</v>
      </c>
      <c r="AC175" s="10">
        <v>0</v>
      </c>
      <c r="AD175" s="10">
        <v>82612</v>
      </c>
      <c r="AE175" s="11">
        <v>82612</v>
      </c>
      <c r="AF175" s="12" t="s">
        <v>142</v>
      </c>
      <c r="AG175" s="14" t="s">
        <v>322</v>
      </c>
      <c r="AH175" s="14" t="s">
        <v>65</v>
      </c>
      <c r="AI175" s="14" t="s">
        <v>120</v>
      </c>
      <c r="AJ175" s="14">
        <v>30000</v>
      </c>
      <c r="AK175" s="14">
        <v>25000</v>
      </c>
      <c r="AL175" s="13">
        <v>18</v>
      </c>
      <c r="AM175" s="13">
        <v>15</v>
      </c>
      <c r="AN175" s="14" t="s">
        <v>58</v>
      </c>
      <c r="AO175" s="14" t="s">
        <v>59</v>
      </c>
      <c r="AP175" s="14" t="s">
        <v>37</v>
      </c>
      <c r="AQ175" s="18">
        <v>202606</v>
      </c>
      <c r="AR175" s="14" t="s">
        <v>147</v>
      </c>
      <c r="AS175" s="14" t="s">
        <v>157</v>
      </c>
      <c r="AT175" s="12" t="s">
        <v>157</v>
      </c>
      <c r="AU175" s="22" t="s">
        <v>275</v>
      </c>
      <c r="AV175" s="22" t="s">
        <v>363</v>
      </c>
      <c r="AW175"/>
    </row>
    <row r="176" spans="1:49" x14ac:dyDescent="0.3">
      <c r="A176" s="5" t="s">
        <v>80</v>
      </c>
      <c r="B176" s="5" t="s">
        <v>54</v>
      </c>
      <c r="C176" s="5" t="s">
        <v>1050</v>
      </c>
      <c r="D176" s="5" t="s">
        <v>81</v>
      </c>
      <c r="E176" s="6" t="s">
        <v>33</v>
      </c>
      <c r="F176" s="7">
        <v>5</v>
      </c>
      <c r="G176" s="5" t="s">
        <v>1051</v>
      </c>
      <c r="H176" s="5" t="s">
        <v>1316</v>
      </c>
      <c r="I176" s="5" t="s">
        <v>1317</v>
      </c>
      <c r="J176" s="5" t="s">
        <v>34</v>
      </c>
      <c r="K176" s="5" t="s">
        <v>141</v>
      </c>
      <c r="L176" s="5" t="s">
        <v>168</v>
      </c>
      <c r="M176" s="5" t="s">
        <v>39</v>
      </c>
      <c r="N176" s="5" t="s">
        <v>56</v>
      </c>
      <c r="O176" s="6" t="s">
        <v>1318</v>
      </c>
      <c r="P176" s="5" t="s">
        <v>127</v>
      </c>
      <c r="Q176" s="5" t="s">
        <v>61</v>
      </c>
      <c r="R176" s="5" t="s">
        <v>79</v>
      </c>
      <c r="S176" s="5" t="s">
        <v>1319</v>
      </c>
      <c r="T176" s="5" t="s">
        <v>321</v>
      </c>
      <c r="U176" s="5" t="s">
        <v>1320</v>
      </c>
      <c r="V176" s="8">
        <v>3</v>
      </c>
      <c r="W176" s="9">
        <v>10672</v>
      </c>
      <c r="X176" s="5" t="s">
        <v>35</v>
      </c>
      <c r="Y176" s="10">
        <v>100</v>
      </c>
      <c r="Z176" s="10">
        <v>19.8</v>
      </c>
      <c r="AA176" s="10">
        <v>19.8</v>
      </c>
      <c r="AB176" s="10">
        <v>196571</v>
      </c>
      <c r="AC176" s="10">
        <v>113266</v>
      </c>
      <c r="AD176" s="10">
        <v>0</v>
      </c>
      <c r="AE176" s="11">
        <v>309837</v>
      </c>
      <c r="AF176" s="12" t="s">
        <v>142</v>
      </c>
      <c r="AG176" s="14" t="s">
        <v>1321</v>
      </c>
      <c r="AH176" s="14" t="s">
        <v>63</v>
      </c>
      <c r="AI176" s="14" t="s">
        <v>45</v>
      </c>
      <c r="AJ176" s="14">
        <v>20000</v>
      </c>
      <c r="AK176" s="14">
        <v>15000</v>
      </c>
      <c r="AL176" s="13">
        <v>6</v>
      </c>
      <c r="AM176" s="13">
        <v>6</v>
      </c>
      <c r="AN176" s="14" t="s">
        <v>58</v>
      </c>
      <c r="AO176" s="14" t="s">
        <v>59</v>
      </c>
      <c r="AP176" s="14" t="s">
        <v>37</v>
      </c>
      <c r="AQ176" s="18">
        <v>202606</v>
      </c>
      <c r="AR176" s="14" t="s">
        <v>147</v>
      </c>
      <c r="AS176" s="14" t="s">
        <v>157</v>
      </c>
      <c r="AT176" s="12" t="s">
        <v>157</v>
      </c>
      <c r="AU176" s="22" t="s">
        <v>275</v>
      </c>
      <c r="AV176" s="22" t="s">
        <v>363</v>
      </c>
      <c r="AW176"/>
    </row>
    <row r="177" spans="1:49" x14ac:dyDescent="0.3">
      <c r="A177" s="5" t="s">
        <v>80</v>
      </c>
      <c r="B177" s="5" t="s">
        <v>54</v>
      </c>
      <c r="C177" s="5" t="s">
        <v>1050</v>
      </c>
      <c r="D177" s="5" t="s">
        <v>81</v>
      </c>
      <c r="E177" s="6" t="s">
        <v>33</v>
      </c>
      <c r="F177" s="7">
        <v>6</v>
      </c>
      <c r="G177" s="5" t="s">
        <v>1051</v>
      </c>
      <c r="H177" s="5" t="s">
        <v>1322</v>
      </c>
      <c r="I177" s="5" t="s">
        <v>1323</v>
      </c>
      <c r="J177" s="5" t="s">
        <v>34</v>
      </c>
      <c r="K177" s="5" t="s">
        <v>190</v>
      </c>
      <c r="L177" s="5" t="s">
        <v>209</v>
      </c>
      <c r="M177" s="5" t="s">
        <v>39</v>
      </c>
      <c r="N177" s="5" t="s">
        <v>56</v>
      </c>
      <c r="O177" s="6" t="s">
        <v>1324</v>
      </c>
      <c r="P177" s="5" t="s">
        <v>127</v>
      </c>
      <c r="Q177" s="5" t="s">
        <v>64</v>
      </c>
      <c r="R177" s="5" t="s">
        <v>139</v>
      </c>
      <c r="S177" s="5" t="s">
        <v>1325</v>
      </c>
      <c r="T177" s="5" t="s">
        <v>1326</v>
      </c>
      <c r="U177" s="5" t="s">
        <v>1327</v>
      </c>
      <c r="V177" s="8">
        <v>53</v>
      </c>
      <c r="W177" s="9">
        <v>57512</v>
      </c>
      <c r="X177" s="5" t="s">
        <v>35</v>
      </c>
      <c r="Y177" s="10">
        <v>100</v>
      </c>
      <c r="Z177" s="10">
        <v>19.8</v>
      </c>
      <c r="AA177" s="10">
        <v>19.8</v>
      </c>
      <c r="AB177" s="10">
        <v>179937</v>
      </c>
      <c r="AC177" s="10">
        <v>80258</v>
      </c>
      <c r="AD177" s="10">
        <v>0</v>
      </c>
      <c r="AE177" s="11">
        <v>260195</v>
      </c>
      <c r="AF177" s="12" t="s">
        <v>191</v>
      </c>
      <c r="AG177" s="14" t="s">
        <v>176</v>
      </c>
      <c r="AH177" s="14" t="s">
        <v>65</v>
      </c>
      <c r="AI177" s="14" t="s">
        <v>36</v>
      </c>
      <c r="AJ177" s="14">
        <v>60000</v>
      </c>
      <c r="AK177" s="14">
        <v>60000</v>
      </c>
      <c r="AL177" s="13">
        <v>54</v>
      </c>
      <c r="AM177" s="13">
        <v>54</v>
      </c>
      <c r="AN177" s="14" t="s">
        <v>58</v>
      </c>
      <c r="AO177" s="14" t="s">
        <v>59</v>
      </c>
      <c r="AP177" s="14" t="s">
        <v>37</v>
      </c>
      <c r="AQ177" s="18">
        <v>202606</v>
      </c>
      <c r="AR177" s="14" t="s">
        <v>147</v>
      </c>
      <c r="AS177" s="14" t="s">
        <v>174</v>
      </c>
      <c r="AT177" s="14" t="s">
        <v>174</v>
      </c>
      <c r="AU177" s="22" t="s">
        <v>275</v>
      </c>
      <c r="AV177" s="22" t="s">
        <v>363</v>
      </c>
      <c r="AW177"/>
    </row>
    <row r="178" spans="1:49" x14ac:dyDescent="0.3">
      <c r="A178" s="5" t="s">
        <v>145</v>
      </c>
      <c r="B178" s="5" t="s">
        <v>31</v>
      </c>
      <c r="C178" s="5" t="s">
        <v>1050</v>
      </c>
      <c r="D178" s="5" t="s">
        <v>32</v>
      </c>
      <c r="E178" s="6" t="s">
        <v>33</v>
      </c>
      <c r="F178" s="5">
        <v>38</v>
      </c>
      <c r="G178" s="5" t="s">
        <v>1051</v>
      </c>
      <c r="H178" s="5" t="s">
        <v>1328</v>
      </c>
      <c r="I178" s="5" t="s">
        <v>1329</v>
      </c>
      <c r="J178" s="5" t="s">
        <v>34</v>
      </c>
      <c r="K178" s="5" t="s">
        <v>91</v>
      </c>
      <c r="L178" s="5" t="s">
        <v>95</v>
      </c>
      <c r="M178" s="5" t="s">
        <v>39</v>
      </c>
      <c r="N178" s="5"/>
      <c r="O178" s="6" t="s">
        <v>1330</v>
      </c>
      <c r="P178" s="5" t="s">
        <v>83</v>
      </c>
      <c r="Q178" s="5" t="s">
        <v>92</v>
      </c>
      <c r="R178" s="5" t="s">
        <v>140</v>
      </c>
      <c r="S178" s="5" t="s">
        <v>1331</v>
      </c>
      <c r="T178" s="5" t="s">
        <v>1332</v>
      </c>
      <c r="U178" s="5" t="s">
        <v>1333</v>
      </c>
      <c r="V178" s="8">
        <v>27</v>
      </c>
      <c r="W178" s="9">
        <v>19239</v>
      </c>
      <c r="X178" s="5"/>
      <c r="Y178" s="10">
        <v>100</v>
      </c>
      <c r="Z178" s="10">
        <v>25.44</v>
      </c>
      <c r="AA178" s="10">
        <v>25.44</v>
      </c>
      <c r="AB178" s="10">
        <v>198204</v>
      </c>
      <c r="AC178" s="10">
        <v>36252</v>
      </c>
      <c r="AD178" s="10">
        <v>0</v>
      </c>
      <c r="AE178" s="11">
        <v>234456</v>
      </c>
      <c r="AF178" s="12" t="s">
        <v>93</v>
      </c>
      <c r="AG178" s="14" t="s">
        <v>170</v>
      </c>
      <c r="AH178" s="14" t="e">
        <v>#N/A</v>
      </c>
      <c r="AI178" s="14" t="s">
        <v>36</v>
      </c>
      <c r="AJ178" s="14">
        <v>20000</v>
      </c>
      <c r="AK178" s="14">
        <v>20000</v>
      </c>
      <c r="AL178" s="13">
        <v>30</v>
      </c>
      <c r="AM178" s="13">
        <v>30</v>
      </c>
      <c r="AN178" s="14" t="s">
        <v>487</v>
      </c>
      <c r="AO178" s="14" t="s">
        <v>86</v>
      </c>
      <c r="AP178" s="14" t="s">
        <v>37</v>
      </c>
      <c r="AQ178" s="18">
        <v>202606</v>
      </c>
      <c r="AR178" s="18" t="s">
        <v>147</v>
      </c>
      <c r="AS178" s="14" t="s">
        <v>232</v>
      </c>
      <c r="AT178" s="14" t="s">
        <v>232</v>
      </c>
      <c r="AU178" s="22" t="s">
        <v>275</v>
      </c>
      <c r="AV178" s="22" t="s">
        <v>363</v>
      </c>
      <c r="AW178"/>
    </row>
    <row r="179" spans="1:49" x14ac:dyDescent="0.3">
      <c r="A179" s="5" t="s">
        <v>145</v>
      </c>
      <c r="B179" s="5" t="s">
        <v>54</v>
      </c>
      <c r="C179" s="5" t="s">
        <v>1050</v>
      </c>
      <c r="D179" s="5" t="s">
        <v>32</v>
      </c>
      <c r="E179" s="6" t="s">
        <v>33</v>
      </c>
      <c r="F179" s="5">
        <v>85</v>
      </c>
      <c r="G179" s="5" t="s">
        <v>1051</v>
      </c>
      <c r="H179" s="5" t="s">
        <v>1334</v>
      </c>
      <c r="I179" s="5" t="s">
        <v>1335</v>
      </c>
      <c r="J179" s="5" t="s">
        <v>34</v>
      </c>
      <c r="K179" s="5" t="s">
        <v>60</v>
      </c>
      <c r="L179" s="5" t="s">
        <v>97</v>
      </c>
      <c r="M179" s="5" t="s">
        <v>89</v>
      </c>
      <c r="N179" s="5"/>
      <c r="O179" s="6" t="s">
        <v>1336</v>
      </c>
      <c r="P179" s="5" t="s">
        <v>90</v>
      </c>
      <c r="Q179" s="5" t="s">
        <v>64</v>
      </c>
      <c r="R179" s="5" t="s">
        <v>139</v>
      </c>
      <c r="S179" s="5" t="s">
        <v>1337</v>
      </c>
      <c r="T179" s="5" t="s">
        <v>1338</v>
      </c>
      <c r="U179" s="5" t="s">
        <v>1339</v>
      </c>
      <c r="V179" s="8">
        <v>52</v>
      </c>
      <c r="W179" s="9">
        <v>34434</v>
      </c>
      <c r="X179" s="5"/>
      <c r="Y179" s="10">
        <v>100</v>
      </c>
      <c r="Z179" s="10">
        <v>18.18</v>
      </c>
      <c r="AA179" s="10">
        <v>18.18</v>
      </c>
      <c r="AB179" s="10">
        <v>289897</v>
      </c>
      <c r="AC179" s="10">
        <v>48566</v>
      </c>
      <c r="AD179" s="10">
        <v>0</v>
      </c>
      <c r="AE179" s="11">
        <v>338463</v>
      </c>
      <c r="AF179" s="12" t="s">
        <v>62</v>
      </c>
      <c r="AG179" s="14" t="s">
        <v>125</v>
      </c>
      <c r="AH179" s="14" t="s">
        <v>65</v>
      </c>
      <c r="AI179" s="14" t="s">
        <v>36</v>
      </c>
      <c r="AJ179" s="14">
        <v>40000</v>
      </c>
      <c r="AK179" s="14">
        <v>35000</v>
      </c>
      <c r="AL179" s="13">
        <v>54</v>
      </c>
      <c r="AM179" s="13">
        <v>54</v>
      </c>
      <c r="AN179" s="14" t="s">
        <v>77</v>
      </c>
      <c r="AO179" s="14" t="s">
        <v>78</v>
      </c>
      <c r="AP179" s="14" t="s">
        <v>37</v>
      </c>
      <c r="AQ179" s="18">
        <v>202606</v>
      </c>
      <c r="AR179" s="18" t="s">
        <v>147</v>
      </c>
      <c r="AS179" s="14" t="s">
        <v>232</v>
      </c>
      <c r="AT179" s="14" t="s">
        <v>232</v>
      </c>
      <c r="AU179" s="22" t="s">
        <v>275</v>
      </c>
      <c r="AV179" s="22" t="s">
        <v>363</v>
      </c>
      <c r="AW179"/>
    </row>
    <row r="180" spans="1:49" x14ac:dyDescent="0.3">
      <c r="A180" s="5" t="s">
        <v>145</v>
      </c>
      <c r="B180" s="5" t="s">
        <v>54</v>
      </c>
      <c r="C180" s="5" t="s">
        <v>1050</v>
      </c>
      <c r="D180" s="5" t="s">
        <v>32</v>
      </c>
      <c r="E180" s="6" t="s">
        <v>33</v>
      </c>
      <c r="F180" s="5">
        <v>86</v>
      </c>
      <c r="G180" s="5" t="s">
        <v>1051</v>
      </c>
      <c r="H180" s="5" t="s">
        <v>1340</v>
      </c>
      <c r="I180" s="5" t="s">
        <v>1341</v>
      </c>
      <c r="J180" s="5" t="s">
        <v>34</v>
      </c>
      <c r="K180" s="5" t="s">
        <v>60</v>
      </c>
      <c r="L180" s="5" t="s">
        <v>97</v>
      </c>
      <c r="M180" s="5" t="s">
        <v>89</v>
      </c>
      <c r="N180" s="5"/>
      <c r="O180" s="6" t="s">
        <v>1342</v>
      </c>
      <c r="P180" s="5" t="s">
        <v>90</v>
      </c>
      <c r="Q180" s="5" t="s">
        <v>64</v>
      </c>
      <c r="R180" s="5" t="s">
        <v>139</v>
      </c>
      <c r="S180" s="5" t="s">
        <v>1343</v>
      </c>
      <c r="T180" s="5" t="s">
        <v>1344</v>
      </c>
      <c r="U180" s="5" t="s">
        <v>827</v>
      </c>
      <c r="V180" s="8">
        <v>34</v>
      </c>
      <c r="W180" s="9">
        <v>12020</v>
      </c>
      <c r="X180" s="5"/>
      <c r="Y180" s="10">
        <v>100</v>
      </c>
      <c r="Z180" s="10">
        <v>18.18</v>
      </c>
      <c r="AA180" s="10">
        <v>18.18</v>
      </c>
      <c r="AB180" s="10">
        <v>306541</v>
      </c>
      <c r="AC180" s="10">
        <v>77673</v>
      </c>
      <c r="AD180" s="10">
        <v>0</v>
      </c>
      <c r="AE180" s="11">
        <v>384214</v>
      </c>
      <c r="AF180" s="12" t="s">
        <v>62</v>
      </c>
      <c r="AG180" s="14" t="s">
        <v>1345</v>
      </c>
      <c r="AH180" s="14" t="s">
        <v>65</v>
      </c>
      <c r="AI180" s="14" t="s">
        <v>36</v>
      </c>
      <c r="AJ180" s="14">
        <v>20000</v>
      </c>
      <c r="AK180" s="14">
        <v>15000</v>
      </c>
      <c r="AL180" s="13">
        <v>36</v>
      </c>
      <c r="AM180" s="13">
        <v>36</v>
      </c>
      <c r="AN180" s="14" t="s">
        <v>77</v>
      </c>
      <c r="AO180" s="14" t="s">
        <v>78</v>
      </c>
      <c r="AP180" s="14" t="s">
        <v>37</v>
      </c>
      <c r="AQ180" s="18">
        <v>202606</v>
      </c>
      <c r="AR180" s="18" t="s">
        <v>147</v>
      </c>
      <c r="AS180" s="14" t="s">
        <v>232</v>
      </c>
      <c r="AT180" s="14" t="s">
        <v>232</v>
      </c>
      <c r="AU180" s="22" t="s">
        <v>275</v>
      </c>
      <c r="AV180" s="22" t="s">
        <v>363</v>
      </c>
      <c r="AW180"/>
    </row>
    <row r="181" spans="1:49" x14ac:dyDescent="0.3">
      <c r="A181" s="5" t="s">
        <v>145</v>
      </c>
      <c r="B181" s="5" t="s">
        <v>54</v>
      </c>
      <c r="C181" s="5" t="s">
        <v>1050</v>
      </c>
      <c r="D181" s="5" t="s">
        <v>32</v>
      </c>
      <c r="E181" s="6" t="s">
        <v>33</v>
      </c>
      <c r="F181" s="5">
        <v>87</v>
      </c>
      <c r="G181" s="5" t="s">
        <v>1051</v>
      </c>
      <c r="H181" s="5" t="s">
        <v>1346</v>
      </c>
      <c r="I181" s="5" t="s">
        <v>1347</v>
      </c>
      <c r="J181" s="5" t="s">
        <v>34</v>
      </c>
      <c r="K181" s="5" t="s">
        <v>60</v>
      </c>
      <c r="L181" s="5" t="s">
        <v>97</v>
      </c>
      <c r="M181" s="5" t="s">
        <v>89</v>
      </c>
      <c r="N181" s="5"/>
      <c r="O181" s="6" t="s">
        <v>1348</v>
      </c>
      <c r="P181" s="5" t="s">
        <v>90</v>
      </c>
      <c r="Q181" s="5" t="s">
        <v>64</v>
      </c>
      <c r="R181" s="5" t="s">
        <v>1349</v>
      </c>
      <c r="S181" s="5" t="s">
        <v>1350</v>
      </c>
      <c r="T181" s="5" t="s">
        <v>1344</v>
      </c>
      <c r="U181" s="5" t="s">
        <v>1351</v>
      </c>
      <c r="V181" s="8">
        <v>24</v>
      </c>
      <c r="W181" s="9">
        <v>20406</v>
      </c>
      <c r="X181" s="5"/>
      <c r="Y181" s="10">
        <v>100</v>
      </c>
      <c r="Z181" s="10">
        <v>18.18</v>
      </c>
      <c r="AA181" s="10">
        <v>18.18</v>
      </c>
      <c r="AB181" s="10">
        <v>278637</v>
      </c>
      <c r="AC181" s="10">
        <v>39461</v>
      </c>
      <c r="AD181" s="10">
        <v>0</v>
      </c>
      <c r="AE181" s="11">
        <v>318098</v>
      </c>
      <c r="AF181" s="12" t="s">
        <v>62</v>
      </c>
      <c r="AG181" s="14" t="s">
        <v>170</v>
      </c>
      <c r="AH181" s="14" t="s">
        <v>65</v>
      </c>
      <c r="AI181" s="14" t="s">
        <v>85</v>
      </c>
      <c r="AJ181" s="14">
        <v>30000</v>
      </c>
      <c r="AK181" s="14">
        <v>25000</v>
      </c>
      <c r="AL181" s="13">
        <v>30</v>
      </c>
      <c r="AM181" s="13">
        <v>27</v>
      </c>
      <c r="AN181" s="14" t="s">
        <v>77</v>
      </c>
      <c r="AO181" s="14" t="s">
        <v>78</v>
      </c>
      <c r="AP181" s="14" t="s">
        <v>37</v>
      </c>
      <c r="AQ181" s="18">
        <v>202606</v>
      </c>
      <c r="AR181" s="18" t="s">
        <v>147</v>
      </c>
      <c r="AS181" s="14" t="s">
        <v>232</v>
      </c>
      <c r="AT181" s="14" t="s">
        <v>232</v>
      </c>
      <c r="AU181" s="22" t="s">
        <v>275</v>
      </c>
      <c r="AV181" s="22" t="s">
        <v>363</v>
      </c>
      <c r="AW181"/>
    </row>
    <row r="182" spans="1:49" x14ac:dyDescent="0.3">
      <c r="A182" s="5" t="s">
        <v>145</v>
      </c>
      <c r="B182" s="5" t="s">
        <v>31</v>
      </c>
      <c r="C182" s="5" t="s">
        <v>1050</v>
      </c>
      <c r="D182" s="5" t="s">
        <v>32</v>
      </c>
      <c r="E182" s="6" t="s">
        <v>33</v>
      </c>
      <c r="F182" s="5">
        <v>39</v>
      </c>
      <c r="G182" s="5" t="s">
        <v>1051</v>
      </c>
      <c r="H182" s="5" t="s">
        <v>1352</v>
      </c>
      <c r="I182" s="5" t="s">
        <v>1353</v>
      </c>
      <c r="J182" s="5" t="s">
        <v>34</v>
      </c>
      <c r="K182" s="5" t="s">
        <v>60</v>
      </c>
      <c r="L182" s="5" t="s">
        <v>267</v>
      </c>
      <c r="M182" s="5" t="s">
        <v>39</v>
      </c>
      <c r="N182" s="5"/>
      <c r="O182" s="6" t="s">
        <v>1354</v>
      </c>
      <c r="P182" s="5" t="s">
        <v>1355</v>
      </c>
      <c r="Q182" s="5" t="s">
        <v>92</v>
      </c>
      <c r="R182" s="5" t="s">
        <v>140</v>
      </c>
      <c r="S182" s="5" t="s">
        <v>1356</v>
      </c>
      <c r="T182" s="5" t="s">
        <v>1344</v>
      </c>
      <c r="U182" s="5" t="s">
        <v>1357</v>
      </c>
      <c r="V182" s="8">
        <v>35</v>
      </c>
      <c r="W182" s="9">
        <v>67445</v>
      </c>
      <c r="X182" s="5"/>
      <c r="Y182" s="10">
        <v>100</v>
      </c>
      <c r="Z182" s="10">
        <v>25.44</v>
      </c>
      <c r="AA182" s="10">
        <v>25.44</v>
      </c>
      <c r="AB182" s="10">
        <v>194126</v>
      </c>
      <c r="AC182" s="10">
        <v>65762</v>
      </c>
      <c r="AD182" s="10">
        <v>0</v>
      </c>
      <c r="AE182" s="11">
        <v>259888</v>
      </c>
      <c r="AF182" s="12" t="s">
        <v>62</v>
      </c>
      <c r="AG182" s="14" t="s">
        <v>300</v>
      </c>
      <c r="AH182" s="14" t="e">
        <v>#N/A</v>
      </c>
      <c r="AI182" s="14" t="s">
        <v>36</v>
      </c>
      <c r="AJ182" s="14">
        <v>70000</v>
      </c>
      <c r="AK182" s="14">
        <v>70000</v>
      </c>
      <c r="AL182" s="13">
        <v>36</v>
      </c>
      <c r="AM182" s="13">
        <v>36</v>
      </c>
      <c r="AN182" s="14" t="s">
        <v>517</v>
      </c>
      <c r="AO182" s="14" t="s">
        <v>86</v>
      </c>
      <c r="AP182" s="14" t="s">
        <v>37</v>
      </c>
      <c r="AQ182" s="18">
        <v>202606</v>
      </c>
      <c r="AR182" s="18" t="s">
        <v>147</v>
      </c>
      <c r="AS182" s="14" t="s">
        <v>232</v>
      </c>
      <c r="AT182" s="14" t="s">
        <v>232</v>
      </c>
      <c r="AU182" s="22" t="s">
        <v>275</v>
      </c>
      <c r="AV182" s="22" t="s">
        <v>363</v>
      </c>
      <c r="AW182"/>
    </row>
    <row r="183" spans="1:49" x14ac:dyDescent="0.3">
      <c r="A183" s="5" t="s">
        <v>145</v>
      </c>
      <c r="B183" s="5" t="s">
        <v>31</v>
      </c>
      <c r="C183" s="5" t="s">
        <v>1050</v>
      </c>
      <c r="D183" s="5" t="s">
        <v>32</v>
      </c>
      <c r="E183" s="6" t="s">
        <v>33</v>
      </c>
      <c r="F183" s="5">
        <v>40</v>
      </c>
      <c r="G183" s="5" t="s">
        <v>1051</v>
      </c>
      <c r="H183" s="5" t="s">
        <v>1358</v>
      </c>
      <c r="I183" s="5" t="s">
        <v>1359</v>
      </c>
      <c r="J183" s="5" t="s">
        <v>34</v>
      </c>
      <c r="K183" s="5" t="s">
        <v>60</v>
      </c>
      <c r="L183" s="5" t="s">
        <v>267</v>
      </c>
      <c r="M183" s="5" t="s">
        <v>39</v>
      </c>
      <c r="N183" s="5"/>
      <c r="O183" s="6" t="s">
        <v>1360</v>
      </c>
      <c r="P183" s="5" t="s">
        <v>1361</v>
      </c>
      <c r="Q183" s="5" t="s">
        <v>92</v>
      </c>
      <c r="R183" s="5" t="s">
        <v>248</v>
      </c>
      <c r="S183" s="5" t="s">
        <v>1362</v>
      </c>
      <c r="T183" s="5" t="s">
        <v>1363</v>
      </c>
      <c r="U183" s="5" t="s">
        <v>1364</v>
      </c>
      <c r="V183" s="8">
        <v>17</v>
      </c>
      <c r="W183" s="9">
        <v>45615</v>
      </c>
      <c r="X183" s="5"/>
      <c r="Y183" s="10">
        <v>100</v>
      </c>
      <c r="Z183" s="10">
        <v>25.44</v>
      </c>
      <c r="AA183" s="10">
        <v>25.44</v>
      </c>
      <c r="AB183" s="10">
        <v>207455</v>
      </c>
      <c r="AC183" s="10">
        <v>139920</v>
      </c>
      <c r="AD183" s="10">
        <v>0</v>
      </c>
      <c r="AE183" s="11">
        <v>347375</v>
      </c>
      <c r="AF183" s="12" t="s">
        <v>62</v>
      </c>
      <c r="AG183" s="14" t="s">
        <v>258</v>
      </c>
      <c r="AH183" s="14" t="e">
        <v>#N/A</v>
      </c>
      <c r="AI183" s="14" t="s">
        <v>49</v>
      </c>
      <c r="AJ183" s="14">
        <v>50000</v>
      </c>
      <c r="AK183" s="14">
        <v>50000</v>
      </c>
      <c r="AL183" s="13">
        <v>18</v>
      </c>
      <c r="AM183" s="13">
        <v>18</v>
      </c>
      <c r="AN183" s="14" t="s">
        <v>1365</v>
      </c>
      <c r="AO183" s="14" t="s">
        <v>86</v>
      </c>
      <c r="AP183" s="14" t="s">
        <v>37</v>
      </c>
      <c r="AQ183" s="18">
        <v>202606</v>
      </c>
      <c r="AR183" s="18" t="s">
        <v>147</v>
      </c>
      <c r="AS183" s="14" t="s">
        <v>232</v>
      </c>
      <c r="AT183" s="14" t="s">
        <v>232</v>
      </c>
      <c r="AU183" s="22" t="s">
        <v>275</v>
      </c>
      <c r="AV183" s="22" t="s">
        <v>363</v>
      </c>
      <c r="AW183"/>
    </row>
    <row r="184" spans="1:49" x14ac:dyDescent="0.3">
      <c r="A184" s="5" t="s">
        <v>145</v>
      </c>
      <c r="B184" s="5" t="s">
        <v>54</v>
      </c>
      <c r="C184" s="5" t="s">
        <v>1050</v>
      </c>
      <c r="D184" s="5" t="s">
        <v>32</v>
      </c>
      <c r="E184" s="6" t="s">
        <v>33</v>
      </c>
      <c r="F184" s="5">
        <v>88</v>
      </c>
      <c r="G184" s="5" t="s">
        <v>1051</v>
      </c>
      <c r="H184" s="5" t="s">
        <v>1366</v>
      </c>
      <c r="I184" s="5" t="s">
        <v>1367</v>
      </c>
      <c r="J184" s="5" t="s">
        <v>34</v>
      </c>
      <c r="K184" s="5" t="s">
        <v>60</v>
      </c>
      <c r="L184" s="5" t="s">
        <v>1368</v>
      </c>
      <c r="M184" s="5" t="s">
        <v>39</v>
      </c>
      <c r="N184" s="5"/>
      <c r="O184" s="6" t="s">
        <v>1369</v>
      </c>
      <c r="P184" s="5" t="s">
        <v>94</v>
      </c>
      <c r="Q184" s="5" t="s">
        <v>64</v>
      </c>
      <c r="R184" s="5" t="s">
        <v>79</v>
      </c>
      <c r="S184" s="5" t="s">
        <v>1370</v>
      </c>
      <c r="T184" s="5" t="s">
        <v>1371</v>
      </c>
      <c r="U184" s="5" t="s">
        <v>1372</v>
      </c>
      <c r="V184" s="8">
        <v>75</v>
      </c>
      <c r="W184" s="9">
        <v>79280</v>
      </c>
      <c r="X184" s="5"/>
      <c r="Y184" s="10">
        <v>100</v>
      </c>
      <c r="Z184" s="10">
        <v>18.18</v>
      </c>
      <c r="AA184" s="10">
        <v>18.18</v>
      </c>
      <c r="AB184" s="10">
        <v>21206</v>
      </c>
      <c r="AC184" s="10">
        <v>34384</v>
      </c>
      <c r="AD184" s="10">
        <v>0</v>
      </c>
      <c r="AE184" s="11">
        <v>55590</v>
      </c>
      <c r="AF184" s="12" t="s">
        <v>62</v>
      </c>
      <c r="AG184" s="14" t="s">
        <v>1373</v>
      </c>
      <c r="AH184" s="14" t="s">
        <v>65</v>
      </c>
      <c r="AI184" s="14" t="s">
        <v>45</v>
      </c>
      <c r="AJ184" s="14">
        <v>80000</v>
      </c>
      <c r="AK184" s="14">
        <v>80000</v>
      </c>
      <c r="AL184" s="13" t="s">
        <v>121</v>
      </c>
      <c r="AM184" s="13" t="s">
        <v>121</v>
      </c>
      <c r="AN184" s="14" t="s">
        <v>66</v>
      </c>
      <c r="AO184" s="14" t="s">
        <v>67</v>
      </c>
      <c r="AP184" s="14" t="s">
        <v>37</v>
      </c>
      <c r="AQ184" s="18">
        <v>202606</v>
      </c>
      <c r="AR184" s="18" t="s">
        <v>147</v>
      </c>
      <c r="AS184" s="14" t="s">
        <v>232</v>
      </c>
      <c r="AT184" s="14" t="s">
        <v>232</v>
      </c>
      <c r="AU184" s="22" t="s">
        <v>275</v>
      </c>
      <c r="AV184" s="22" t="s">
        <v>363</v>
      </c>
      <c r="AW184"/>
    </row>
    <row r="185" spans="1:49" x14ac:dyDescent="0.3">
      <c r="A185" s="5" t="s">
        <v>145</v>
      </c>
      <c r="B185" s="5" t="s">
        <v>54</v>
      </c>
      <c r="C185" s="5" t="s">
        <v>1050</v>
      </c>
      <c r="D185" s="5" t="s">
        <v>32</v>
      </c>
      <c r="E185" s="6" t="s">
        <v>33</v>
      </c>
      <c r="F185" s="5">
        <v>89</v>
      </c>
      <c r="G185" s="5" t="s">
        <v>1051</v>
      </c>
      <c r="H185" s="5" t="s">
        <v>1374</v>
      </c>
      <c r="I185" s="5" t="s">
        <v>1375</v>
      </c>
      <c r="J185" s="5" t="s">
        <v>34</v>
      </c>
      <c r="K185" s="5" t="s">
        <v>60</v>
      </c>
      <c r="L185" s="5" t="s">
        <v>1368</v>
      </c>
      <c r="M185" s="5" t="s">
        <v>39</v>
      </c>
      <c r="N185" s="5"/>
      <c r="O185" s="6" t="s">
        <v>1376</v>
      </c>
      <c r="P185" s="5" t="s">
        <v>94</v>
      </c>
      <c r="Q185" s="5" t="s">
        <v>281</v>
      </c>
      <c r="R185" s="5" t="s">
        <v>679</v>
      </c>
      <c r="S185" s="5" t="s">
        <v>1377</v>
      </c>
      <c r="T185" s="5" t="s">
        <v>1378</v>
      </c>
      <c r="U185" s="5" t="s">
        <v>1379</v>
      </c>
      <c r="V185" s="8">
        <v>72</v>
      </c>
      <c r="W185" s="9">
        <v>52302</v>
      </c>
      <c r="X185" s="5"/>
      <c r="Y185" s="10">
        <v>100</v>
      </c>
      <c r="Z185" s="10">
        <v>18.18</v>
      </c>
      <c r="AA185" s="10">
        <v>18.18</v>
      </c>
      <c r="AB185" s="10">
        <v>21042</v>
      </c>
      <c r="AC185" s="10">
        <v>40280</v>
      </c>
      <c r="AD185" s="10">
        <v>0</v>
      </c>
      <c r="AE185" s="11">
        <v>61322</v>
      </c>
      <c r="AF185" s="12" t="s">
        <v>62</v>
      </c>
      <c r="AG185" s="14" t="s">
        <v>285</v>
      </c>
      <c r="AH185" s="14" t="s">
        <v>283</v>
      </c>
      <c r="AI185" s="14" t="s">
        <v>215</v>
      </c>
      <c r="AJ185" s="14">
        <v>60000</v>
      </c>
      <c r="AK185" s="14">
        <v>55000</v>
      </c>
      <c r="AL185" s="13" t="s">
        <v>121</v>
      </c>
      <c r="AM185" s="13" t="s">
        <v>121</v>
      </c>
      <c r="AN185" s="14" t="s">
        <v>205</v>
      </c>
      <c r="AO185" s="14" t="s">
        <v>206</v>
      </c>
      <c r="AP185" s="14" t="s">
        <v>37</v>
      </c>
      <c r="AQ185" s="18">
        <v>202606</v>
      </c>
      <c r="AR185" s="18" t="s">
        <v>147</v>
      </c>
      <c r="AS185" s="14" t="s">
        <v>232</v>
      </c>
      <c r="AT185" s="14" t="s">
        <v>232</v>
      </c>
      <c r="AU185" s="22" t="s">
        <v>275</v>
      </c>
      <c r="AV185" s="22" t="s">
        <v>363</v>
      </c>
      <c r="AW185"/>
    </row>
    <row r="186" spans="1:49" x14ac:dyDescent="0.3">
      <c r="A186" s="5" t="s">
        <v>145</v>
      </c>
      <c r="B186" s="5" t="s">
        <v>54</v>
      </c>
      <c r="C186" s="5" t="s">
        <v>1050</v>
      </c>
      <c r="D186" s="5" t="s">
        <v>32</v>
      </c>
      <c r="E186" s="6" t="s">
        <v>33</v>
      </c>
      <c r="F186" s="5">
        <v>90</v>
      </c>
      <c r="G186" s="5" t="s">
        <v>1051</v>
      </c>
      <c r="H186" s="5" t="s">
        <v>1380</v>
      </c>
      <c r="I186" s="5" t="s">
        <v>1381</v>
      </c>
      <c r="J186" s="5" t="s">
        <v>34</v>
      </c>
      <c r="K186" s="5" t="s">
        <v>60</v>
      </c>
      <c r="L186" s="5" t="s">
        <v>101</v>
      </c>
      <c r="M186" s="5" t="s">
        <v>39</v>
      </c>
      <c r="N186" s="5"/>
      <c r="O186" s="6" t="s">
        <v>1382</v>
      </c>
      <c r="P186" s="5" t="s">
        <v>94</v>
      </c>
      <c r="Q186" s="5" t="s">
        <v>64</v>
      </c>
      <c r="R186" s="5" t="s">
        <v>139</v>
      </c>
      <c r="S186" s="5" t="s">
        <v>1383</v>
      </c>
      <c r="T186" s="5" t="s">
        <v>1040</v>
      </c>
      <c r="U186" s="5" t="s">
        <v>1384</v>
      </c>
      <c r="V186" s="8">
        <v>75</v>
      </c>
      <c r="W186" s="9">
        <v>73823</v>
      </c>
      <c r="X186" s="5"/>
      <c r="Y186" s="10">
        <v>100</v>
      </c>
      <c r="Z186" s="10">
        <v>18.18</v>
      </c>
      <c r="AA186" s="10">
        <v>18.18</v>
      </c>
      <c r="AB186" s="10">
        <v>145232</v>
      </c>
      <c r="AC186" s="10">
        <v>42025</v>
      </c>
      <c r="AD186" s="10">
        <v>0</v>
      </c>
      <c r="AE186" s="11">
        <v>187257</v>
      </c>
      <c r="AF186" s="12" t="s">
        <v>62</v>
      </c>
      <c r="AG186" s="14" t="s">
        <v>236</v>
      </c>
      <c r="AH186" s="14" t="s">
        <v>65</v>
      </c>
      <c r="AI186" s="14" t="s">
        <v>36</v>
      </c>
      <c r="AJ186" s="14">
        <v>80000</v>
      </c>
      <c r="AK186" s="14">
        <v>75000</v>
      </c>
      <c r="AL186" s="13" t="s">
        <v>121</v>
      </c>
      <c r="AM186" s="13" t="s">
        <v>121</v>
      </c>
      <c r="AN186" s="14" t="s">
        <v>1385</v>
      </c>
      <c r="AO186" s="14" t="s">
        <v>1386</v>
      </c>
      <c r="AP186" s="14" t="s">
        <v>37</v>
      </c>
      <c r="AQ186" s="18">
        <v>202606</v>
      </c>
      <c r="AR186" s="18" t="s">
        <v>147</v>
      </c>
      <c r="AS186" s="14" t="s">
        <v>232</v>
      </c>
      <c r="AT186" s="14" t="s">
        <v>232</v>
      </c>
      <c r="AU186" s="22" t="s">
        <v>275</v>
      </c>
      <c r="AV186" s="22" t="s">
        <v>363</v>
      </c>
      <c r="AW186"/>
    </row>
    <row r="187" spans="1:49" x14ac:dyDescent="0.3">
      <c r="A187" s="5" t="s">
        <v>145</v>
      </c>
      <c r="B187" s="5" t="s">
        <v>54</v>
      </c>
      <c r="C187" s="5" t="s">
        <v>1050</v>
      </c>
      <c r="D187" s="5" t="s">
        <v>32</v>
      </c>
      <c r="E187" s="6" t="s">
        <v>33</v>
      </c>
      <c r="F187" s="5">
        <v>91</v>
      </c>
      <c r="G187" s="5" t="s">
        <v>1051</v>
      </c>
      <c r="H187" s="5" t="s">
        <v>1387</v>
      </c>
      <c r="I187" s="5" t="s">
        <v>1388</v>
      </c>
      <c r="J187" s="5" t="s">
        <v>34</v>
      </c>
      <c r="K187" s="5" t="s">
        <v>60</v>
      </c>
      <c r="L187" s="5" t="s">
        <v>101</v>
      </c>
      <c r="M187" s="5" t="s">
        <v>39</v>
      </c>
      <c r="N187" s="5"/>
      <c r="O187" s="6" t="s">
        <v>1389</v>
      </c>
      <c r="P187" s="5" t="s">
        <v>94</v>
      </c>
      <c r="Q187" s="5" t="s">
        <v>61</v>
      </c>
      <c r="R187" s="5" t="s">
        <v>70</v>
      </c>
      <c r="S187" s="5" t="s">
        <v>1390</v>
      </c>
      <c r="T187" s="5" t="s">
        <v>1378</v>
      </c>
      <c r="U187" s="5" t="s">
        <v>1391</v>
      </c>
      <c r="V187" s="8">
        <v>77</v>
      </c>
      <c r="W187" s="9">
        <v>88992</v>
      </c>
      <c r="X187" s="5"/>
      <c r="Y187" s="10">
        <v>100</v>
      </c>
      <c r="Z187" s="10">
        <v>18.18</v>
      </c>
      <c r="AA187" s="10">
        <v>18.18</v>
      </c>
      <c r="AB187" s="10">
        <v>156964</v>
      </c>
      <c r="AC187" s="10">
        <v>31090</v>
      </c>
      <c r="AD187" s="10">
        <v>0</v>
      </c>
      <c r="AE187" s="11">
        <v>188054</v>
      </c>
      <c r="AF187" s="12" t="s">
        <v>62</v>
      </c>
      <c r="AG187" s="14" t="s">
        <v>621</v>
      </c>
      <c r="AH187" s="14" t="s">
        <v>63</v>
      </c>
      <c r="AI187" s="14" t="s">
        <v>49</v>
      </c>
      <c r="AJ187" s="14">
        <v>90000</v>
      </c>
      <c r="AK187" s="14">
        <v>90000</v>
      </c>
      <c r="AL187" s="13" t="s">
        <v>121</v>
      </c>
      <c r="AM187" s="13" t="s">
        <v>121</v>
      </c>
      <c r="AN187" s="14" t="s">
        <v>205</v>
      </c>
      <c r="AO187" s="14" t="s">
        <v>206</v>
      </c>
      <c r="AP187" s="14" t="s">
        <v>37</v>
      </c>
      <c r="AQ187" s="18">
        <v>202606</v>
      </c>
      <c r="AR187" s="18" t="s">
        <v>147</v>
      </c>
      <c r="AS187" s="14" t="s">
        <v>232</v>
      </c>
      <c r="AT187" s="14" t="s">
        <v>232</v>
      </c>
      <c r="AU187" s="22" t="s">
        <v>275</v>
      </c>
      <c r="AV187" s="22" t="s">
        <v>363</v>
      </c>
      <c r="AW187"/>
    </row>
    <row r="188" spans="1:49" x14ac:dyDescent="0.3">
      <c r="A188" s="5" t="s">
        <v>145</v>
      </c>
      <c r="B188" s="5" t="s">
        <v>31</v>
      </c>
      <c r="C188" s="5" t="s">
        <v>1050</v>
      </c>
      <c r="D188" s="5" t="s">
        <v>32</v>
      </c>
      <c r="E188" s="6" t="s">
        <v>33</v>
      </c>
      <c r="F188" s="5">
        <v>130</v>
      </c>
      <c r="G188" s="5" t="s">
        <v>1051</v>
      </c>
      <c r="H188" s="5" t="s">
        <v>1392</v>
      </c>
      <c r="I188" s="5" t="s">
        <v>1393</v>
      </c>
      <c r="J188" s="5" t="s">
        <v>34</v>
      </c>
      <c r="K188" s="5" t="s">
        <v>50</v>
      </c>
      <c r="L188" s="5" t="s">
        <v>1394</v>
      </c>
      <c r="M188" s="5" t="s">
        <v>48</v>
      </c>
      <c r="N188" s="5"/>
      <c r="O188" s="6" t="s">
        <v>1395</v>
      </c>
      <c r="P188" s="5" t="s">
        <v>1396</v>
      </c>
      <c r="Q188" s="5" t="s">
        <v>92</v>
      </c>
      <c r="R188" s="5" t="s">
        <v>1397</v>
      </c>
      <c r="S188" s="5" t="s">
        <v>1398</v>
      </c>
      <c r="T188" s="5" t="s">
        <v>1399</v>
      </c>
      <c r="U188" s="5" t="s">
        <v>1400</v>
      </c>
      <c r="V188" s="8">
        <v>20</v>
      </c>
      <c r="W188" s="9">
        <v>39240</v>
      </c>
      <c r="X188" s="5"/>
      <c r="Y188" s="10">
        <v>100</v>
      </c>
      <c r="Z188" s="10">
        <v>25.44</v>
      </c>
      <c r="AA188" s="10">
        <v>25.44</v>
      </c>
      <c r="AB188" s="10">
        <v>13906</v>
      </c>
      <c r="AC188" s="10">
        <v>12593</v>
      </c>
      <c r="AD188" s="10">
        <v>0</v>
      </c>
      <c r="AE188" s="11">
        <v>26499</v>
      </c>
      <c r="AF188" s="12" t="s">
        <v>52</v>
      </c>
      <c r="AG188" s="14" t="s">
        <v>326</v>
      </c>
      <c r="AH188" s="14" t="e">
        <v>#N/A</v>
      </c>
      <c r="AI188" s="14" t="s">
        <v>207</v>
      </c>
      <c r="AJ188" s="14">
        <v>40000</v>
      </c>
      <c r="AK188" s="14">
        <v>40000</v>
      </c>
      <c r="AL188" s="13">
        <v>24</v>
      </c>
      <c r="AM188" s="13">
        <v>21</v>
      </c>
      <c r="AN188" s="14" t="s">
        <v>1128</v>
      </c>
      <c r="AO188" s="14" t="s">
        <v>86</v>
      </c>
      <c r="AP188" s="14" t="s">
        <v>48</v>
      </c>
      <c r="AQ188" s="18">
        <v>202606</v>
      </c>
      <c r="AR188" s="14" t="s">
        <v>158</v>
      </c>
      <c r="AS188"/>
      <c r="AT188" s="12" t="s">
        <v>52</v>
      </c>
      <c r="AU188" s="22" t="s">
        <v>275</v>
      </c>
      <c r="AV188" s="22" t="s">
        <v>363</v>
      </c>
      <c r="AW188"/>
    </row>
  </sheetData>
  <autoFilter ref="A1:AW125" xr:uid="{00000000-0009-0000-0000-000002000000}"/>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Sheet2</vt:lpstr>
      <vt:lpstr>Sheet1</vt:lpstr>
      <vt:lpstr>현대기아HMB(REV1)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김훈기</cp:lastModifiedBy>
  <dcterms:created xsi:type="dcterms:W3CDTF">2022-04-04T06:52:25Z</dcterms:created>
  <dcterms:modified xsi:type="dcterms:W3CDTF">2026-08-27T08:31:43Z</dcterms:modified>
</cp:coreProperties>
</file>